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807" activeTab="5"/>
  </bookViews>
  <sheets>
    <sheet name="1月" sheetId="3" r:id="rId1"/>
    <sheet name="2月" sheetId="4" r:id="rId2"/>
    <sheet name="3月" sheetId="5" r:id="rId3"/>
    <sheet name="4月" sheetId="6" r:id="rId4"/>
    <sheet name="5月" sheetId="7" r:id="rId5"/>
    <sheet name="6月" sheetId="8" r:id="rId6"/>
    <sheet name="7月" sheetId="9" r:id="rId7"/>
    <sheet name="8月" sheetId="10" r:id="rId8"/>
    <sheet name="9月" sheetId="11" r:id="rId9"/>
    <sheet name="10月" sheetId="14" r:id="rId10"/>
    <sheet name="11月" sheetId="15" r:id="rId11"/>
    <sheet name="12月" sheetId="16" r:id="rId12"/>
    <sheet name="汇总" sheetId="2" r:id="rId13"/>
    <sheet name="保证金" sheetId="19" r:id="rId14"/>
  </sheets>
  <externalReferences>
    <externalReference r:id="rId16"/>
  </externalReferences>
  <definedNames>
    <definedName name="_xlnm._FilterDatabase" localSheetId="6" hidden="1">'7月'!$A$2:$L$39</definedName>
    <definedName name="_xlnm._FilterDatabase" localSheetId="13" hidden="1">保证金!$A$2:$H$45</definedName>
    <definedName name="_xlnm._FilterDatabase" localSheetId="8" hidden="1">'9月'!$A$2:$G$51</definedName>
    <definedName name="_xlnm._FilterDatabase" localSheetId="5" hidden="1">'6月'!$A$2:$G$22</definedName>
    <definedName name="_xlnm._FilterDatabase" localSheetId="4" hidden="1">'5月'!$E$3:$E$16</definedName>
    <definedName name="_xlnm._FilterDatabase" localSheetId="3" hidden="1">'4月'!$E$3:$E$22</definedName>
    <definedName name="收支类别">[1]资金账户!$K$3:$W$3</definedName>
    <definedName name="_xlnm._FilterDatabase" localSheetId="7" hidden="1">'8月'!$A$2:$G$45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<sst xmlns="http://schemas.openxmlformats.org/spreadsheetml/2006/main" count="613" uniqueCount="139">
  <si>
    <t>1月回款明细表</t>
  </si>
  <si>
    <t>序列</t>
  </si>
  <si>
    <t>日期</t>
  </si>
  <si>
    <t>公司名称</t>
  </si>
  <si>
    <t>合同号</t>
  </si>
  <si>
    <t>回款金额（元）</t>
  </si>
  <si>
    <t>回款方式</t>
  </si>
  <si>
    <t>备注</t>
  </si>
  <si>
    <t>福建鼎信实业有限公司</t>
  </si>
  <si>
    <t>武汉华夏</t>
  </si>
  <si>
    <t>青海发投碱业有限公司（江苏唐电）</t>
  </si>
  <si>
    <t>武汉浦发</t>
  </si>
  <si>
    <t>林全意转款</t>
  </si>
  <si>
    <t>东方希望重庆水泥有限公司</t>
  </si>
  <si>
    <t>武汉汉口</t>
  </si>
  <si>
    <t>内蒙古君正化工有限责任公司水泥分公司</t>
  </si>
  <si>
    <t>银行承兑汇票（新）</t>
  </si>
  <si>
    <t>联峰钢铁（张家港）有限公司</t>
  </si>
  <si>
    <t>喀什红旗水泥有限责任公司</t>
  </si>
  <si>
    <t>张家港市联泰科技有限公司</t>
  </si>
  <si>
    <t>冀东海德堡(扶风)水泥有限公司</t>
  </si>
  <si>
    <t>湖北工行西山</t>
  </si>
  <si>
    <t>质保金</t>
  </si>
  <si>
    <t>武汉工程大学</t>
  </si>
  <si>
    <t>武汉信茂</t>
  </si>
  <si>
    <t>廖义德报科研业务费</t>
  </si>
  <si>
    <t>新疆天山水泥有限责任公司</t>
  </si>
  <si>
    <t>新疆伊犁钢铁有限责任公司</t>
  </si>
  <si>
    <t>通宝平台</t>
  </si>
  <si>
    <t>青海发投碱业有限公司</t>
  </si>
  <si>
    <t>湖北岚丹中信</t>
  </si>
  <si>
    <t>王先梅</t>
  </si>
  <si>
    <t>江苏金峰水泥集团有限公司</t>
  </si>
  <si>
    <t>武汉农民工账户</t>
  </si>
  <si>
    <t>岚丹农民工账户</t>
  </si>
  <si>
    <t>湖北京兰水泥集团有限公司</t>
  </si>
  <si>
    <t>内蒙古宜化化工有限公司</t>
  </si>
  <si>
    <t>银行承兑汇票11张（新）</t>
  </si>
  <si>
    <t>安钢集团信阳钢铁有限责任公司</t>
  </si>
  <si>
    <t>中盐内蒙古建材有限公司</t>
  </si>
  <si>
    <t>合计</t>
  </si>
  <si>
    <t>2月回款明细表</t>
  </si>
  <si>
    <t>天瑞集团汝州水泥有限公司</t>
  </si>
  <si>
    <t>日照钢铁有限公司</t>
  </si>
  <si>
    <t>澜沧三环建材有限公司</t>
  </si>
  <si>
    <t>池州恒鑫材料科技有限公司</t>
  </si>
  <si>
    <t>新疆宜化化工有限公司</t>
  </si>
  <si>
    <t>江西亚东水泥有限公司</t>
  </si>
  <si>
    <t>洛阳黄河同力水泥有限责任公司</t>
  </si>
  <si>
    <t>武汉彤烨中信</t>
  </si>
  <si>
    <t>湖北双环科技股份有限公司</t>
  </si>
  <si>
    <t>贵州金久水泥有限公司</t>
  </si>
  <si>
    <t>通宝</t>
  </si>
  <si>
    <t>玉溪新平永发新型建材有限公司</t>
  </si>
  <si>
    <t>湖北恒博机械科技有限公司</t>
  </si>
  <si>
    <t>银行承兑汇票4张（新）</t>
  </si>
  <si>
    <t>日照京华新型建材有限公司</t>
  </si>
  <si>
    <t>内乡县万基水泥有限公司</t>
  </si>
  <si>
    <t>崇阳县昌华实业有限公司</t>
  </si>
  <si>
    <t>海西顺达物流有限公司</t>
  </si>
  <si>
    <t>大冶市成美贸易有限公司</t>
  </si>
  <si>
    <t xml:space="preserve">            </t>
  </si>
  <si>
    <t>3月回款明细表</t>
  </si>
  <si>
    <t>岚丹中信</t>
  </si>
  <si>
    <t>江西福丰新材料科技有限公司</t>
  </si>
  <si>
    <t>山东泰山钢铁集团有限公司管理人</t>
  </si>
  <si>
    <t>内蒙古兴发科技有限公司</t>
  </si>
  <si>
    <t>广州市越堡水泥有限公司</t>
  </si>
  <si>
    <t>商业承兑汇票（新）质保金</t>
  </si>
  <si>
    <t>4月回款明细表</t>
  </si>
  <si>
    <t>鄂州市武俊机械设备有限公司</t>
  </si>
  <si>
    <t>四川峨胜水泥集团股份有限公司</t>
  </si>
  <si>
    <t>新洋丰农业科技股份有限公司</t>
  </si>
  <si>
    <t>江西赣锋锂业集团股份有限公司</t>
  </si>
  <si>
    <t>台泥（重庆）水泥有限公司</t>
  </si>
  <si>
    <t>广安昌兴水泥有限公司</t>
  </si>
  <si>
    <t>山东圣川新材料科技股份有限公司</t>
  </si>
  <si>
    <t>银行承兑汇票5张（新）</t>
  </si>
  <si>
    <t>新余市汇益信新型材料有限公司</t>
  </si>
  <si>
    <t>中盐内蒙古化工股份有限公司盐碱分公司</t>
  </si>
  <si>
    <t>5月回款明细表</t>
  </si>
  <si>
    <t>福建韩研环保科技有限公司</t>
  </si>
  <si>
    <t>辽宁银盛水泥集团有限公司</t>
  </si>
  <si>
    <t>河南晋开化工投资控股集团有限责任公司</t>
  </si>
  <si>
    <t>海南逸盛石化有限公司</t>
  </si>
  <si>
    <t>6月回款明细表</t>
  </si>
  <si>
    <t>黄冈亚东水泥有限公司</t>
  </si>
  <si>
    <t>贵州黔西中水发电有限公司</t>
  </si>
  <si>
    <t>北京金隅琉水环保科技有限公司</t>
  </si>
  <si>
    <t>代付黄石成美建材有限公司旧账</t>
  </si>
  <si>
    <t>江西贵溪南方水泥有限公司</t>
  </si>
  <si>
    <t>武汉农商行</t>
  </si>
  <si>
    <t>尼勒克县瑞祥焦化有限责任公司</t>
  </si>
  <si>
    <t>商业承兑汇票（新）</t>
  </si>
  <si>
    <t>7月回款明细表</t>
  </si>
  <si>
    <t>8月回款明细表</t>
  </si>
  <si>
    <t>9月回款明细表</t>
  </si>
  <si>
    <t>10月回款明细表</t>
  </si>
  <si>
    <t>11月回款明细表</t>
  </si>
  <si>
    <t>12月回款明细表</t>
  </si>
  <si>
    <t>月份</t>
  </si>
  <si>
    <t>2023年回款金额</t>
  </si>
  <si>
    <t>2024年回款金额</t>
  </si>
  <si>
    <t>2025年回款金额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</si>
  <si>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</si>
  <si>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</si>
  <si>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</si>
  <si>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</si>
  <si>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</si>
  <si>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</si>
  <si>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</si>
  <si>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</si>
  <si>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</si>
  <si>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</si>
  <si>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</si>
  <si>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</si>
  <si>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保证金回款明细表</t>
  </si>
  <si>
    <t>回款类型</t>
  </si>
  <si>
    <t>山东泰山钢铁集团有限公司</t>
  </si>
  <si>
    <t>林维转款（武汉浦发）</t>
  </si>
  <si>
    <t>安全保证金</t>
  </si>
  <si>
    <t>安徽省优质采科技发展有限责任公司</t>
  </si>
  <si>
    <t>投标保证金</t>
  </si>
  <si>
    <t>履约保证金</t>
  </si>
  <si>
    <t>保证金</t>
  </si>
  <si>
    <t>佛山住商肥料有限公司</t>
  </si>
  <si>
    <t>江西省精彩纵横采购咨询有限公司</t>
  </si>
  <si>
    <t>成都云图控股股份有限公司</t>
  </si>
  <si>
    <t>江苏唐电电力安装有限公司</t>
  </si>
  <si>
    <t>湖北长江运营咨询有限公司</t>
  </si>
  <si>
    <t>青海黎明化工有限责任公司</t>
  </si>
  <si>
    <t>山东钢铁集团日照有限公司</t>
  </si>
  <si>
    <t>攀枝花东方钛业有限公司</t>
  </si>
  <si>
    <t>福建永安建福水泥有限公司</t>
  </si>
  <si>
    <t>中金支付</t>
  </si>
  <si>
    <t>青海宜化化工有限责任公司</t>
  </si>
  <si>
    <t>阳新弘盛铜业有限公司</t>
  </si>
  <si>
    <t>江阴兴澄特种钢铁有限公司</t>
  </si>
  <si>
    <t>江苏省镔鑫钢铁集团有限公司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</si>
</sst>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&quot;￥&quot;#,##0.00_);[Red]\(&quot;￥&quot;#,##0.00\)"/>
    <numFmt numFmtId="179" formatCode="&quot;￥&quot;#,##0.00_);[Red]\(&quot;￥&quot;#,##0.00\)"/>
  </numFmts>
  <fonts count="3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6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6"/>
      <name val="宋体"/>
      <charset val="134"/>
      <scheme val="minor"/>
    </font>
    <font>
      <sz val="10"/>
      <color theme="1"/>
      <name val="宋体"/>
      <charset val="134"/>
      <scheme val="minor"/>
    </font>
    <font>
      <sz val="9.7"/>
      <color rgb="FF333333"/>
      <name val="FZLTHJW--GB1-0"/>
      <charset val="134"/>
    </font>
    <font>
      <sz val="9.5"/>
      <color rgb="FF333333"/>
      <name val="宋体"/>
      <charset val="134"/>
    </font>
    <font>
      <sz val="11"/>
      <color rgb="FF333333"/>
      <name val="FZLTHJW--GB1-0"/>
      <charset val="134"/>
    </font>
    <font>
      <sz val="10"/>
      <name val="宋体"/>
      <charset val="134"/>
      <scheme val="minor"/>
    </font>
    <font>
      <sz val="10.5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2" applyNumberFormat="0" applyAlignment="0" applyProtection="0">
      <alignment vertical="center"/>
    </xf>
    <xf numFmtId="0" fontId="26" fillId="6" borderId="23" applyNumberFormat="0" applyAlignment="0" applyProtection="0">
      <alignment vertical="center"/>
    </xf>
    <xf numFmtId="0" fontId="27" fillId="6" borderId="22" applyNumberFormat="0" applyAlignment="0" applyProtection="0">
      <alignment vertical="center"/>
    </xf>
    <xf numFmtId="0" fontId="28" fillId="7" borderId="24" applyNumberFormat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78" fontId="3" fillId="0" borderId="1" xfId="0" applyNumberFormat="1" applyFont="1" applyFill="1" applyBorder="1" applyAlignment="1">
      <alignment horizontal="right" vertical="center"/>
    </xf>
    <xf numFmtId="176" fontId="0" fillId="0" borderId="1" xfId="0" applyNumberForma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78" fontId="4" fillId="0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178" fontId="7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10" fillId="0" borderId="1" xfId="0" applyFont="1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0" fontId="14" fillId="0" borderId="0" xfId="0" applyFont="1">
      <alignment vertical="center"/>
    </xf>
    <xf numFmtId="176" fontId="3" fillId="0" borderId="1" xfId="0" applyNumberFormat="1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 wrapText="1"/>
    </xf>
    <xf numFmtId="0" fontId="10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1" xfId="0" applyFont="1" applyBorder="1" applyAlignment="1">
      <alignment vertical="center" wrapText="1"/>
    </xf>
    <xf numFmtId="178" fontId="3" fillId="2" borderId="1" xfId="0" applyNumberFormat="1" applyFont="1" applyFill="1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 wrapText="1"/>
    </xf>
    <xf numFmtId="178" fontId="3" fillId="0" borderId="1" xfId="0" applyNumberFormat="1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3" fillId="0" borderId="15" xfId="0" applyFont="1" applyFill="1" applyBorder="1" applyAlignment="1">
      <alignment vertical="center"/>
    </xf>
    <xf numFmtId="176" fontId="3" fillId="0" borderId="16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176" fontId="3" fillId="0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178" fontId="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176" fontId="8" fillId="0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43" fontId="15" fillId="0" borderId="3" xfId="0" applyNumberFormat="1" applyFont="1" applyBorder="1" applyProtection="1">
      <alignment vertical="center"/>
      <protection locked="0"/>
    </xf>
    <xf numFmtId="43" fontId="15" fillId="0" borderId="1" xfId="0" applyNumberFormat="1" applyFont="1" applyBorder="1" applyProtection="1">
      <alignment vertical="center"/>
      <protection locked="0"/>
    </xf>
    <xf numFmtId="43" fontId="15" fillId="2" borderId="1" xfId="0" applyNumberFormat="1" applyFont="1" applyFill="1" applyBorder="1" applyProtection="1">
      <alignment vertical="center"/>
      <protection locked="0"/>
    </xf>
    <xf numFmtId="177" fontId="7" fillId="0" borderId="1" xfId="1" applyNumberFormat="1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178" fontId="3" fillId="0" borderId="15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178" fontId="3" fillId="0" borderId="0" xfId="0" applyNumberFormat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1" dbFileVersion="0" changeLogVersion="0">
    <open main="213" threadCnt="1"/>
    <sheetInfos>
      <sheetInfo cellCmpFml="1" sheetStid="3">
        <open threadCnt="1"/>
      </sheetInfo>
      <sheetInfo cellCmpFml="1" sheetStid="4">
        <open threadCnt="1"/>
      </sheetInfo>
      <sheetInfo cellCmpFml="1" sheetStid="5">
        <open threadCnt="1"/>
      </sheetInfo>
      <sheetInfo cellCmpFml="1" sheetStid="6">
        <open threadCnt="1"/>
      </sheetInfo>
      <sheetInfo cellCmpFml="1" sheetStid="7">
        <open threadCnt="1"/>
      </sheetInfo>
      <sheetInfo cellCmpFml="1" sheetStid="8">
        <open threadCnt="1"/>
      </sheetInfo>
      <sheetInfo cellCmpFml="1" sheetStid="9">
        <open threadCnt="1"/>
      </sheetInfo>
      <sheetInfo cellCmpFml="1" sheetStid="10">
        <open threadCnt="1"/>
      </sheetInfo>
      <sheetInfo cellCmpFml="1" sheetStid="11">
        <open threadCnt="1"/>
      </sheetInfo>
      <sheetInfo cellCmpFml="1" sheetStid="14">
        <open threadCnt="1"/>
      </sheetInfo>
      <sheetInfo cellCmpFml="1" sheetStid="15">
        <open threadCnt="1"/>
      </sheetInfo>
      <sheetInfo cellCmpFml="1" sheetStid="16">
        <open threadCnt="1"/>
      </sheetInfo>
      <sheetInfo cellCmpFml="7" sheetStid="2">
        <open threadCnt="1"/>
      </sheetInfo>
      <sheetInfo cellCmpFml="2" sheetStid="19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AppData/Roaming/kingsoft/office6/backup/2024.1&#26376;-6&#26376;&#26085;&#35760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档案"/>
      <sheetName val="资金账户"/>
      <sheetName val="日期汇总"/>
      <sheetName val="流水汇总"/>
      <sheetName val="单日流水"/>
      <sheetName val="9"/>
      <sheetName val="1"/>
      <sheetName val="2"/>
      <sheetName val="3"/>
      <sheetName val="4"/>
      <sheetName val="5"/>
      <sheetName val="6"/>
      <sheetName val="7"/>
      <sheetName val="8"/>
      <sheetName val="10"/>
      <sheetName val="11"/>
      <sheetName val="12"/>
      <sheetName val="16"/>
      <sheetName val="17"/>
      <sheetName val="18"/>
      <sheetName val="19"/>
      <sheetName val="20"/>
      <sheetName val="21"/>
      <sheetName val="25"/>
      <sheetName val="26"/>
      <sheetName val="27"/>
      <sheetName val="28"/>
      <sheetName val="29"/>
      <sheetName val="30"/>
      <sheetName val="31"/>
      <sheetName val="32"/>
      <sheetName val="36"/>
      <sheetName val="37"/>
      <sheetName val="38"/>
      <sheetName val="42"/>
      <sheetName val="43"/>
      <sheetName val="44"/>
      <sheetName val="45"/>
      <sheetName val="50"/>
      <sheetName val="51"/>
      <sheetName val="52"/>
      <sheetName val="53"/>
      <sheetName val="46"/>
      <sheetName val="47"/>
      <sheetName val="48"/>
      <sheetName val="49"/>
      <sheetName val="13"/>
      <sheetName val="14"/>
      <sheetName val="15"/>
      <sheetName val="22"/>
      <sheetName val="23"/>
      <sheetName val="24"/>
      <sheetName val="33"/>
      <sheetName val="34"/>
      <sheetName val="35"/>
      <sheetName val="39"/>
      <sheetName val="40"/>
      <sheetName val="4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71.6286458333" refreshedBy="QQ" recordCount="36">
  <cacheSource type="worksheet">
    <worksheetSource ref="C2:E38" sheet="7月"/>
  </cacheSource>
  <cacheFields count="3">
    <cacheField name="公司名称" numFmtId="0">
      <sharedItems count="27">
        <s v="新余市汇益信新型材料有限公司"/>
        <s v="青海盐湖镁业有限公司"/>
        <s v="山西昌灏环保科技股份有限公司"/>
        <s v="江西亚东水泥有限公司"/>
        <s v="青海海西化工建材股份有限公司"/>
        <s v="奎山水泥有限公司"/>
        <s v="湖北宜化松滋肥业有限公司"/>
        <s v="安吉南方水泥有限公司"/>
        <s v="淮北相山水泥有限责任公司"/>
        <s v="准格尔旗铸城水泥有限责任公司"/>
        <s v="陕西实丰水泥股份有限公司"/>
        <s v="四川峨胜水泥集团股份有限公司"/>
        <s v="四川筠连西南水泥有限公司"/>
        <s v="湖北京兰水泥集团有限公司"/>
        <s v="巴彦淖尔中联水泥有限公司"/>
        <s v="中材安徽水泥有限公司"/>
        <s v="来凤县金凤建材工业有限责任公司"/>
        <s v="新疆伊犁钢铁有限责任公司"/>
        <s v="吐鲁番天山水泥有限责公司"/>
        <s v="怀宁上峰水泥有限公司"/>
        <s v="中盐内蒙古化工股份有限公司盐碱分公司"/>
        <s v="达州利森水泥有限公司"/>
        <s v="湖北亚东水泥有限公司"/>
        <s v="江西赣锋锂业集团股份有限公司"/>
        <s v="青海发投碱业有限公司"/>
        <s v="武钢中冶工业技术服务有限公司"/>
        <s v="登电集团水泥有限公司"/>
      </sharedItems>
    </cacheField>
    <cacheField name="合同号" numFmtId="0">
      <sharedItems containsString="0" containsBlank="1" containsNonDate="0" count="1">
        <m/>
      </sharedItems>
    </cacheField>
    <cacheField name="回款金额（元）" numFmtId="179">
      <sharedItems containsSemiMixedTypes="0" containsString="0" containsNumber="1" minValue="281.99" maxValue="428200" count="33">
        <n v="15600"/>
        <n v="428200"/>
        <n v="15000"/>
        <n v="17232.5"/>
        <n v="30000"/>
        <n v="58000"/>
        <n v="152000"/>
        <n v="3952"/>
        <n v="650"/>
        <n v="10000"/>
        <n v="2979.54"/>
        <n v="65000"/>
        <n v="3505"/>
        <n v="2000"/>
        <n v="2200"/>
        <n v="100000"/>
        <n v="20081.73"/>
        <n v="20000"/>
        <n v="71790"/>
        <n v="200000"/>
        <n v="13088.6"/>
        <n v="2397.44"/>
        <n v="5096.64"/>
        <n v="22600"/>
        <n v="263308.41"/>
        <n v="160961.59"/>
        <n v="281.99"/>
        <n v="3284.29"/>
        <n v="2979.52"/>
        <n v="296.81"/>
        <n v="70940"/>
        <n v="12763.19"/>
        <n v="36309.2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x v="0"/>
  </r>
  <r>
    <x v="1"/>
    <x v="0"/>
    <x v="1"/>
  </r>
  <r>
    <x v="2"/>
    <x v="0"/>
    <x v="2"/>
  </r>
  <r>
    <x v="3"/>
    <x v="0"/>
    <x v="3"/>
  </r>
  <r>
    <x v="4"/>
    <x v="0"/>
    <x v="4"/>
  </r>
  <r>
    <x v="5"/>
    <x v="0"/>
    <x v="5"/>
  </r>
  <r>
    <x v="6"/>
    <x v="0"/>
    <x v="6"/>
  </r>
  <r>
    <x v="7"/>
    <x v="0"/>
    <x v="7"/>
  </r>
  <r>
    <x v="8"/>
    <x v="0"/>
    <x v="8"/>
  </r>
  <r>
    <x v="9"/>
    <x v="0"/>
    <x v="9"/>
  </r>
  <r>
    <x v="10"/>
    <x v="0"/>
    <x v="10"/>
  </r>
  <r>
    <x v="11"/>
    <x v="0"/>
    <x v="11"/>
  </r>
  <r>
    <x v="12"/>
    <x v="0"/>
    <x v="12"/>
  </r>
  <r>
    <x v="11"/>
    <x v="0"/>
    <x v="13"/>
  </r>
  <r>
    <x v="13"/>
    <x v="0"/>
    <x v="14"/>
  </r>
  <r>
    <x v="14"/>
    <x v="0"/>
    <x v="15"/>
  </r>
  <r>
    <x v="15"/>
    <x v="0"/>
    <x v="16"/>
  </r>
  <r>
    <x v="16"/>
    <x v="0"/>
    <x v="17"/>
  </r>
  <r>
    <x v="17"/>
    <x v="0"/>
    <x v="18"/>
  </r>
  <r>
    <x v="18"/>
    <x v="0"/>
    <x v="19"/>
  </r>
  <r>
    <x v="19"/>
    <x v="0"/>
    <x v="20"/>
  </r>
  <r>
    <x v="19"/>
    <x v="0"/>
    <x v="21"/>
  </r>
  <r>
    <x v="20"/>
    <x v="0"/>
    <x v="15"/>
  </r>
  <r>
    <x v="21"/>
    <x v="0"/>
    <x v="22"/>
  </r>
  <r>
    <x v="22"/>
    <x v="0"/>
    <x v="23"/>
  </r>
  <r>
    <x v="23"/>
    <x v="0"/>
    <x v="24"/>
  </r>
  <r>
    <x v="23"/>
    <x v="0"/>
    <x v="25"/>
  </r>
  <r>
    <x v="24"/>
    <x v="0"/>
    <x v="26"/>
  </r>
  <r>
    <x v="24"/>
    <x v="0"/>
    <x v="27"/>
  </r>
  <r>
    <x v="24"/>
    <x v="0"/>
    <x v="15"/>
  </r>
  <r>
    <x v="24"/>
    <x v="0"/>
    <x v="28"/>
  </r>
  <r>
    <x v="24"/>
    <x v="0"/>
    <x v="29"/>
  </r>
  <r>
    <x v="24"/>
    <x v="0"/>
    <x v="30"/>
  </r>
  <r>
    <x v="24"/>
    <x v="0"/>
    <x v="31"/>
  </r>
  <r>
    <x v="25"/>
    <x v="0"/>
    <x v="32"/>
  </r>
  <r>
    <x v="26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J2:L19" firstHeaderRow="1" firstDataRow="1" firstDataCol="0"/>
  <pivotFields count="3">
    <pivotField compact="0" showAll="0">
      <items count="28">
        <item x="7"/>
        <item x="14"/>
        <item x="21"/>
        <item x="26"/>
        <item x="13"/>
        <item x="22"/>
        <item x="6"/>
        <item x="19"/>
        <item x="8"/>
        <item x="23"/>
        <item x="3"/>
        <item x="5"/>
        <item x="16"/>
        <item x="24"/>
        <item x="4"/>
        <item x="1"/>
        <item x="2"/>
        <item x="10"/>
        <item x="11"/>
        <item x="12"/>
        <item x="18"/>
        <item x="25"/>
        <item x="17"/>
        <item x="0"/>
        <item x="15"/>
        <item x="20"/>
        <item x="9"/>
        <item t="default"/>
      </items>
    </pivotField>
    <pivotField compact="0" showAll="0"/>
    <pivotField compact="0" numFmtId="178" showAll="0">
      <items count="34">
        <item x="26"/>
        <item x="29"/>
        <item x="8"/>
        <item x="13"/>
        <item x="14"/>
        <item x="21"/>
        <item x="28"/>
        <item x="10"/>
        <item x="27"/>
        <item x="12"/>
        <item x="7"/>
        <item x="22"/>
        <item x="9"/>
        <item x="31"/>
        <item x="20"/>
        <item x="2"/>
        <item x="0"/>
        <item x="3"/>
        <item x="17"/>
        <item x="16"/>
        <item x="23"/>
        <item x="4"/>
        <item x="32"/>
        <item x="5"/>
        <item x="11"/>
        <item x="30"/>
        <item x="18"/>
        <item x="15"/>
        <item x="6"/>
        <item x="25"/>
        <item x="19"/>
        <item x="24"/>
        <item x="1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opLeftCell="A9" workbookViewId="0">
      <selection activeCell="E26" sqref="E26:E27"/>
    </sheetView>
  </sheetViews>
  <sheetFormatPr defaultColWidth="9" defaultRowHeight="13.5"/>
  <cols>
    <col min="1" max="1" width="4.88333333333333" style="30" customWidth="1"/>
    <col min="2" max="2" width="10.3833333333333" style="33" customWidth="1"/>
    <col min="3" max="3" width="37.1333333333333" style="32" customWidth="1"/>
    <col min="4" max="4" width="9.25" style="32" customWidth="1"/>
    <col min="5" max="5" width="18" style="32" customWidth="1"/>
    <col min="6" max="6" width="15.6333333333333" style="32" customWidth="1"/>
    <col min="7" max="7" width="23.25" style="32" customWidth="1"/>
    <col min="8" max="8" width="10.8833333333333" style="32" customWidth="1"/>
    <col min="9" max="9" width="12.3833333333333" style="32" customWidth="1"/>
    <col min="10" max="16384" width="9" style="32"/>
  </cols>
  <sheetData>
    <row r="1" s="30" customFormat="1" ht="27" customHeight="1" spans="1:11">
      <c r="A1" s="34" t="s">
        <v>0</v>
      </c>
      <c r="B1" s="34"/>
      <c r="C1" s="34"/>
      <c r="D1" s="34"/>
      <c r="E1" s="34"/>
      <c r="F1" s="34"/>
      <c r="G1" s="34"/>
    </row>
    <row r="2" s="31" customFormat="1" ht="20" customHeight="1" spans="1:11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18" customHeight="1" spans="1:11">
      <c r="A3" s="11">
        <v>1</v>
      </c>
      <c r="B3" s="9">
        <v>46027</v>
      </c>
      <c r="C3" s="18" t="s">
        <v>8</v>
      </c>
      <c r="D3" s="18"/>
      <c r="E3" s="19">
        <v>102103.2</v>
      </c>
      <c r="F3" s="18" t="s">
        <v>9</v>
      </c>
      <c r="G3" s="18"/>
    </row>
    <row r="4" s="32" customFormat="1" ht="18" customHeight="1" spans="1:11">
      <c r="A4" s="11">
        <v>2</v>
      </c>
      <c r="B4" s="9">
        <v>46029</v>
      </c>
      <c r="C4" s="43" t="s">
        <v>10</v>
      </c>
      <c r="D4" s="18"/>
      <c r="E4" s="19">
        <v>30000</v>
      </c>
      <c r="F4" s="43" t="s">
        <v>11</v>
      </c>
      <c r="G4" s="43" t="s">
        <v>12</v>
      </c>
    </row>
    <row r="5" s="32" customFormat="1" ht="18" customHeight="1" spans="1:11">
      <c r="A5" s="11">
        <v>3</v>
      </c>
      <c r="B5" s="9">
        <v>46030</v>
      </c>
      <c r="C5" s="18" t="s">
        <v>13</v>
      </c>
      <c r="D5" s="18"/>
      <c r="E5" s="19">
        <v>20725</v>
      </c>
      <c r="F5" s="43" t="s">
        <v>14</v>
      </c>
      <c r="G5" s="18"/>
    </row>
    <row r="6" s="32" customFormat="1" ht="18" customHeight="1" spans="1:11">
      <c r="A6" s="11">
        <v>4</v>
      </c>
      <c r="B6" s="9">
        <v>46035</v>
      </c>
      <c r="C6" s="18" t="s">
        <v>15</v>
      </c>
      <c r="D6" s="18"/>
      <c r="E6" s="19">
        <v>9932.4</v>
      </c>
      <c r="F6" s="43" t="s">
        <v>11</v>
      </c>
      <c r="G6" s="43" t="s">
        <v>16</v>
      </c>
    </row>
    <row r="7" s="32" customFormat="1" ht="18" customHeight="1" spans="1:11">
      <c r="A7" s="11">
        <v>5</v>
      </c>
      <c r="B7" s="9">
        <v>46035</v>
      </c>
      <c r="C7" s="18" t="s">
        <v>15</v>
      </c>
      <c r="D7" s="18"/>
      <c r="E7" s="19">
        <v>190125.53</v>
      </c>
      <c r="F7" s="43" t="s">
        <v>11</v>
      </c>
      <c r="G7" s="43" t="s">
        <v>16</v>
      </c>
    </row>
    <row r="8" s="32" customFormat="1" ht="18" customHeight="1" spans="1:11">
      <c r="A8" s="11">
        <v>6</v>
      </c>
      <c r="B8" s="9">
        <v>46035</v>
      </c>
      <c r="C8" s="18" t="s">
        <v>15</v>
      </c>
      <c r="D8" s="18"/>
      <c r="E8" s="19">
        <v>200000</v>
      </c>
      <c r="F8" s="43" t="s">
        <v>11</v>
      </c>
      <c r="G8" s="43" t="s">
        <v>16</v>
      </c>
    </row>
    <row r="9" s="32" customFormat="1" ht="18" customHeight="1" spans="1:11">
      <c r="A9" s="11">
        <v>7</v>
      </c>
      <c r="B9" s="9">
        <v>46035</v>
      </c>
      <c r="C9" s="18" t="s">
        <v>15</v>
      </c>
      <c r="D9" s="18"/>
      <c r="E9" s="19">
        <v>200000</v>
      </c>
      <c r="F9" s="43" t="s">
        <v>11</v>
      </c>
      <c r="G9" s="43" t="s">
        <v>16</v>
      </c>
      <c r="K9" s="19"/>
    </row>
    <row r="10" s="32" customFormat="1" ht="18" customHeight="1" spans="1:11">
      <c r="A10" s="11">
        <v>8</v>
      </c>
      <c r="B10" s="9">
        <v>46035</v>
      </c>
      <c r="C10" s="18" t="s">
        <v>8</v>
      </c>
      <c r="D10" s="18"/>
      <c r="E10" s="19">
        <v>24120.5</v>
      </c>
      <c r="F10" s="43" t="s">
        <v>9</v>
      </c>
      <c r="G10" s="18"/>
    </row>
    <row r="11" s="32" customFormat="1" ht="18" customHeight="1" spans="1:11">
      <c r="A11" s="11">
        <v>9</v>
      </c>
      <c r="B11" s="9">
        <v>46035</v>
      </c>
      <c r="C11" s="18" t="s">
        <v>17</v>
      </c>
      <c r="D11" s="18"/>
      <c r="E11" s="19">
        <v>90000</v>
      </c>
      <c r="F11" s="43" t="s">
        <v>11</v>
      </c>
      <c r="G11" s="18"/>
    </row>
    <row r="12" s="32" customFormat="1" ht="18" customHeight="1" spans="1:11">
      <c r="A12" s="11">
        <v>10</v>
      </c>
      <c r="B12" s="9">
        <v>46035</v>
      </c>
      <c r="C12" s="18" t="s">
        <v>18</v>
      </c>
      <c r="D12" s="18"/>
      <c r="E12" s="19">
        <v>50000</v>
      </c>
      <c r="F12" s="43" t="s">
        <v>11</v>
      </c>
      <c r="G12" s="18"/>
    </row>
    <row r="13" s="32" customFormat="1" ht="18" customHeight="1" spans="1:11">
      <c r="A13" s="11">
        <v>11</v>
      </c>
      <c r="B13" s="9">
        <v>46036</v>
      </c>
      <c r="C13" s="18" t="s">
        <v>17</v>
      </c>
      <c r="D13" s="18"/>
      <c r="E13" s="19">
        <v>110000</v>
      </c>
      <c r="F13" s="43" t="s">
        <v>11</v>
      </c>
      <c r="G13" s="43" t="s">
        <v>16</v>
      </c>
    </row>
    <row r="14" s="32" customFormat="1" ht="18" customHeight="1" spans="1:11">
      <c r="A14" s="11">
        <v>12</v>
      </c>
      <c r="B14" s="9">
        <v>46036</v>
      </c>
      <c r="C14" s="18" t="s">
        <v>19</v>
      </c>
      <c r="D14" s="18"/>
      <c r="E14" s="19">
        <v>100000</v>
      </c>
      <c r="F14" s="43" t="s">
        <v>11</v>
      </c>
      <c r="G14" s="43" t="s">
        <v>16</v>
      </c>
    </row>
    <row r="15" s="32" customFormat="1" ht="18" customHeight="1" spans="1:11">
      <c r="A15" s="11">
        <v>13</v>
      </c>
      <c r="B15" s="9">
        <v>46036</v>
      </c>
      <c r="C15" s="18" t="s">
        <v>19</v>
      </c>
      <c r="D15" s="18"/>
      <c r="E15" s="19">
        <v>4581</v>
      </c>
      <c r="F15" s="43" t="s">
        <v>11</v>
      </c>
      <c r="G15" s="43" t="s">
        <v>16</v>
      </c>
    </row>
    <row r="16" s="32" customFormat="1" ht="18" customHeight="1" spans="1:11">
      <c r="A16" s="11">
        <v>14</v>
      </c>
      <c r="B16" s="9">
        <v>46038</v>
      </c>
      <c r="C16" s="18" t="s">
        <v>20</v>
      </c>
      <c r="D16" s="18"/>
      <c r="E16" s="19">
        <v>5369.87</v>
      </c>
      <c r="F16" s="43" t="s">
        <v>21</v>
      </c>
      <c r="G16" s="43" t="s">
        <v>22</v>
      </c>
    </row>
    <row r="17" s="32" customFormat="1" ht="18" customHeight="1" spans="1:7">
      <c r="A17" s="11">
        <v>15</v>
      </c>
      <c r="B17" s="9">
        <v>46038</v>
      </c>
      <c r="C17" s="43" t="s">
        <v>23</v>
      </c>
      <c r="D17" s="18"/>
      <c r="E17" s="19">
        <v>98000</v>
      </c>
      <c r="F17" s="43" t="s">
        <v>24</v>
      </c>
      <c r="G17" s="18" t="s">
        <v>25</v>
      </c>
    </row>
    <row r="18" s="32" customFormat="1" ht="18" customHeight="1" spans="1:7">
      <c r="A18" s="11">
        <v>16</v>
      </c>
      <c r="B18" s="9">
        <v>46048</v>
      </c>
      <c r="C18" s="43" t="s">
        <v>26</v>
      </c>
      <c r="D18" s="18"/>
      <c r="E18" s="19">
        <v>104925.25</v>
      </c>
      <c r="F18" s="43" t="s">
        <v>11</v>
      </c>
      <c r="G18" s="43" t="s">
        <v>16</v>
      </c>
    </row>
    <row r="19" s="32" customFormat="1" ht="18" customHeight="1" spans="1:7">
      <c r="A19" s="11">
        <v>17</v>
      </c>
      <c r="B19" s="9">
        <v>46048</v>
      </c>
      <c r="C19" s="43" t="s">
        <v>27</v>
      </c>
      <c r="D19" s="18"/>
      <c r="E19" s="19">
        <v>22036</v>
      </c>
      <c r="F19" s="43" t="s">
        <v>28</v>
      </c>
      <c r="G19" s="18"/>
    </row>
    <row r="20" s="32" customFormat="1" ht="18" customHeight="1" spans="1:7">
      <c r="A20" s="11">
        <v>18</v>
      </c>
      <c r="B20" s="9">
        <v>46050</v>
      </c>
      <c r="C20" s="43" t="s">
        <v>29</v>
      </c>
      <c r="D20" s="18"/>
      <c r="E20" s="19">
        <v>12180</v>
      </c>
      <c r="F20" s="43" t="s">
        <v>11</v>
      </c>
      <c r="G20" s="43" t="s">
        <v>16</v>
      </c>
    </row>
    <row r="21" s="32" customFormat="1" ht="18" customHeight="1" spans="1:7">
      <c r="A21" s="11">
        <v>19</v>
      </c>
      <c r="B21" s="9">
        <v>46050</v>
      </c>
      <c r="C21" s="43" t="s">
        <v>29</v>
      </c>
      <c r="D21" s="18"/>
      <c r="E21" s="19">
        <v>92632</v>
      </c>
      <c r="F21" s="43" t="s">
        <v>11</v>
      </c>
      <c r="G21" s="43" t="s">
        <v>16</v>
      </c>
    </row>
    <row r="22" s="32" customFormat="1" ht="18" customHeight="1" spans="1:7">
      <c r="A22" s="11">
        <v>20</v>
      </c>
      <c r="B22" s="9">
        <v>46050</v>
      </c>
      <c r="C22" s="43" t="s">
        <v>29</v>
      </c>
      <c r="D22" s="18"/>
      <c r="E22" s="19">
        <v>491087.58</v>
      </c>
      <c r="F22" s="43" t="s">
        <v>11</v>
      </c>
      <c r="G22" s="43" t="s">
        <v>16</v>
      </c>
    </row>
    <row r="23" s="32" customFormat="1" ht="18" customHeight="1" spans="1:7">
      <c r="A23" s="11">
        <v>21</v>
      </c>
      <c r="B23" s="9">
        <v>46050</v>
      </c>
      <c r="C23" s="43" t="s">
        <v>29</v>
      </c>
      <c r="D23" s="18"/>
      <c r="E23" s="19">
        <v>200000</v>
      </c>
      <c r="F23" s="43" t="s">
        <v>30</v>
      </c>
      <c r="G23" s="43" t="s">
        <v>16</v>
      </c>
    </row>
    <row r="24" s="32" customFormat="1" ht="18" customHeight="1" spans="1:7">
      <c r="A24" s="11">
        <v>22</v>
      </c>
      <c r="B24" s="9">
        <v>46049</v>
      </c>
      <c r="C24" s="43" t="s">
        <v>29</v>
      </c>
      <c r="D24" s="18"/>
      <c r="E24" s="19">
        <v>227.52</v>
      </c>
      <c r="F24" s="43" t="s">
        <v>30</v>
      </c>
      <c r="G24" s="18"/>
    </row>
    <row r="25" s="32" customFormat="1" ht="18" customHeight="1" spans="1:7">
      <c r="A25" s="11">
        <v>23</v>
      </c>
      <c r="B25" s="9">
        <v>46050</v>
      </c>
      <c r="C25" s="43" t="s">
        <v>29</v>
      </c>
      <c r="D25" s="18"/>
      <c r="E25" s="19">
        <v>66.32</v>
      </c>
      <c r="F25" s="43" t="s">
        <v>11</v>
      </c>
      <c r="G25" s="18"/>
    </row>
    <row r="26" s="32" customFormat="1" ht="18" customHeight="1" spans="1:7">
      <c r="A26" s="11">
        <v>24</v>
      </c>
      <c r="B26" s="9">
        <v>46050</v>
      </c>
      <c r="C26" s="43" t="s">
        <v>10</v>
      </c>
      <c r="D26" s="18"/>
      <c r="E26" s="19">
        <v>30000</v>
      </c>
      <c r="F26" s="43" t="s">
        <v>11</v>
      </c>
      <c r="G26" s="43" t="s">
        <v>16</v>
      </c>
    </row>
    <row r="27" s="32" customFormat="1" ht="18" customHeight="1" spans="1:7">
      <c r="A27" s="11">
        <v>25</v>
      </c>
      <c r="B27" s="9">
        <v>46050</v>
      </c>
      <c r="C27" s="43" t="s">
        <v>10</v>
      </c>
      <c r="D27" s="18"/>
      <c r="E27" s="19">
        <v>30.4</v>
      </c>
      <c r="F27" s="43" t="s">
        <v>31</v>
      </c>
      <c r="G27" s="18"/>
    </row>
    <row r="28" s="32" customFormat="1" ht="18" customHeight="1" spans="1:7">
      <c r="A28" s="11">
        <v>26</v>
      </c>
      <c r="B28" s="9">
        <v>46050</v>
      </c>
      <c r="C28" s="99" t="s">
        <v>32</v>
      </c>
      <c r="D28" s="18"/>
      <c r="E28" s="19">
        <v>65686.5</v>
      </c>
      <c r="F28" s="43" t="s">
        <v>11</v>
      </c>
      <c r="G28" s="43" t="s">
        <v>16</v>
      </c>
    </row>
    <row r="29" s="32" customFormat="1" ht="18" customHeight="1" spans="1:7">
      <c r="A29" s="11">
        <v>27</v>
      </c>
      <c r="B29" s="9">
        <v>46050</v>
      </c>
      <c r="C29" s="43" t="s">
        <v>29</v>
      </c>
      <c r="D29" s="18"/>
      <c r="E29" s="19">
        <v>50000</v>
      </c>
      <c r="F29" s="43" t="s">
        <v>33</v>
      </c>
      <c r="G29" s="43"/>
    </row>
    <row r="30" s="32" customFormat="1" ht="18" customHeight="1" spans="1:7">
      <c r="A30" s="11">
        <v>28</v>
      </c>
      <c r="B30" s="9">
        <v>46050</v>
      </c>
      <c r="C30" s="43" t="s">
        <v>29</v>
      </c>
      <c r="D30" s="18"/>
      <c r="E30" s="19">
        <v>130000</v>
      </c>
      <c r="F30" s="43" t="s">
        <v>34</v>
      </c>
      <c r="G30" s="43"/>
    </row>
    <row r="31" s="32" customFormat="1" ht="18" customHeight="1" spans="1:7">
      <c r="A31" s="11">
        <v>29</v>
      </c>
      <c r="B31" s="9">
        <v>46051</v>
      </c>
      <c r="C31" s="43" t="s">
        <v>35</v>
      </c>
      <c r="D31" s="18"/>
      <c r="E31" s="19">
        <v>380000</v>
      </c>
      <c r="F31" s="43" t="s">
        <v>9</v>
      </c>
      <c r="G31" s="43" t="s">
        <v>16</v>
      </c>
    </row>
    <row r="32" s="32" customFormat="1" ht="18" customHeight="1" spans="1:7">
      <c r="A32" s="11">
        <v>30</v>
      </c>
      <c r="B32" s="9">
        <v>46051</v>
      </c>
      <c r="C32" s="18" t="s">
        <v>36</v>
      </c>
      <c r="D32" s="18"/>
      <c r="E32" s="19">
        <v>596722.66</v>
      </c>
      <c r="F32" s="43" t="s">
        <v>11</v>
      </c>
      <c r="G32" s="43" t="s">
        <v>37</v>
      </c>
    </row>
    <row r="33" s="32" customFormat="1" ht="18" customHeight="1" spans="1:7">
      <c r="A33" s="11">
        <v>31</v>
      </c>
      <c r="B33" s="9">
        <v>46051</v>
      </c>
      <c r="C33" s="43" t="s">
        <v>38</v>
      </c>
      <c r="D33" s="18"/>
      <c r="E33" s="19">
        <v>50000</v>
      </c>
      <c r="F33" s="43" t="s">
        <v>11</v>
      </c>
      <c r="G33" s="43" t="s">
        <v>16</v>
      </c>
    </row>
    <row r="34" s="32" customFormat="1" ht="18" customHeight="1" spans="1:7">
      <c r="A34" s="11">
        <v>32</v>
      </c>
      <c r="B34" s="9">
        <v>46052</v>
      </c>
      <c r="C34" s="43" t="s">
        <v>39</v>
      </c>
      <c r="D34" s="18"/>
      <c r="E34" s="19">
        <v>50000</v>
      </c>
      <c r="F34" s="43" t="s">
        <v>30</v>
      </c>
      <c r="G34" s="43" t="s">
        <v>16</v>
      </c>
    </row>
    <row r="35" s="32" customFormat="1" ht="18" customHeight="1" spans="1:7">
      <c r="A35" s="11"/>
      <c r="B35" s="9"/>
      <c r="C35" s="43"/>
      <c r="D35" s="18"/>
      <c r="E35" s="19"/>
      <c r="F35" s="43"/>
      <c r="G35" s="43"/>
    </row>
    <row r="36" s="32" customFormat="1" ht="18" customHeight="1" spans="1:7">
      <c r="A36" s="11"/>
      <c r="B36" s="9"/>
      <c r="C36" s="43"/>
      <c r="D36" s="18"/>
      <c r="E36" s="19"/>
      <c r="F36" s="43"/>
      <c r="G36" s="18"/>
    </row>
    <row r="37" s="32" customFormat="1" ht="15" customHeight="1" spans="1:7">
      <c r="A37" s="11"/>
      <c r="B37" s="9"/>
      <c r="C37" s="18"/>
      <c r="D37" s="18" t="s">
        <v>40</v>
      </c>
      <c r="E37" s="44">
        <f>SUM(E3:E36)</f>
        <v>3510551.73</v>
      </c>
      <c r="F37" s="18"/>
      <c r="G37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opLeftCell="B30" workbookViewId="0">
      <selection activeCell="E3" sqref="E3:E36"/>
    </sheetView>
  </sheetViews>
  <sheetFormatPr defaultColWidth="9" defaultRowHeight="13.5"/>
  <cols>
    <col min="1" max="1" width="4.88333333333333" style="30" customWidth="1"/>
    <col min="2" max="2" width="10.3833333333333" style="33" customWidth="1"/>
    <col min="3" max="3" width="39.75" style="32" customWidth="1"/>
    <col min="4" max="4" width="7" style="32" customWidth="1"/>
    <col min="5" max="5" width="18.75" style="32" customWidth="1"/>
    <col min="6" max="6" width="15.25" style="32" customWidth="1"/>
    <col min="7" max="7" width="24" style="32" customWidth="1"/>
    <col min="8" max="16384" width="9" style="32"/>
  </cols>
  <sheetData>
    <row r="1" s="30" customFormat="1" ht="27" customHeight="1" spans="1:10">
      <c r="A1" s="34" t="s">
        <v>41</v>
      </c>
      <c r="B1" s="34"/>
      <c r="C1" s="34"/>
      <c r="D1" s="34"/>
      <c r="E1" s="34"/>
      <c r="F1" s="34"/>
      <c r="G1" s="34"/>
    </row>
    <row r="2" s="31" customFormat="1" ht="20" customHeight="1" spans="1:10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25" customHeight="1" spans="1:10">
      <c r="A3" s="11">
        <v>1</v>
      </c>
      <c r="B3" s="9">
        <v>46055</v>
      </c>
      <c r="C3" s="43" t="s">
        <v>42</v>
      </c>
      <c r="D3" s="18"/>
      <c r="E3" s="19">
        <v>22420</v>
      </c>
      <c r="F3" s="43" t="s">
        <v>11</v>
      </c>
      <c r="G3" s="18"/>
    </row>
    <row r="4" s="32" customFormat="1" ht="25" customHeight="1" spans="1:10">
      <c r="A4" s="11">
        <v>2</v>
      </c>
      <c r="B4" s="9">
        <v>46055</v>
      </c>
      <c r="C4" s="93" t="s">
        <v>43</v>
      </c>
      <c r="D4" s="18"/>
      <c r="E4" s="19">
        <v>1864190</v>
      </c>
      <c r="F4" s="43" t="s">
        <v>11</v>
      </c>
      <c r="G4" s="43" t="s">
        <v>16</v>
      </c>
    </row>
    <row r="5" s="32" customFormat="1" ht="25" customHeight="1" spans="1:10">
      <c r="A5" s="11">
        <v>3</v>
      </c>
      <c r="B5" s="16">
        <v>46056</v>
      </c>
      <c r="C5" s="94" t="s">
        <v>44</v>
      </c>
      <c r="D5" s="72"/>
      <c r="E5" s="19">
        <v>7310.4</v>
      </c>
      <c r="F5" s="43" t="s">
        <v>11</v>
      </c>
      <c r="G5" s="43" t="s">
        <v>22</v>
      </c>
    </row>
    <row r="6" s="32" customFormat="1" ht="25" customHeight="1" spans="1:10">
      <c r="A6" s="11">
        <v>4</v>
      </c>
      <c r="B6" s="16">
        <v>46058</v>
      </c>
      <c r="C6" s="94" t="s">
        <v>45</v>
      </c>
      <c r="D6" s="95"/>
      <c r="E6" s="19">
        <v>1916.66</v>
      </c>
      <c r="F6" s="43" t="s">
        <v>11</v>
      </c>
      <c r="G6" s="43" t="s">
        <v>16</v>
      </c>
    </row>
    <row r="7" s="32" customFormat="1" ht="25" customHeight="1" spans="1:10">
      <c r="A7" s="11">
        <v>5</v>
      </c>
      <c r="B7" s="16">
        <v>46058</v>
      </c>
      <c r="C7" s="94" t="s">
        <v>45</v>
      </c>
      <c r="D7" s="72"/>
      <c r="E7" s="19">
        <v>126569.63</v>
      </c>
      <c r="F7" s="43" t="s">
        <v>11</v>
      </c>
      <c r="G7" s="43" t="s">
        <v>16</v>
      </c>
    </row>
    <row r="8" s="32" customFormat="1" ht="25" customHeight="1" spans="1:10">
      <c r="A8" s="11">
        <v>6</v>
      </c>
      <c r="B8" s="16">
        <v>46058</v>
      </c>
      <c r="C8" s="94" t="s">
        <v>45</v>
      </c>
      <c r="D8" s="72"/>
      <c r="E8" s="19">
        <v>18013.71</v>
      </c>
      <c r="F8" s="43" t="s">
        <v>11</v>
      </c>
      <c r="G8" s="18"/>
    </row>
    <row r="9" s="32" customFormat="1" ht="25" customHeight="1" spans="1:10">
      <c r="A9" s="11">
        <v>7</v>
      </c>
      <c r="B9" s="16">
        <v>46063</v>
      </c>
      <c r="C9" s="94" t="s">
        <v>46</v>
      </c>
      <c r="D9" s="72"/>
      <c r="E9" s="19">
        <v>600000</v>
      </c>
      <c r="F9" s="43" t="s">
        <v>11</v>
      </c>
      <c r="G9" s="43" t="s">
        <v>16</v>
      </c>
      <c r="I9" s="96"/>
    </row>
    <row r="10" s="32" customFormat="1" ht="25" customHeight="1" spans="1:10">
      <c r="A10" s="11">
        <v>8</v>
      </c>
      <c r="B10" s="16">
        <v>46063</v>
      </c>
      <c r="C10" s="94" t="s">
        <v>46</v>
      </c>
      <c r="D10" s="72"/>
      <c r="E10" s="19">
        <v>306584</v>
      </c>
      <c r="F10" s="43" t="s">
        <v>11</v>
      </c>
      <c r="G10" s="43" t="s">
        <v>16</v>
      </c>
      <c r="J10" s="96"/>
    </row>
    <row r="11" s="32" customFormat="1" ht="25" customHeight="1" spans="1:10">
      <c r="A11" s="11">
        <v>9</v>
      </c>
      <c r="B11" s="16">
        <v>46063</v>
      </c>
      <c r="C11" s="94" t="s">
        <v>46</v>
      </c>
      <c r="D11" s="72"/>
      <c r="E11" s="19">
        <v>9612.04</v>
      </c>
      <c r="F11" s="43" t="s">
        <v>11</v>
      </c>
      <c r="G11" s="43"/>
    </row>
    <row r="12" s="32" customFormat="1" ht="25" customHeight="1" spans="1:10">
      <c r="A12" s="11">
        <v>10</v>
      </c>
      <c r="B12" s="16">
        <v>46063</v>
      </c>
      <c r="C12" s="94" t="s">
        <v>47</v>
      </c>
      <c r="D12" s="72"/>
      <c r="E12" s="19">
        <v>133340</v>
      </c>
      <c r="F12" s="43" t="s">
        <v>9</v>
      </c>
      <c r="G12" s="43"/>
    </row>
    <row r="13" s="32" customFormat="1" ht="25" customHeight="1" spans="1:10">
      <c r="A13" s="11">
        <v>11</v>
      </c>
      <c r="B13" s="16">
        <v>46064</v>
      </c>
      <c r="C13" s="94" t="s">
        <v>43</v>
      </c>
      <c r="D13" s="72"/>
      <c r="E13" s="19">
        <v>715900</v>
      </c>
      <c r="F13" s="43" t="s">
        <v>11</v>
      </c>
      <c r="G13" s="43" t="s">
        <v>16</v>
      </c>
    </row>
    <row r="14" s="32" customFormat="1" ht="25" customHeight="1" spans="1:10">
      <c r="A14" s="11">
        <v>12</v>
      </c>
      <c r="B14" s="16">
        <v>46064</v>
      </c>
      <c r="C14" s="87" t="s">
        <v>48</v>
      </c>
      <c r="D14" s="72"/>
      <c r="E14" s="19">
        <v>32544</v>
      </c>
      <c r="F14" s="43" t="s">
        <v>49</v>
      </c>
      <c r="G14" s="43" t="s">
        <v>16</v>
      </c>
    </row>
    <row r="15" s="32" customFormat="1" ht="25" customHeight="1" spans="1:10">
      <c r="A15" s="11">
        <v>13</v>
      </c>
      <c r="B15" s="16">
        <v>46064</v>
      </c>
      <c r="C15" s="87" t="s">
        <v>48</v>
      </c>
      <c r="D15" s="72"/>
      <c r="E15" s="19">
        <v>37543.8</v>
      </c>
      <c r="F15" s="43" t="s">
        <v>49</v>
      </c>
      <c r="G15" s="43" t="s">
        <v>16</v>
      </c>
    </row>
    <row r="16" s="32" customFormat="1" ht="25" customHeight="1" spans="1:10">
      <c r="A16" s="11">
        <v>14</v>
      </c>
      <c r="B16" s="16">
        <v>46064</v>
      </c>
      <c r="C16" s="87" t="s">
        <v>50</v>
      </c>
      <c r="D16" s="72"/>
      <c r="E16" s="19">
        <v>50000</v>
      </c>
      <c r="F16" s="43" t="s">
        <v>11</v>
      </c>
      <c r="G16" s="43" t="s">
        <v>16</v>
      </c>
    </row>
    <row r="17" s="32" customFormat="1" ht="25" customHeight="1" spans="1:7">
      <c r="A17" s="11">
        <v>15</v>
      </c>
      <c r="B17" s="16">
        <v>46064</v>
      </c>
      <c r="C17" s="87" t="s">
        <v>50</v>
      </c>
      <c r="D17" s="72"/>
      <c r="E17" s="19">
        <v>48000</v>
      </c>
      <c r="F17" s="43" t="s">
        <v>11</v>
      </c>
      <c r="G17" s="43" t="s">
        <v>16</v>
      </c>
    </row>
    <row r="18" s="32" customFormat="1" ht="25" customHeight="1" spans="1:7">
      <c r="A18" s="11">
        <v>16</v>
      </c>
      <c r="B18" s="16">
        <v>46064</v>
      </c>
      <c r="C18" s="87" t="s">
        <v>50</v>
      </c>
      <c r="D18" s="72"/>
      <c r="E18" s="19">
        <v>80000</v>
      </c>
      <c r="F18" s="43" t="s">
        <v>11</v>
      </c>
      <c r="G18" s="43" t="s">
        <v>16</v>
      </c>
    </row>
    <row r="19" s="32" customFormat="1" ht="25" customHeight="1" spans="1:7">
      <c r="A19" s="11">
        <v>17</v>
      </c>
      <c r="B19" s="16">
        <v>46064</v>
      </c>
      <c r="C19" s="87" t="s">
        <v>51</v>
      </c>
      <c r="D19" s="72"/>
      <c r="E19" s="19">
        <v>6841.29</v>
      </c>
      <c r="F19" s="43" t="s">
        <v>9</v>
      </c>
      <c r="G19" s="43" t="s">
        <v>22</v>
      </c>
    </row>
    <row r="20" s="32" customFormat="1" ht="25" customHeight="1" spans="1:7">
      <c r="A20" s="11">
        <v>18</v>
      </c>
      <c r="B20" s="16">
        <v>46065</v>
      </c>
      <c r="C20" s="43" t="s">
        <v>27</v>
      </c>
      <c r="D20" s="72"/>
      <c r="E20" s="19">
        <v>110190.62</v>
      </c>
      <c r="F20" s="43" t="s">
        <v>52</v>
      </c>
      <c r="G20" s="43"/>
    </row>
    <row r="21" s="32" customFormat="1" ht="25" customHeight="1" spans="1:7">
      <c r="A21" s="11">
        <v>19</v>
      </c>
      <c r="B21" s="16">
        <v>46065</v>
      </c>
      <c r="C21" s="87" t="s">
        <v>53</v>
      </c>
      <c r="D21" s="72"/>
      <c r="E21" s="19">
        <v>20000</v>
      </c>
      <c r="F21" s="43" t="s">
        <v>11</v>
      </c>
      <c r="G21" s="43"/>
    </row>
    <row r="22" s="32" customFormat="1" ht="25" customHeight="1" spans="1:7">
      <c r="A22" s="11">
        <v>20</v>
      </c>
      <c r="B22" s="16">
        <v>46065</v>
      </c>
      <c r="C22" s="87" t="s">
        <v>54</v>
      </c>
      <c r="D22" s="72"/>
      <c r="E22" s="19">
        <v>15059.18</v>
      </c>
      <c r="F22" s="43" t="s">
        <v>11</v>
      </c>
      <c r="G22" s="43"/>
    </row>
    <row r="23" s="32" customFormat="1" ht="25" customHeight="1" spans="1:7">
      <c r="A23" s="11">
        <v>21</v>
      </c>
      <c r="B23" s="16">
        <v>46065</v>
      </c>
      <c r="C23" s="87" t="s">
        <v>50</v>
      </c>
      <c r="D23" s="72"/>
      <c r="E23" s="19">
        <v>322000</v>
      </c>
      <c r="F23" s="43" t="s">
        <v>11</v>
      </c>
      <c r="G23" s="43" t="s">
        <v>55</v>
      </c>
    </row>
    <row r="24" s="32" customFormat="1" ht="25" customHeight="1" spans="1:7">
      <c r="A24" s="11">
        <v>22</v>
      </c>
      <c r="B24" s="16">
        <v>46065</v>
      </c>
      <c r="C24" s="87" t="s">
        <v>56</v>
      </c>
      <c r="D24" s="72"/>
      <c r="E24" s="19">
        <v>147000</v>
      </c>
      <c r="F24" s="43" t="s">
        <v>11</v>
      </c>
      <c r="G24" s="43" t="s">
        <v>16</v>
      </c>
    </row>
    <row r="25" s="32" customFormat="1" ht="25" customHeight="1" spans="1:7">
      <c r="A25" s="11">
        <v>23</v>
      </c>
      <c r="B25" s="16">
        <v>46066</v>
      </c>
      <c r="C25" s="94" t="s">
        <v>46</v>
      </c>
      <c r="D25" s="72"/>
      <c r="E25" s="19">
        <v>80000</v>
      </c>
      <c r="F25" s="43" t="s">
        <v>11</v>
      </c>
      <c r="G25" s="43" t="s">
        <v>16</v>
      </c>
    </row>
    <row r="26" s="32" customFormat="1" ht="25" customHeight="1" spans="1:7">
      <c r="A26" s="11">
        <v>24</v>
      </c>
      <c r="B26" s="16">
        <v>46066</v>
      </c>
      <c r="C26" s="97" t="s">
        <v>57</v>
      </c>
      <c r="D26" s="72"/>
      <c r="E26" s="19">
        <v>10000</v>
      </c>
      <c r="F26" s="43" t="s">
        <v>11</v>
      </c>
      <c r="G26" s="43"/>
    </row>
    <row r="27" s="32" customFormat="1" ht="25" customHeight="1" spans="1:7">
      <c r="A27" s="11">
        <v>25</v>
      </c>
      <c r="B27" s="16">
        <v>46066</v>
      </c>
      <c r="C27" s="94" t="s">
        <v>46</v>
      </c>
      <c r="D27" s="72"/>
      <c r="E27" s="19">
        <v>15300</v>
      </c>
      <c r="F27" s="43" t="s">
        <v>11</v>
      </c>
      <c r="G27" s="43"/>
    </row>
    <row r="28" s="32" customFormat="1" ht="25" customHeight="1" spans="1:7">
      <c r="A28" s="11">
        <v>26</v>
      </c>
      <c r="B28" s="16">
        <v>46066</v>
      </c>
      <c r="C28" s="97" t="s">
        <v>58</v>
      </c>
      <c r="D28" s="72"/>
      <c r="E28" s="19">
        <v>60000</v>
      </c>
      <c r="F28" s="43" t="s">
        <v>11</v>
      </c>
      <c r="G28" s="43"/>
    </row>
    <row r="29" s="32" customFormat="1" ht="25" customHeight="1" spans="1:7">
      <c r="A29" s="11">
        <v>27</v>
      </c>
      <c r="B29" s="16">
        <v>46068</v>
      </c>
      <c r="C29" s="97" t="s">
        <v>59</v>
      </c>
      <c r="D29" s="72"/>
      <c r="E29" s="19">
        <v>10000</v>
      </c>
      <c r="F29" s="43" t="s">
        <v>11</v>
      </c>
      <c r="G29" s="43"/>
    </row>
    <row r="30" s="32" customFormat="1" ht="25" customHeight="1" spans="1:7">
      <c r="A30" s="11">
        <v>28</v>
      </c>
      <c r="B30" s="16">
        <v>46077</v>
      </c>
      <c r="C30" s="97" t="s">
        <v>60</v>
      </c>
      <c r="D30" s="72"/>
      <c r="E30" s="19">
        <v>20000</v>
      </c>
      <c r="F30" s="43" t="s">
        <v>11</v>
      </c>
      <c r="G30" s="43" t="s">
        <v>16</v>
      </c>
    </row>
    <row r="31" s="32" customFormat="1" ht="25" customHeight="1" spans="1:7">
      <c r="A31" s="11">
        <v>29</v>
      </c>
      <c r="B31" s="16">
        <v>46081</v>
      </c>
      <c r="C31" s="87" t="s">
        <v>29</v>
      </c>
      <c r="D31" s="72"/>
      <c r="E31" s="19">
        <v>356000</v>
      </c>
      <c r="F31" s="43" t="s">
        <v>11</v>
      </c>
      <c r="G31" s="43" t="s">
        <v>16</v>
      </c>
    </row>
    <row r="32" s="32" customFormat="1" ht="25" customHeight="1" spans="1:7">
      <c r="A32" s="11">
        <v>30</v>
      </c>
      <c r="B32" s="16">
        <v>46081</v>
      </c>
      <c r="C32" s="87" t="s">
        <v>29</v>
      </c>
      <c r="D32" s="72"/>
      <c r="E32" s="19">
        <v>10000</v>
      </c>
      <c r="F32" s="43" t="s">
        <v>11</v>
      </c>
      <c r="G32" s="43" t="s">
        <v>16</v>
      </c>
    </row>
    <row r="33" s="32" customFormat="1" ht="25" customHeight="1" spans="1:14">
      <c r="A33" s="11">
        <v>31</v>
      </c>
      <c r="B33" s="16">
        <v>46081</v>
      </c>
      <c r="C33" s="87" t="s">
        <v>29</v>
      </c>
      <c r="D33" s="72"/>
      <c r="E33" s="19">
        <v>289862.09</v>
      </c>
      <c r="F33" s="43" t="s">
        <v>11</v>
      </c>
      <c r="G33" s="43" t="s">
        <v>16</v>
      </c>
    </row>
    <row r="34" s="32" customFormat="1" ht="25" customHeight="1" spans="1:14">
      <c r="A34" s="11"/>
      <c r="B34" s="16"/>
      <c r="C34" s="87"/>
      <c r="D34" s="72"/>
      <c r="E34" s="19"/>
      <c r="F34" s="43"/>
      <c r="G34" s="43"/>
    </row>
    <row r="35" s="32" customFormat="1" ht="25" customHeight="1" spans="1:14">
      <c r="A35" s="11"/>
      <c r="B35" s="16"/>
      <c r="C35" s="97"/>
      <c r="D35" s="72"/>
      <c r="E35" s="19"/>
      <c r="F35" s="43"/>
      <c r="G35" s="43"/>
    </row>
    <row r="36" s="32" customFormat="1" ht="25" customHeight="1" spans="1:14">
      <c r="A36" s="11"/>
      <c r="B36" s="9"/>
      <c r="C36" s="97"/>
      <c r="D36" s="43" t="s">
        <v>40</v>
      </c>
      <c r="E36" s="44">
        <f>SUM(E3:E35)</f>
        <v>5526197.42</v>
      </c>
      <c r="F36" s="18"/>
      <c r="G36" s="18"/>
      <c r="I36" s="98"/>
    </row>
    <row r="37" ht="25" customHeight="1" spans="1:14">
      <c r="N37" s="32" t="s">
        <v>61</v>
      </c>
    </row>
    <row r="38" ht="25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C1" workbookViewId="0">
      <selection activeCell="I12" sqref="I12"/>
    </sheetView>
  </sheetViews>
  <sheetFormatPr defaultColWidth="9" defaultRowHeight="13.5" outlineLevelCol="6"/>
  <cols>
    <col min="1" max="1" width="4.88333333333333" style="30" customWidth="1"/>
    <col min="2" max="2" width="10.3833333333333" style="33" customWidth="1"/>
    <col min="3" max="3" width="34.6333333333333" style="32" customWidth="1"/>
    <col min="4" max="4" width="7" style="32" customWidth="1"/>
    <col min="5" max="5" width="18.75" style="81" customWidth="1"/>
    <col min="6" max="6" width="18.8833333333333" style="32" customWidth="1"/>
    <col min="7" max="7" width="25.25" style="32" customWidth="1"/>
    <col min="8" max="16384" width="9" style="32"/>
  </cols>
  <sheetData>
    <row r="1" s="30" customFormat="1" ht="20.25" spans="1:7">
      <c r="A1" s="34" t="s">
        <v>62</v>
      </c>
      <c r="B1" s="34"/>
      <c r="C1" s="34"/>
      <c r="D1" s="34"/>
      <c r="E1" s="82"/>
      <c r="F1" s="34"/>
      <c r="G1" s="34"/>
    </row>
    <row r="2" s="31" customFormat="1" ht="22.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91" t="s">
        <v>5</v>
      </c>
      <c r="F2" s="38" t="s">
        <v>6</v>
      </c>
      <c r="G2" s="36" t="s">
        <v>7</v>
      </c>
    </row>
    <row r="3" s="32" customFormat="1" ht="18" customHeight="1" spans="1:7">
      <c r="A3" s="11">
        <v>1</v>
      </c>
      <c r="B3" s="9">
        <v>46083</v>
      </c>
      <c r="C3" s="18" t="s">
        <v>39</v>
      </c>
      <c r="D3" s="18"/>
      <c r="E3" s="19">
        <v>30000</v>
      </c>
      <c r="F3" s="43" t="s">
        <v>63</v>
      </c>
      <c r="G3" s="43" t="s">
        <v>16</v>
      </c>
    </row>
    <row r="4" s="32" customFormat="1" ht="18" customHeight="1" spans="1:7">
      <c r="A4" s="11">
        <v>2</v>
      </c>
      <c r="B4" s="9">
        <v>46090</v>
      </c>
      <c r="C4" s="70" t="s">
        <v>64</v>
      </c>
      <c r="D4" s="18"/>
      <c r="E4" s="19">
        <v>150000</v>
      </c>
      <c r="F4" s="43" t="s">
        <v>11</v>
      </c>
      <c r="G4" s="43" t="s">
        <v>16</v>
      </c>
    </row>
    <row r="5" s="32" customFormat="1" ht="18" customHeight="1" spans="1:7">
      <c r="A5" s="11">
        <v>3</v>
      </c>
      <c r="B5" s="16">
        <v>46090</v>
      </c>
      <c r="C5" s="92" t="s">
        <v>17</v>
      </c>
      <c r="D5" s="72"/>
      <c r="E5" s="19">
        <v>18800</v>
      </c>
      <c r="F5" s="43" t="s">
        <v>11</v>
      </c>
      <c r="G5" s="18"/>
    </row>
    <row r="6" s="32" customFormat="1" ht="18" customHeight="1" spans="1:7">
      <c r="A6" s="11">
        <v>4</v>
      </c>
      <c r="B6" s="16">
        <v>46101</v>
      </c>
      <c r="C6" s="51" t="s">
        <v>50</v>
      </c>
      <c r="D6" s="72"/>
      <c r="E6" s="19">
        <v>2085.43</v>
      </c>
      <c r="F6" s="43" t="s">
        <v>11</v>
      </c>
      <c r="G6" s="18"/>
    </row>
    <row r="7" s="32" customFormat="1" ht="18" customHeight="1" spans="1:7">
      <c r="A7" s="11">
        <v>5</v>
      </c>
      <c r="B7" s="16">
        <v>46104</v>
      </c>
      <c r="C7" s="51" t="s">
        <v>50</v>
      </c>
      <c r="D7" s="72"/>
      <c r="E7" s="19">
        <v>35050</v>
      </c>
      <c r="F7" s="43" t="s">
        <v>11</v>
      </c>
      <c r="G7" s="43" t="s">
        <v>16</v>
      </c>
    </row>
    <row r="8" s="32" customFormat="1" ht="18" customHeight="1" spans="1:7">
      <c r="A8" s="11">
        <v>6</v>
      </c>
      <c r="B8" s="16">
        <v>46104</v>
      </c>
      <c r="C8" s="51" t="s">
        <v>50</v>
      </c>
      <c r="D8" s="72"/>
      <c r="E8" s="19">
        <v>46274.57</v>
      </c>
      <c r="F8" s="43" t="s">
        <v>11</v>
      </c>
      <c r="G8" s="43" t="s">
        <v>16</v>
      </c>
    </row>
    <row r="9" s="32" customFormat="1" ht="18" customHeight="1" spans="1:7">
      <c r="A9" s="11">
        <v>7</v>
      </c>
      <c r="B9" s="16">
        <v>46104</v>
      </c>
      <c r="C9" s="18" t="s">
        <v>13</v>
      </c>
      <c r="D9" s="18"/>
      <c r="E9" s="19">
        <v>2600</v>
      </c>
      <c r="F9" s="43" t="s">
        <v>14</v>
      </c>
      <c r="G9" s="18"/>
    </row>
    <row r="10" s="32" customFormat="1" ht="18" customHeight="1" spans="1:7">
      <c r="A10" s="11">
        <v>8</v>
      </c>
      <c r="B10" s="16">
        <v>46104</v>
      </c>
      <c r="C10" s="18" t="s">
        <v>13</v>
      </c>
      <c r="D10" s="18"/>
      <c r="E10" s="19">
        <v>7930</v>
      </c>
      <c r="F10" s="43" t="s">
        <v>14</v>
      </c>
      <c r="G10" s="18"/>
    </row>
    <row r="11" s="32" customFormat="1" ht="18" customHeight="1" spans="1:7">
      <c r="A11" s="11">
        <v>9</v>
      </c>
      <c r="B11" s="16">
        <v>46104</v>
      </c>
      <c r="C11" s="18" t="s">
        <v>13</v>
      </c>
      <c r="D11" s="18"/>
      <c r="E11" s="19">
        <v>7800</v>
      </c>
      <c r="F11" s="43" t="s">
        <v>14</v>
      </c>
      <c r="G11" s="18"/>
    </row>
    <row r="12" s="32" customFormat="1" ht="18" customHeight="1" spans="1:7">
      <c r="A12" s="11">
        <v>10</v>
      </c>
      <c r="B12" s="16">
        <v>46105</v>
      </c>
      <c r="C12" s="18" t="s">
        <v>65</v>
      </c>
      <c r="D12" s="18"/>
      <c r="E12" s="19">
        <v>200000</v>
      </c>
      <c r="F12" s="43" t="s">
        <v>11</v>
      </c>
      <c r="G12" s="18"/>
    </row>
    <row r="13" s="32" customFormat="1" ht="18" customHeight="1" spans="1:7">
      <c r="A13" s="11">
        <v>11</v>
      </c>
      <c r="B13" s="16">
        <v>46105</v>
      </c>
      <c r="C13" s="18" t="s">
        <v>66</v>
      </c>
      <c r="D13" s="18"/>
      <c r="E13" s="19">
        <v>9232.41</v>
      </c>
      <c r="F13" s="43" t="s">
        <v>63</v>
      </c>
      <c r="G13" s="18"/>
    </row>
    <row r="14" s="32" customFormat="1" ht="18" customHeight="1" spans="1:7">
      <c r="A14" s="11">
        <v>12</v>
      </c>
      <c r="B14" s="16">
        <v>46106</v>
      </c>
      <c r="C14" s="18" t="s">
        <v>66</v>
      </c>
      <c r="D14" s="18"/>
      <c r="E14" s="19">
        <v>31600</v>
      </c>
      <c r="F14" s="43" t="s">
        <v>63</v>
      </c>
      <c r="G14" s="43" t="s">
        <v>16</v>
      </c>
    </row>
    <row r="15" s="32" customFormat="1" ht="18" customHeight="1" spans="1:7">
      <c r="A15" s="11">
        <v>13</v>
      </c>
      <c r="B15" s="16">
        <v>46106</v>
      </c>
      <c r="C15" s="18" t="s">
        <v>66</v>
      </c>
      <c r="D15" s="18"/>
      <c r="E15" s="19">
        <v>18567.59</v>
      </c>
      <c r="F15" s="43" t="s">
        <v>63</v>
      </c>
      <c r="G15" s="43" t="s">
        <v>16</v>
      </c>
    </row>
    <row r="16" s="32" customFormat="1" ht="18" customHeight="1" spans="1:7">
      <c r="A16" s="11">
        <v>14</v>
      </c>
      <c r="B16" s="16">
        <v>46107</v>
      </c>
      <c r="C16" s="18" t="s">
        <v>67</v>
      </c>
      <c r="D16" s="18"/>
      <c r="E16" s="19">
        <v>5500</v>
      </c>
      <c r="F16" s="43" t="s">
        <v>11</v>
      </c>
      <c r="G16" s="43" t="s">
        <v>22</v>
      </c>
    </row>
    <row r="17" s="32" customFormat="1" ht="18" customHeight="1" spans="1:7">
      <c r="A17" s="11">
        <v>15</v>
      </c>
      <c r="B17" s="16">
        <v>46107</v>
      </c>
      <c r="C17" s="18" t="s">
        <v>13</v>
      </c>
      <c r="D17" s="18"/>
      <c r="E17" s="19">
        <v>16575</v>
      </c>
      <c r="F17" s="43" t="s">
        <v>14</v>
      </c>
      <c r="G17" s="18"/>
    </row>
    <row r="18" s="32" customFormat="1" ht="18" customHeight="1" spans="1:7">
      <c r="A18" s="11"/>
      <c r="B18" s="16">
        <v>46111</v>
      </c>
      <c r="C18" s="43" t="s">
        <v>27</v>
      </c>
      <c r="D18" s="18"/>
      <c r="E18" s="19">
        <v>165404.21</v>
      </c>
      <c r="F18" s="43" t="s">
        <v>52</v>
      </c>
      <c r="G18" s="18"/>
    </row>
    <row r="19" s="32" customFormat="1" ht="18" customHeight="1" spans="1:7">
      <c r="A19" s="11"/>
      <c r="B19" s="16">
        <v>46111</v>
      </c>
      <c r="C19" s="43" t="s">
        <v>27</v>
      </c>
      <c r="D19" s="18"/>
      <c r="E19" s="19">
        <v>260000</v>
      </c>
      <c r="F19" s="43" t="s">
        <v>52</v>
      </c>
      <c r="G19" s="18"/>
    </row>
    <row r="20" s="32" customFormat="1" ht="18" customHeight="1" spans="1:7">
      <c r="A20" s="11"/>
      <c r="B20" s="16">
        <v>46111</v>
      </c>
      <c r="C20" s="43" t="s">
        <v>27</v>
      </c>
      <c r="D20" s="18"/>
      <c r="E20" s="19">
        <v>51019.38</v>
      </c>
      <c r="F20" s="43" t="s">
        <v>11</v>
      </c>
      <c r="G20" s="43" t="s">
        <v>68</v>
      </c>
    </row>
    <row r="21" s="32" customFormat="1" ht="18" customHeight="1" spans="1:7">
      <c r="A21" s="11"/>
      <c r="B21" s="16">
        <v>46111</v>
      </c>
      <c r="C21" s="87" t="s">
        <v>29</v>
      </c>
      <c r="D21" s="18"/>
      <c r="E21" s="19">
        <v>45750</v>
      </c>
      <c r="F21" s="43" t="s">
        <v>11</v>
      </c>
      <c r="G21" s="43" t="s">
        <v>16</v>
      </c>
    </row>
    <row r="22" s="32" customFormat="1" ht="18" customHeight="1" spans="1:7">
      <c r="A22" s="11"/>
      <c r="B22" s="16">
        <v>46111</v>
      </c>
      <c r="C22" s="87" t="s">
        <v>29</v>
      </c>
      <c r="D22" s="18"/>
      <c r="E22" s="19">
        <v>7000</v>
      </c>
      <c r="F22" s="43" t="s">
        <v>11</v>
      </c>
      <c r="G22" s="43" t="s">
        <v>16</v>
      </c>
    </row>
    <row r="23" s="32" customFormat="1" ht="18" customHeight="1" spans="1:7">
      <c r="A23" s="11"/>
      <c r="B23" s="16">
        <v>46111</v>
      </c>
      <c r="C23" s="87" t="s">
        <v>29</v>
      </c>
      <c r="D23" s="18"/>
      <c r="E23" s="19">
        <v>239940</v>
      </c>
      <c r="F23" s="43" t="s">
        <v>11</v>
      </c>
      <c r="G23" s="43" t="s">
        <v>16</v>
      </c>
    </row>
    <row r="24" s="32" customFormat="1" ht="18" customHeight="1" spans="1:7">
      <c r="A24" s="11"/>
      <c r="B24" s="16">
        <v>46111</v>
      </c>
      <c r="C24" s="87" t="s">
        <v>29</v>
      </c>
      <c r="D24" s="18"/>
      <c r="E24" s="19">
        <v>15.5</v>
      </c>
      <c r="F24" s="43" t="s">
        <v>11</v>
      </c>
      <c r="G24" s="18"/>
    </row>
    <row r="25" s="32" customFormat="1" ht="18" customHeight="1" spans="1:7">
      <c r="A25" s="11"/>
      <c r="B25" s="16"/>
      <c r="C25" s="18"/>
      <c r="D25" s="18"/>
      <c r="E25" s="19"/>
      <c r="F25" s="43"/>
      <c r="G25" s="18"/>
    </row>
    <row r="26" s="32" customFormat="1" customHeight="1" spans="1:7">
      <c r="A26" s="11"/>
      <c r="B26" s="9"/>
      <c r="C26" s="18"/>
      <c r="D26" s="43" t="s">
        <v>40</v>
      </c>
      <c r="E26" s="44">
        <f>SUM(E3:E25)</f>
        <v>1351144.09</v>
      </c>
      <c r="F26" s="18"/>
      <c r="G26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opLeftCell="C20" workbookViewId="0">
      <selection activeCell="C20" sqref="C20"/>
    </sheetView>
  </sheetViews>
  <sheetFormatPr defaultColWidth="9" defaultRowHeight="13.5" outlineLevelCol="6"/>
  <cols>
    <col min="1" max="1" width="4.63333333333333" style="30" customWidth="1"/>
    <col min="2" max="2" width="10.3833333333333" style="33" customWidth="1"/>
    <col min="3" max="3" width="37.25" style="32" customWidth="1"/>
    <col min="4" max="4" width="6.875" style="32" customWidth="1"/>
    <col min="5" max="5" width="18.75" style="81" customWidth="1"/>
    <col min="6" max="6" width="18.5083333333333" style="32" customWidth="1"/>
    <col min="7" max="7" width="22.375" style="32" customWidth="1"/>
    <col min="8" max="16384" width="9" style="32"/>
  </cols>
  <sheetData>
    <row r="1" s="30" customFormat="1" ht="27" customHeight="1" spans="1:7">
      <c r="A1" s="34" t="s">
        <v>69</v>
      </c>
      <c r="B1" s="34"/>
      <c r="C1" s="34"/>
      <c r="D1" s="34"/>
      <c r="E1" s="82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80" customFormat="1" ht="20" customHeight="1" spans="1:7">
      <c r="A3" s="83">
        <v>1</v>
      </c>
      <c r="B3" s="84">
        <v>46116</v>
      </c>
      <c r="C3" s="85" t="s">
        <v>70</v>
      </c>
      <c r="D3" s="85"/>
      <c r="E3" s="61">
        <v>20000</v>
      </c>
      <c r="F3" s="86" t="s">
        <v>31</v>
      </c>
      <c r="G3" s="85"/>
    </row>
    <row r="4" s="32" customFormat="1" ht="20" customHeight="1" spans="1:7">
      <c r="A4" s="11">
        <v>2</v>
      </c>
      <c r="B4" s="9">
        <v>46119</v>
      </c>
      <c r="C4" s="18" t="s">
        <v>71</v>
      </c>
      <c r="D4" s="18"/>
      <c r="E4" s="19">
        <v>17260</v>
      </c>
      <c r="F4" s="43" t="s">
        <v>11</v>
      </c>
      <c r="G4" s="43" t="s">
        <v>22</v>
      </c>
    </row>
    <row r="5" s="32" customFormat="1" ht="20" customHeight="1" spans="1:7">
      <c r="A5" s="11">
        <v>3</v>
      </c>
      <c r="B5" s="9">
        <v>46119</v>
      </c>
      <c r="C5" s="18" t="s">
        <v>56</v>
      </c>
      <c r="D5" s="18"/>
      <c r="E5" s="19">
        <v>141510</v>
      </c>
      <c r="F5" s="43" t="s">
        <v>11</v>
      </c>
      <c r="G5" s="43" t="s">
        <v>16</v>
      </c>
    </row>
    <row r="6" s="32" customFormat="1" ht="20" customHeight="1" spans="1:7">
      <c r="A6" s="11">
        <v>4</v>
      </c>
      <c r="B6" s="9">
        <v>46121</v>
      </c>
      <c r="C6" s="18" t="s">
        <v>72</v>
      </c>
      <c r="D6" s="18"/>
      <c r="E6" s="19">
        <v>203500</v>
      </c>
      <c r="F6" s="43" t="s">
        <v>11</v>
      </c>
      <c r="G6" s="18"/>
    </row>
    <row r="7" s="32" customFormat="1" ht="20" customHeight="1" spans="1:7">
      <c r="A7" s="11">
        <v>5</v>
      </c>
      <c r="B7" s="9">
        <v>46128</v>
      </c>
      <c r="C7" s="43" t="s">
        <v>50</v>
      </c>
      <c r="D7" s="18"/>
      <c r="E7" s="19">
        <v>100000</v>
      </c>
      <c r="F7" s="43" t="s">
        <v>11</v>
      </c>
      <c r="G7" s="43" t="s">
        <v>16</v>
      </c>
    </row>
    <row r="8" s="32" customFormat="1" ht="20" customHeight="1" spans="1:7">
      <c r="A8" s="11">
        <v>6</v>
      </c>
      <c r="B8" s="9">
        <v>46128</v>
      </c>
      <c r="C8" s="43" t="s">
        <v>50</v>
      </c>
      <c r="D8" s="18"/>
      <c r="E8" s="19">
        <v>100000</v>
      </c>
      <c r="F8" s="43" t="s">
        <v>11</v>
      </c>
      <c r="G8" s="43" t="s">
        <v>16</v>
      </c>
    </row>
    <row r="9" s="32" customFormat="1" ht="20" customHeight="1" spans="1:7">
      <c r="A9" s="11">
        <v>7</v>
      </c>
      <c r="B9" s="9">
        <v>46134</v>
      </c>
      <c r="C9" s="18" t="s">
        <v>47</v>
      </c>
      <c r="D9" s="18"/>
      <c r="E9" s="19">
        <v>4246.1</v>
      </c>
      <c r="F9" s="43" t="s">
        <v>9</v>
      </c>
      <c r="G9" s="18"/>
    </row>
    <row r="10" s="32" customFormat="1" ht="20" customHeight="1" spans="1:7">
      <c r="A10" s="11">
        <v>8</v>
      </c>
      <c r="B10" s="9">
        <v>46136</v>
      </c>
      <c r="C10" s="87" t="s">
        <v>29</v>
      </c>
      <c r="D10" s="18"/>
      <c r="E10" s="19">
        <v>6954</v>
      </c>
      <c r="F10" s="43" t="s">
        <v>11</v>
      </c>
      <c r="G10" s="43" t="s">
        <v>16</v>
      </c>
    </row>
    <row r="11" s="32" customFormat="1" ht="20" customHeight="1" spans="1:7">
      <c r="A11" s="11">
        <v>9</v>
      </c>
      <c r="B11" s="9">
        <v>46136</v>
      </c>
      <c r="C11" s="87" t="s">
        <v>29</v>
      </c>
      <c r="D11" s="18"/>
      <c r="E11" s="19">
        <v>10779.93</v>
      </c>
      <c r="F11" s="43" t="s">
        <v>11</v>
      </c>
      <c r="G11" s="43" t="s">
        <v>16</v>
      </c>
    </row>
    <row r="12" s="32" customFormat="1" ht="20" customHeight="1" spans="1:7">
      <c r="A12" s="11">
        <v>10</v>
      </c>
      <c r="B12" s="9">
        <v>46136</v>
      </c>
      <c r="C12" s="87" t="s">
        <v>29</v>
      </c>
      <c r="D12" s="18"/>
      <c r="E12" s="19">
        <v>214.67</v>
      </c>
      <c r="F12" s="43" t="s">
        <v>11</v>
      </c>
      <c r="G12" s="18"/>
    </row>
    <row r="13" s="32" customFormat="1" ht="20" customHeight="1" spans="1:7">
      <c r="A13" s="11">
        <v>11</v>
      </c>
      <c r="B13" s="9">
        <v>46139</v>
      </c>
      <c r="C13" s="43" t="s">
        <v>73</v>
      </c>
      <c r="D13" s="18"/>
      <c r="E13" s="19">
        <v>424092.6</v>
      </c>
      <c r="F13" s="43" t="s">
        <v>9</v>
      </c>
      <c r="G13" s="43" t="s">
        <v>16</v>
      </c>
    </row>
    <row r="14" s="32" customFormat="1" ht="20" customHeight="1" spans="1:7">
      <c r="A14" s="11">
        <v>12</v>
      </c>
      <c r="B14" s="9">
        <v>46139</v>
      </c>
      <c r="C14" s="18" t="s">
        <v>74</v>
      </c>
      <c r="D14" s="18"/>
      <c r="E14" s="19">
        <v>5424</v>
      </c>
      <c r="F14" s="43" t="s">
        <v>11</v>
      </c>
      <c r="G14" s="43" t="s">
        <v>22</v>
      </c>
    </row>
    <row r="15" s="32" customFormat="1" ht="20" customHeight="1" spans="1:7">
      <c r="A15" s="11">
        <v>13</v>
      </c>
      <c r="B15" s="9">
        <v>46139</v>
      </c>
      <c r="C15" s="18" t="s">
        <v>75</v>
      </c>
      <c r="D15" s="18"/>
      <c r="E15" s="88">
        <v>216455</v>
      </c>
      <c r="F15" s="43" t="s">
        <v>11</v>
      </c>
      <c r="G15" s="18"/>
    </row>
    <row r="16" s="32" customFormat="1" ht="20" customHeight="1" spans="1:7">
      <c r="A16" s="11">
        <v>15</v>
      </c>
      <c r="B16" s="9">
        <v>46140</v>
      </c>
      <c r="C16" s="87" t="s">
        <v>29</v>
      </c>
      <c r="D16" s="18"/>
      <c r="E16" s="89">
        <v>19.2</v>
      </c>
      <c r="F16" s="43" t="s">
        <v>11</v>
      </c>
      <c r="G16" s="18"/>
    </row>
    <row r="17" s="32" customFormat="1" ht="20" customHeight="1" spans="1:7">
      <c r="A17" s="11">
        <v>16</v>
      </c>
      <c r="B17" s="9">
        <v>46141</v>
      </c>
      <c r="C17" s="87" t="s">
        <v>29</v>
      </c>
      <c r="D17" s="18"/>
      <c r="E17" s="89">
        <v>5950.8</v>
      </c>
      <c r="F17" s="43" t="s">
        <v>11</v>
      </c>
      <c r="G17" s="43" t="s">
        <v>16</v>
      </c>
    </row>
    <row r="18" s="32" customFormat="1" ht="20" customHeight="1" spans="1:7">
      <c r="A18" s="11">
        <v>17</v>
      </c>
      <c r="B18" s="9">
        <v>46141</v>
      </c>
      <c r="C18" s="18" t="s">
        <v>76</v>
      </c>
      <c r="D18" s="18"/>
      <c r="E18" s="89">
        <v>60000</v>
      </c>
      <c r="F18" s="43" t="s">
        <v>9</v>
      </c>
      <c r="G18" s="43" t="s">
        <v>77</v>
      </c>
    </row>
    <row r="19" s="80" customFormat="1" ht="20" customHeight="1" spans="1:7">
      <c r="A19" s="83">
        <v>18</v>
      </c>
      <c r="B19" s="84">
        <v>46141</v>
      </c>
      <c r="C19" s="85" t="s">
        <v>78</v>
      </c>
      <c r="D19" s="85"/>
      <c r="E19" s="90">
        <v>3900</v>
      </c>
      <c r="F19" s="86" t="s">
        <v>11</v>
      </c>
      <c r="G19" s="85"/>
    </row>
    <row r="20" s="32" customFormat="1" ht="20" customHeight="1" spans="1:7">
      <c r="A20" s="11">
        <v>19</v>
      </c>
      <c r="B20" s="9">
        <v>46142</v>
      </c>
      <c r="C20" s="18" t="s">
        <v>79</v>
      </c>
      <c r="D20" s="18"/>
      <c r="E20" s="89">
        <v>28167</v>
      </c>
      <c r="F20" s="43" t="s">
        <v>11</v>
      </c>
      <c r="G20" s="43" t="s">
        <v>16</v>
      </c>
    </row>
    <row r="21" s="32" customFormat="1" ht="20" customHeight="1" spans="1:7">
      <c r="A21" s="11">
        <v>20</v>
      </c>
      <c r="B21" s="9">
        <v>46142</v>
      </c>
      <c r="C21" s="18" t="s">
        <v>39</v>
      </c>
      <c r="D21" s="18"/>
      <c r="E21" s="89">
        <v>25200</v>
      </c>
      <c r="F21" s="43" t="s">
        <v>30</v>
      </c>
      <c r="G21" s="43" t="s">
        <v>16</v>
      </c>
    </row>
    <row r="22" s="32" customFormat="1" ht="20" customHeight="1" spans="1:7">
      <c r="A22" s="11"/>
      <c r="B22" s="9"/>
      <c r="C22" s="18"/>
      <c r="D22" s="43" t="s">
        <v>40</v>
      </c>
      <c r="E22" s="44">
        <f>SUM(E3:E21)</f>
        <v>1373673.3</v>
      </c>
      <c r="F22" s="18"/>
      <c r="G22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1"/>
    </sheetView>
  </sheetViews>
  <sheetFormatPr defaultColWidth="9" defaultRowHeight="13.5" outlineLevelCol="6"/>
  <cols>
    <col min="1" max="1" width="4.88333333333333" style="30" customWidth="1"/>
    <col min="2" max="2" width="10.75" style="33" customWidth="1"/>
    <col min="3" max="3" width="34.6333333333333" style="32" customWidth="1"/>
    <col min="4" max="4" width="6.75" style="32" customWidth="1"/>
    <col min="5" max="5" width="18.75" style="30" customWidth="1"/>
    <col min="6" max="6" width="19.75" style="32" customWidth="1"/>
    <col min="7" max="7" width="27.5083333333333" style="32" customWidth="1"/>
    <col min="8" max="16384" width="9" style="32"/>
  </cols>
  <sheetData>
    <row r="1" s="30" customFormat="1" ht="27" customHeight="1" spans="1:7">
      <c r="A1" s="34" t="s">
        <v>80</v>
      </c>
      <c r="B1" s="34"/>
      <c r="C1" s="34"/>
      <c r="D1" s="34"/>
      <c r="E1" s="34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18" customHeight="1" spans="1:7">
      <c r="A3" s="11">
        <v>1</v>
      </c>
      <c r="B3" s="9">
        <v>46155</v>
      </c>
      <c r="C3" s="43" t="s">
        <v>53</v>
      </c>
      <c r="D3" s="18"/>
      <c r="E3" s="12">
        <v>10000</v>
      </c>
      <c r="F3" s="40" t="s">
        <v>11</v>
      </c>
      <c r="G3" s="18"/>
    </row>
    <row r="4" s="32" customFormat="1" ht="18" customHeight="1" spans="1:7">
      <c r="A4" s="11">
        <v>2</v>
      </c>
      <c r="B4" s="9">
        <v>46160</v>
      </c>
      <c r="C4" s="70" t="s">
        <v>81</v>
      </c>
      <c r="D4" s="18"/>
      <c r="E4" s="12">
        <v>94050</v>
      </c>
      <c r="F4" s="40" t="s">
        <v>21</v>
      </c>
      <c r="G4" s="18"/>
    </row>
    <row r="5" s="32" customFormat="1" ht="18" customHeight="1" spans="1:7">
      <c r="A5" s="11">
        <v>3</v>
      </c>
      <c r="B5" s="16">
        <v>46161</v>
      </c>
      <c r="C5" s="71" t="s">
        <v>50</v>
      </c>
      <c r="D5" s="72"/>
      <c r="E5" s="12">
        <v>200000</v>
      </c>
      <c r="F5" s="40" t="s">
        <v>11</v>
      </c>
      <c r="G5" s="43" t="s">
        <v>16</v>
      </c>
    </row>
    <row r="6" s="32" customFormat="1" ht="18" customHeight="1" spans="1:7">
      <c r="A6" s="11">
        <v>4</v>
      </c>
      <c r="B6" s="16">
        <v>46162</v>
      </c>
      <c r="C6" s="71" t="s">
        <v>50</v>
      </c>
      <c r="D6" s="72"/>
      <c r="E6" s="12">
        <v>195</v>
      </c>
      <c r="F6" s="40" t="s">
        <v>11</v>
      </c>
      <c r="G6" s="18"/>
    </row>
    <row r="7" s="32" customFormat="1" ht="18" customHeight="1" spans="1:7">
      <c r="A7" s="11">
        <v>5</v>
      </c>
      <c r="B7" s="16">
        <v>46163</v>
      </c>
      <c r="C7" s="71" t="s">
        <v>50</v>
      </c>
      <c r="D7" s="72"/>
      <c r="E7" s="12">
        <v>69925</v>
      </c>
      <c r="F7" s="40" t="s">
        <v>11</v>
      </c>
      <c r="G7" s="43" t="s">
        <v>16</v>
      </c>
    </row>
    <row r="8" s="32" customFormat="1" ht="18" customHeight="1" spans="1:7">
      <c r="A8" s="11">
        <v>6</v>
      </c>
      <c r="B8" s="73">
        <v>46163</v>
      </c>
      <c r="C8" s="74" t="s">
        <v>50</v>
      </c>
      <c r="D8" s="72"/>
      <c r="E8" s="12">
        <v>23000</v>
      </c>
      <c r="F8" s="40" t="s">
        <v>11</v>
      </c>
      <c r="G8" s="43" t="s">
        <v>16</v>
      </c>
    </row>
    <row r="9" s="32" customFormat="1" ht="18" customHeight="1" spans="1:7">
      <c r="A9" s="11">
        <v>7</v>
      </c>
      <c r="B9" s="75">
        <v>46164</v>
      </c>
      <c r="C9" s="71" t="s">
        <v>82</v>
      </c>
      <c r="D9" s="72"/>
      <c r="E9" s="12">
        <v>110000</v>
      </c>
      <c r="F9" s="40" t="s">
        <v>11</v>
      </c>
      <c r="G9" s="18"/>
    </row>
    <row r="10" s="32" customFormat="1" ht="18" customHeight="1" spans="1:7">
      <c r="A10" s="11">
        <v>8</v>
      </c>
      <c r="B10" s="75">
        <v>46168</v>
      </c>
      <c r="C10" s="71" t="s">
        <v>8</v>
      </c>
      <c r="D10" s="72"/>
      <c r="E10" s="12">
        <v>181982</v>
      </c>
      <c r="F10" s="40" t="s">
        <v>9</v>
      </c>
      <c r="G10" s="18"/>
    </row>
    <row r="11" s="32" customFormat="1" ht="18" customHeight="1" spans="1:7">
      <c r="A11" s="11">
        <v>9</v>
      </c>
      <c r="B11" s="75">
        <v>46168</v>
      </c>
      <c r="C11" s="76" t="s">
        <v>83</v>
      </c>
      <c r="D11" s="72"/>
      <c r="E11" s="12">
        <v>13200</v>
      </c>
      <c r="F11" s="40" t="s">
        <v>9</v>
      </c>
      <c r="G11" s="43" t="s">
        <v>16</v>
      </c>
    </row>
    <row r="12" s="32" customFormat="1" ht="18" customHeight="1" spans="1:7">
      <c r="A12" s="11">
        <v>10</v>
      </c>
      <c r="B12" s="75">
        <v>46168</v>
      </c>
      <c r="C12" s="76" t="s">
        <v>84</v>
      </c>
      <c r="D12" s="18"/>
      <c r="E12" s="12">
        <v>56800</v>
      </c>
      <c r="F12" s="40" t="s">
        <v>11</v>
      </c>
      <c r="G12" s="18"/>
    </row>
    <row r="13" s="32" customFormat="1" ht="18" customHeight="1" spans="1:7">
      <c r="A13" s="11">
        <v>11</v>
      </c>
      <c r="B13" s="75">
        <v>46170</v>
      </c>
      <c r="C13" s="77" t="s">
        <v>46</v>
      </c>
      <c r="D13" s="18"/>
      <c r="E13" s="12">
        <v>200000</v>
      </c>
      <c r="F13" s="40" t="s">
        <v>11</v>
      </c>
      <c r="G13" s="43" t="s">
        <v>16</v>
      </c>
    </row>
    <row r="14" s="32" customFormat="1" ht="18" customHeight="1" spans="1:7">
      <c r="A14" s="11">
        <v>12</v>
      </c>
      <c r="B14" s="75">
        <v>46170</v>
      </c>
      <c r="C14" s="77" t="s">
        <v>46</v>
      </c>
      <c r="D14" s="18"/>
      <c r="E14" s="12">
        <v>283000</v>
      </c>
      <c r="F14" s="40" t="s">
        <v>11</v>
      </c>
      <c r="G14" s="43" t="s">
        <v>16</v>
      </c>
    </row>
    <row r="15" s="32" customFormat="1" ht="18" customHeight="1" spans="1:7">
      <c r="A15" s="11"/>
      <c r="B15" s="75">
        <v>46171</v>
      </c>
      <c r="C15" s="77" t="s">
        <v>46</v>
      </c>
      <c r="D15" s="18"/>
      <c r="E15" s="12">
        <v>200</v>
      </c>
      <c r="F15" s="40" t="s">
        <v>11</v>
      </c>
      <c r="G15" s="18"/>
    </row>
    <row r="16" s="32" customFormat="1" ht="18" customHeight="1" spans="1:7">
      <c r="A16" s="11"/>
      <c r="B16" s="9"/>
      <c r="C16" s="78"/>
      <c r="D16" s="18" t="s">
        <v>40</v>
      </c>
      <c r="E16" s="79">
        <f>SUM(E3:E15)</f>
        <v>1242352</v>
      </c>
      <c r="F16" s="39"/>
      <c r="G16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topLeftCell="E20" workbookViewId="0">
      <selection activeCell="E3" sqref="E3:E22"/>
    </sheetView>
  </sheetViews>
  <sheetFormatPr defaultColWidth="9" defaultRowHeight="13.5" outlineLevelCol="6"/>
  <cols>
    <col min="1" max="1" width="6.75" style="30" customWidth="1"/>
    <col min="2" max="2" width="10.3833333333333" style="33" customWidth="1"/>
    <col min="3" max="3" width="32.3833333333333" style="30" customWidth="1"/>
    <col min="4" max="4" width="7" style="32" customWidth="1"/>
    <col min="5" max="5" width="18.75" style="32" customWidth="1"/>
    <col min="6" max="6" width="18.5083333333333" style="32" customWidth="1"/>
    <col min="7" max="7" width="29.625" style="32" customWidth="1"/>
    <col min="8" max="16384" width="9" style="32"/>
  </cols>
  <sheetData>
    <row r="1" s="30" customFormat="1" ht="27" customHeight="1" spans="1:7">
      <c r="A1" s="34" t="s">
        <v>85</v>
      </c>
      <c r="B1" s="34"/>
      <c r="C1" s="34"/>
      <c r="D1" s="34"/>
      <c r="E1" s="34"/>
      <c r="F1" s="34"/>
      <c r="G1" s="34"/>
    </row>
    <row r="2" s="31" customFormat="1" ht="24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20" customHeight="1" spans="1:7">
      <c r="A3" s="11">
        <v>1</v>
      </c>
      <c r="B3" s="9">
        <v>46176</v>
      </c>
      <c r="C3" s="68" t="s">
        <v>86</v>
      </c>
      <c r="D3" s="18"/>
      <c r="E3" s="69">
        <v>21470</v>
      </c>
      <c r="F3" s="40" t="s">
        <v>9</v>
      </c>
      <c r="G3" s="18"/>
    </row>
    <row r="4" s="32" customFormat="1" ht="20" customHeight="1" spans="1:7">
      <c r="A4" s="11">
        <v>2</v>
      </c>
      <c r="B4" s="9">
        <v>46180</v>
      </c>
      <c r="C4" s="11" t="s">
        <v>70</v>
      </c>
      <c r="D4" s="18"/>
      <c r="E4" s="19">
        <v>20000</v>
      </c>
      <c r="F4" s="40" t="s">
        <v>31</v>
      </c>
      <c r="G4" s="18"/>
    </row>
    <row r="5" s="32" customFormat="1" ht="20" customHeight="1" spans="1:7">
      <c r="A5" s="11">
        <v>3</v>
      </c>
      <c r="B5" s="9">
        <v>46183</v>
      </c>
      <c r="C5" s="11" t="s">
        <v>47</v>
      </c>
      <c r="D5" s="18"/>
      <c r="E5" s="19">
        <v>3250</v>
      </c>
      <c r="F5" s="40" t="s">
        <v>9</v>
      </c>
      <c r="G5" s="18"/>
    </row>
    <row r="6" s="32" customFormat="1" ht="20" customHeight="1" spans="1:7">
      <c r="A6" s="11">
        <v>4</v>
      </c>
      <c r="B6" s="9">
        <v>46184</v>
      </c>
      <c r="C6" s="11" t="s">
        <v>87</v>
      </c>
      <c r="D6" s="18"/>
      <c r="E6" s="19">
        <v>25600</v>
      </c>
      <c r="F6" s="40" t="s">
        <v>11</v>
      </c>
      <c r="G6" s="43" t="s">
        <v>22</v>
      </c>
    </row>
    <row r="7" s="32" customFormat="1" ht="20" customHeight="1" spans="1:7">
      <c r="A7" s="11">
        <v>5</v>
      </c>
      <c r="B7" s="9">
        <v>46184</v>
      </c>
      <c r="C7" s="11" t="s">
        <v>87</v>
      </c>
      <c r="D7" s="18"/>
      <c r="E7" s="19">
        <v>24000</v>
      </c>
      <c r="F7" s="40" t="s">
        <v>11</v>
      </c>
      <c r="G7" s="43" t="s">
        <v>22</v>
      </c>
    </row>
    <row r="8" s="32" customFormat="1" ht="20" customHeight="1" spans="1:7">
      <c r="A8" s="11">
        <v>6</v>
      </c>
      <c r="B8" s="9">
        <v>46184</v>
      </c>
      <c r="C8" s="11" t="s">
        <v>87</v>
      </c>
      <c r="D8" s="18"/>
      <c r="E8" s="19">
        <v>55800</v>
      </c>
      <c r="F8" s="40" t="s">
        <v>11</v>
      </c>
      <c r="G8" s="43" t="s">
        <v>22</v>
      </c>
    </row>
    <row r="9" s="32" customFormat="1" ht="20" customHeight="1" spans="1:7">
      <c r="A9" s="11">
        <v>7</v>
      </c>
      <c r="B9" s="9">
        <v>46184</v>
      </c>
      <c r="C9" s="11" t="s">
        <v>87</v>
      </c>
      <c r="D9" s="18"/>
      <c r="E9" s="19">
        <v>69750</v>
      </c>
      <c r="F9" s="40" t="s">
        <v>11</v>
      </c>
      <c r="G9" s="43"/>
    </row>
    <row r="10" s="32" customFormat="1" ht="20" customHeight="1" spans="1:7">
      <c r="A10" s="11">
        <v>8</v>
      </c>
      <c r="B10" s="9">
        <v>46190</v>
      </c>
      <c r="C10" s="11" t="s">
        <v>88</v>
      </c>
      <c r="D10" s="18"/>
      <c r="E10" s="19">
        <v>24000</v>
      </c>
      <c r="F10" s="40" t="s">
        <v>21</v>
      </c>
      <c r="G10" s="18"/>
    </row>
    <row r="11" s="32" customFormat="1" ht="20" customHeight="1" spans="1:7">
      <c r="A11" s="11">
        <v>9</v>
      </c>
      <c r="B11" s="9">
        <v>46191</v>
      </c>
      <c r="C11" s="11" t="s">
        <v>17</v>
      </c>
      <c r="D11" s="18"/>
      <c r="E11" s="19">
        <v>21800</v>
      </c>
      <c r="F11" s="40" t="s">
        <v>11</v>
      </c>
      <c r="G11" s="43" t="s">
        <v>16</v>
      </c>
    </row>
    <row r="12" s="32" customFormat="1" ht="20" customHeight="1" spans="1:7">
      <c r="A12" s="11">
        <v>10</v>
      </c>
      <c r="B12" s="9">
        <v>46198</v>
      </c>
      <c r="C12" s="10" t="s">
        <v>46</v>
      </c>
      <c r="D12" s="18"/>
      <c r="E12" s="19">
        <v>270676</v>
      </c>
      <c r="F12" s="40" t="s">
        <v>11</v>
      </c>
      <c r="G12" s="43" t="s">
        <v>16</v>
      </c>
    </row>
    <row r="13" s="32" customFormat="1" ht="20" customHeight="1" spans="1:7">
      <c r="A13" s="11">
        <v>11</v>
      </c>
      <c r="B13" s="9">
        <v>46198</v>
      </c>
      <c r="C13" s="10" t="s">
        <v>46</v>
      </c>
      <c r="D13" s="18"/>
      <c r="E13" s="19">
        <v>208084.39</v>
      </c>
      <c r="F13" s="40" t="s">
        <v>11</v>
      </c>
      <c r="G13" s="43" t="s">
        <v>16</v>
      </c>
    </row>
    <row r="14" s="32" customFormat="1" ht="20" customHeight="1" spans="1:7">
      <c r="A14" s="11">
        <v>12</v>
      </c>
      <c r="B14" s="9">
        <v>46198</v>
      </c>
      <c r="C14" s="10" t="s">
        <v>46</v>
      </c>
      <c r="D14" s="18"/>
      <c r="E14" s="19">
        <v>100000</v>
      </c>
      <c r="F14" s="40" t="s">
        <v>11</v>
      </c>
      <c r="G14" s="43" t="s">
        <v>16</v>
      </c>
    </row>
    <row r="15" s="32" customFormat="1" ht="20" customHeight="1" spans="1:7">
      <c r="A15" s="11">
        <v>13</v>
      </c>
      <c r="B15" s="9">
        <v>46198</v>
      </c>
      <c r="C15" s="10" t="s">
        <v>46</v>
      </c>
      <c r="D15" s="18"/>
      <c r="E15" s="19">
        <v>239.61</v>
      </c>
      <c r="F15" s="40" t="s">
        <v>11</v>
      </c>
      <c r="G15" s="43"/>
    </row>
    <row r="16" s="32" customFormat="1" ht="20" customHeight="1" spans="1:7">
      <c r="A16" s="11">
        <v>14</v>
      </c>
      <c r="B16" s="9">
        <v>46198</v>
      </c>
      <c r="C16" s="10" t="s">
        <v>50</v>
      </c>
      <c r="D16" s="18"/>
      <c r="E16" s="19">
        <v>100000</v>
      </c>
      <c r="F16" s="40" t="s">
        <v>11</v>
      </c>
      <c r="G16" s="43" t="s">
        <v>16</v>
      </c>
    </row>
    <row r="17" s="32" customFormat="1" ht="20" customHeight="1" spans="1:7">
      <c r="A17" s="11">
        <v>15</v>
      </c>
      <c r="B17" s="9">
        <v>46198</v>
      </c>
      <c r="C17" s="10" t="s">
        <v>50</v>
      </c>
      <c r="D17" s="18"/>
      <c r="E17" s="19">
        <v>70000</v>
      </c>
      <c r="F17" s="40" t="s">
        <v>11</v>
      </c>
      <c r="G17" s="43" t="s">
        <v>16</v>
      </c>
    </row>
    <row r="18" s="32" customFormat="1" ht="20" customHeight="1" spans="1:7">
      <c r="A18" s="11">
        <v>16</v>
      </c>
      <c r="B18" s="9">
        <v>46198</v>
      </c>
      <c r="C18" s="10" t="s">
        <v>60</v>
      </c>
      <c r="D18" s="18"/>
      <c r="E18" s="19">
        <v>28000</v>
      </c>
      <c r="F18" s="40" t="s">
        <v>11</v>
      </c>
      <c r="G18" s="18" t="s">
        <v>89</v>
      </c>
    </row>
    <row r="19" s="32" customFormat="1" ht="20" customHeight="1" spans="1:7">
      <c r="A19" s="11"/>
      <c r="B19" s="9">
        <v>46202</v>
      </c>
      <c r="C19" s="10" t="s">
        <v>90</v>
      </c>
      <c r="D19" s="18"/>
      <c r="E19" s="19">
        <v>10244</v>
      </c>
      <c r="F19" s="40" t="s">
        <v>91</v>
      </c>
      <c r="G19" s="18"/>
    </row>
    <row r="20" s="32" customFormat="1" ht="20" customHeight="1" spans="1:7">
      <c r="A20" s="11"/>
      <c r="B20" s="9">
        <v>46202</v>
      </c>
      <c r="C20" s="10" t="s">
        <v>92</v>
      </c>
      <c r="D20" s="18"/>
      <c r="E20" s="19">
        <v>194678.2</v>
      </c>
      <c r="F20" s="40" t="s">
        <v>91</v>
      </c>
      <c r="G20" s="43" t="s">
        <v>93</v>
      </c>
    </row>
    <row r="21" s="32" customFormat="1" ht="20" customHeight="1" spans="1:7">
      <c r="A21" s="11"/>
      <c r="B21" s="9"/>
      <c r="C21" s="10"/>
      <c r="D21" s="18"/>
      <c r="E21" s="19"/>
      <c r="F21" s="39"/>
      <c r="G21" s="18"/>
    </row>
    <row r="22" s="32" customFormat="1" ht="20" customHeight="1" spans="1:7">
      <c r="A22" s="11"/>
      <c r="B22" s="9"/>
      <c r="C22" s="11"/>
      <c r="D22" s="18" t="s">
        <v>40</v>
      </c>
      <c r="E22" s="44">
        <f>SUM(E3:E21)</f>
        <v>1247592.2</v>
      </c>
      <c r="F22" s="39"/>
      <c r="G22" s="39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opLeftCell="B1" workbookViewId="0">
      <selection activeCell="J24" sqref="J24"/>
    </sheetView>
  </sheetViews>
  <sheetFormatPr defaultColWidth="9" defaultRowHeight="13.5"/>
  <cols>
    <col min="1" max="1" width="4.88333333333333" style="30" customWidth="1"/>
    <col min="2" max="2" width="10.3833333333333" style="33" customWidth="1"/>
    <col min="3" max="3" width="39.6333333333333" style="32" customWidth="1"/>
    <col min="4" max="4" width="7" style="32" customWidth="1"/>
    <col min="5" max="5" width="18.75" style="32" customWidth="1"/>
    <col min="6" max="6" width="19.25" style="32" customWidth="1"/>
    <col min="7" max="7" width="30" style="32" customWidth="1"/>
    <col min="8" max="9" width="9" style="32"/>
    <col min="10" max="10" width="37.875" style="32"/>
    <col min="11" max="11" width="25.2916666666667" style="32"/>
    <col min="12" max="16384" width="9" style="32"/>
  </cols>
  <sheetData>
    <row r="1" s="30" customFormat="1" ht="27" customHeight="1" spans="1:12">
      <c r="A1" s="34" t="s">
        <v>94</v>
      </c>
      <c r="B1" s="34"/>
      <c r="C1" s="34"/>
      <c r="D1" s="34"/>
      <c r="E1" s="34"/>
      <c r="F1" s="34"/>
      <c r="G1" s="34"/>
    </row>
    <row r="2" s="31" customFormat="1" ht="20.25" customHeight="1" spans="1:12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  <c r="J2" s="57"/>
      <c r="K2" s="58"/>
      <c r="L2" s="59"/>
    </row>
    <row r="3" s="32" customFormat="1" customHeight="1" spans="1:12">
      <c r="A3" s="11">
        <v>1</v>
      </c>
      <c r="B3" s="9"/>
      <c r="C3" s="60"/>
      <c r="D3" s="18"/>
      <c r="E3" s="61"/>
      <c r="F3" s="39"/>
      <c r="G3" s="18"/>
      <c r="J3" s="62"/>
      <c r="K3" s="63"/>
      <c r="L3" s="64"/>
    </row>
    <row r="4" s="32" customFormat="1" customHeight="1" spans="1:12">
      <c r="A4" s="11">
        <v>2</v>
      </c>
      <c r="B4" s="9"/>
      <c r="C4" s="60"/>
      <c r="D4" s="18"/>
      <c r="E4" s="61"/>
      <c r="F4" s="39"/>
      <c r="G4" s="18"/>
      <c r="J4" s="62"/>
      <c r="K4" s="63"/>
      <c r="L4" s="64"/>
    </row>
    <row r="5" s="32" customFormat="1" customHeight="1" spans="1:12">
      <c r="A5" s="11">
        <v>3</v>
      </c>
      <c r="B5" s="9"/>
      <c r="C5" s="60"/>
      <c r="D5" s="18"/>
      <c r="E5" s="61"/>
      <c r="F5" s="39"/>
      <c r="G5" s="18"/>
      <c r="J5" s="62"/>
      <c r="K5" s="63"/>
      <c r="L5" s="64"/>
    </row>
    <row r="6" s="32" customFormat="1" customHeight="1" spans="1:12">
      <c r="A6" s="11">
        <v>4</v>
      </c>
      <c r="B6" s="9"/>
      <c r="C6" s="60"/>
      <c r="D6" s="18"/>
      <c r="E6" s="61"/>
      <c r="F6" s="39"/>
      <c r="G6" s="18"/>
      <c r="J6" s="62"/>
      <c r="K6" s="63"/>
      <c r="L6" s="64"/>
    </row>
    <row r="7" s="32" customFormat="1" customHeight="1" spans="1:12">
      <c r="A7" s="11">
        <v>5</v>
      </c>
      <c r="B7" s="9"/>
      <c r="C7" s="60"/>
      <c r="D7" s="18"/>
      <c r="E7" s="61"/>
      <c r="F7" s="39"/>
      <c r="G7" s="18"/>
      <c r="J7" s="62"/>
      <c r="K7" s="63"/>
      <c r="L7" s="64"/>
    </row>
    <row r="8" s="32" customFormat="1" customHeight="1" spans="1:12">
      <c r="A8" s="11">
        <v>6</v>
      </c>
      <c r="B8" s="9"/>
      <c r="C8" s="60"/>
      <c r="D8" s="18"/>
      <c r="E8" s="61"/>
      <c r="F8" s="39"/>
      <c r="G8" s="18"/>
      <c r="J8" s="62"/>
      <c r="K8" s="63"/>
      <c r="L8" s="64"/>
    </row>
    <row r="9" s="32" customFormat="1" customHeight="1" spans="1:12">
      <c r="A9" s="11">
        <v>7</v>
      </c>
      <c r="B9" s="9"/>
      <c r="C9" s="60"/>
      <c r="D9" s="18"/>
      <c r="E9" s="61"/>
      <c r="F9" s="39"/>
      <c r="G9" s="18"/>
      <c r="J9" s="62"/>
      <c r="K9" s="63"/>
      <c r="L9" s="64"/>
    </row>
    <row r="10" s="32" customFormat="1" customHeight="1" spans="1:12">
      <c r="A10" s="11">
        <v>8</v>
      </c>
      <c r="B10" s="9"/>
      <c r="C10" s="60"/>
      <c r="D10" s="18"/>
      <c r="E10" s="61"/>
      <c r="F10" s="39"/>
      <c r="G10" s="18"/>
      <c r="J10" s="62"/>
      <c r="K10" s="63"/>
      <c r="L10" s="64"/>
    </row>
    <row r="11" s="32" customFormat="1" customHeight="1" spans="1:12">
      <c r="A11" s="11">
        <v>9</v>
      </c>
      <c r="B11" s="9"/>
      <c r="C11" s="60"/>
      <c r="D11" s="18"/>
      <c r="E11" s="61"/>
      <c r="F11" s="39"/>
      <c r="G11" s="18"/>
      <c r="J11" s="62"/>
      <c r="K11" s="63"/>
      <c r="L11" s="64"/>
    </row>
    <row r="12" s="32" customFormat="1" customHeight="1" spans="1:12">
      <c r="A12" s="11">
        <v>10</v>
      </c>
      <c r="B12" s="9"/>
      <c r="C12" s="60"/>
      <c r="D12" s="18"/>
      <c r="E12" s="61"/>
      <c r="F12" s="39"/>
      <c r="G12" s="18"/>
      <c r="J12" s="62"/>
      <c r="K12" s="63"/>
      <c r="L12" s="64"/>
    </row>
    <row r="13" s="32" customFormat="1" customHeight="1" spans="1:12">
      <c r="A13" s="11">
        <v>11</v>
      </c>
      <c r="B13" s="9"/>
      <c r="C13" s="60"/>
      <c r="D13" s="18"/>
      <c r="E13" s="61"/>
      <c r="F13" s="39"/>
      <c r="G13" s="18"/>
      <c r="J13" s="62"/>
      <c r="K13" s="63"/>
      <c r="L13" s="64"/>
    </row>
    <row r="14" s="32" customFormat="1" customHeight="1" spans="1:12">
      <c r="A14" s="11">
        <v>12</v>
      </c>
      <c r="B14" s="9"/>
      <c r="C14" s="60"/>
      <c r="D14" s="18"/>
      <c r="E14" s="61"/>
      <c r="F14" s="39"/>
      <c r="G14" s="18"/>
      <c r="J14" s="62"/>
      <c r="K14" s="63"/>
      <c r="L14" s="64"/>
    </row>
    <row r="15" s="32" customFormat="1" customHeight="1" spans="1:12">
      <c r="A15" s="11"/>
      <c r="B15" s="9"/>
      <c r="C15" s="60"/>
      <c r="D15" s="18"/>
      <c r="E15" s="61"/>
      <c r="F15" s="39"/>
      <c r="G15" s="18"/>
      <c r="J15" s="62"/>
      <c r="K15" s="63"/>
      <c r="L15" s="64"/>
    </row>
    <row r="16" s="32" customFormat="1" customHeight="1" spans="1:12">
      <c r="A16" s="11"/>
      <c r="B16" s="9"/>
      <c r="C16" s="60"/>
      <c r="D16" s="18"/>
      <c r="E16" s="61"/>
      <c r="F16" s="39"/>
      <c r="G16" s="18"/>
      <c r="J16" s="62"/>
      <c r="K16" s="63"/>
      <c r="L16" s="64"/>
    </row>
    <row r="17" s="32" customFormat="1" customHeight="1" spans="1:12">
      <c r="A17" s="11"/>
      <c r="B17" s="9"/>
      <c r="C17" s="60"/>
      <c r="D17" s="18"/>
      <c r="E17" s="61"/>
      <c r="F17" s="39"/>
      <c r="G17" s="18"/>
      <c r="J17" s="62"/>
      <c r="K17" s="63"/>
      <c r="L17" s="64"/>
    </row>
    <row r="18" s="32" customFormat="1" customHeight="1" spans="1:12">
      <c r="A18" s="11"/>
      <c r="B18" s="9"/>
      <c r="C18" s="60"/>
      <c r="D18" s="18"/>
      <c r="E18" s="61"/>
      <c r="F18" s="39"/>
      <c r="G18" s="18"/>
      <c r="J18" s="62"/>
      <c r="K18" s="63"/>
      <c r="L18" s="64"/>
    </row>
    <row r="19" s="32" customFormat="1" customHeight="1" spans="1:12">
      <c r="A19" s="11"/>
      <c r="B19" s="9"/>
      <c r="C19" s="60"/>
      <c r="D19" s="18"/>
      <c r="E19" s="61"/>
      <c r="F19" s="39"/>
      <c r="G19" s="18"/>
      <c r="J19" s="65"/>
      <c r="K19" s="66"/>
      <c r="L19" s="67"/>
    </row>
    <row r="20" s="32" customFormat="1" customHeight="1" spans="1:12">
      <c r="A20" s="11"/>
      <c r="B20" s="9"/>
      <c r="C20" s="60"/>
      <c r="D20" s="18"/>
      <c r="E20" s="61"/>
      <c r="F20" s="39"/>
      <c r="G20" s="18"/>
      <c r="J20"/>
      <c r="K20"/>
    </row>
    <row r="21" s="32" customFormat="1" customHeight="1" spans="1:12">
      <c r="A21" s="11"/>
      <c r="B21" s="9"/>
      <c r="C21" s="60"/>
      <c r="D21" s="18"/>
      <c r="E21" s="19"/>
      <c r="F21" s="39"/>
      <c r="G21" s="18"/>
      <c r="J21"/>
      <c r="K21"/>
    </row>
    <row r="22" s="32" customFormat="1" customHeight="1" spans="1:12">
      <c r="A22" s="11"/>
      <c r="B22" s="9"/>
      <c r="C22" s="60"/>
      <c r="D22" s="18"/>
      <c r="E22" s="61"/>
      <c r="F22" s="39"/>
      <c r="G22" s="18"/>
      <c r="J22"/>
      <c r="K22"/>
    </row>
    <row r="23" s="32" customFormat="1" customHeight="1" spans="1:12">
      <c r="A23" s="11"/>
      <c r="B23" s="9"/>
      <c r="C23" s="60"/>
      <c r="D23" s="18"/>
      <c r="E23" s="61"/>
      <c r="F23" s="39"/>
      <c r="G23" s="18"/>
      <c r="J23"/>
      <c r="K23"/>
    </row>
    <row r="24" s="32" customFormat="1" customHeight="1" spans="1:12">
      <c r="A24" s="11"/>
      <c r="B24" s="9"/>
      <c r="C24" s="60"/>
      <c r="D24" s="18"/>
      <c r="E24" s="61"/>
      <c r="F24" s="39"/>
      <c r="G24" s="18"/>
      <c r="J24"/>
      <c r="K24"/>
    </row>
    <row r="25" s="32" customFormat="1" customHeight="1" spans="1:12">
      <c r="A25" s="11"/>
      <c r="B25" s="9"/>
      <c r="C25" s="60"/>
      <c r="D25" s="18"/>
      <c r="E25" s="61"/>
      <c r="F25" s="39"/>
      <c r="G25" s="18"/>
      <c r="J25"/>
      <c r="K25"/>
    </row>
    <row r="26" s="32" customFormat="1" customHeight="1" spans="1:12">
      <c r="A26" s="11"/>
      <c r="B26" s="9"/>
      <c r="C26" s="60"/>
      <c r="D26" s="18"/>
      <c r="E26" s="61"/>
      <c r="F26" s="39"/>
      <c r="G26" s="18"/>
      <c r="J26"/>
      <c r="K26"/>
    </row>
    <row r="27" s="32" customFormat="1" customHeight="1" spans="1:12">
      <c r="A27" s="11"/>
      <c r="B27" s="9"/>
      <c r="C27" s="60"/>
      <c r="D27" s="18"/>
      <c r="E27" s="19"/>
      <c r="F27" s="39"/>
      <c r="G27" s="18"/>
      <c r="J27"/>
      <c r="K27"/>
    </row>
    <row r="28" s="32" customFormat="1" customHeight="1" spans="1:12">
      <c r="A28" s="11"/>
      <c r="B28" s="9"/>
      <c r="C28" s="60"/>
      <c r="D28" s="18"/>
      <c r="E28" s="19"/>
      <c r="F28" s="39"/>
      <c r="G28" s="18"/>
      <c r="J28"/>
      <c r="K28"/>
    </row>
    <row r="29" s="32" customFormat="1" customHeight="1" spans="1:12">
      <c r="A29" s="11"/>
      <c r="B29" s="9"/>
      <c r="C29" s="60"/>
      <c r="D29" s="18"/>
      <c r="E29" s="19"/>
      <c r="F29" s="39"/>
      <c r="G29" s="18"/>
      <c r="J29"/>
      <c r="K29"/>
    </row>
    <row r="30" s="32" customFormat="1" customHeight="1" spans="1:12">
      <c r="A30" s="11"/>
      <c r="B30" s="9"/>
      <c r="C30" s="60"/>
      <c r="D30" s="18"/>
      <c r="E30" s="19"/>
      <c r="F30" s="39"/>
      <c r="G30" s="18"/>
      <c r="J30"/>
      <c r="K30"/>
    </row>
    <row r="31" s="32" customFormat="1" customHeight="1" spans="1:12">
      <c r="A31" s="11"/>
      <c r="B31" s="9"/>
      <c r="C31" s="60"/>
      <c r="D31" s="18"/>
      <c r="E31" s="19"/>
      <c r="F31" s="39"/>
      <c r="G31" s="18"/>
    </row>
    <row r="32" s="32" customFormat="1" customHeight="1" spans="1:12">
      <c r="A32" s="11"/>
      <c r="B32" s="9"/>
      <c r="C32" s="60"/>
      <c r="D32" s="18"/>
      <c r="E32" s="19"/>
      <c r="F32" s="39"/>
      <c r="G32" s="18"/>
    </row>
    <row r="33" s="32" customFormat="1" customHeight="1" spans="1:7">
      <c r="A33" s="11"/>
      <c r="B33" s="9"/>
      <c r="C33" s="60"/>
      <c r="D33" s="18"/>
      <c r="E33" s="19"/>
      <c r="F33" s="39"/>
      <c r="G33" s="18"/>
    </row>
    <row r="34" s="32" customFormat="1" customHeight="1" spans="1:7">
      <c r="A34" s="11"/>
      <c r="B34" s="9"/>
      <c r="C34" s="60"/>
      <c r="D34" s="18"/>
      <c r="E34" s="19"/>
      <c r="F34" s="39"/>
      <c r="G34" s="18"/>
    </row>
    <row r="35" s="32" customFormat="1" customHeight="1" spans="1:7">
      <c r="A35" s="11"/>
      <c r="B35" s="9"/>
      <c r="C35" s="60"/>
      <c r="D35" s="18"/>
      <c r="E35" s="19"/>
      <c r="F35" s="39"/>
      <c r="G35" s="18"/>
    </row>
    <row r="36" s="32" customFormat="1" customHeight="1" spans="1:7">
      <c r="A36" s="11"/>
      <c r="B36" s="9"/>
      <c r="C36" s="60"/>
      <c r="D36" s="18"/>
      <c r="E36" s="19"/>
      <c r="F36" s="39"/>
      <c r="G36" s="18"/>
    </row>
    <row r="37" s="32" customFormat="1" customHeight="1" spans="1:7">
      <c r="A37" s="11"/>
      <c r="B37" s="9"/>
      <c r="C37" s="60"/>
      <c r="D37" s="18"/>
      <c r="E37" s="19"/>
      <c r="F37" s="39"/>
      <c r="G37" s="18"/>
    </row>
    <row r="38" s="32" customFormat="1" customHeight="1" spans="1:7">
      <c r="A38" s="11"/>
      <c r="B38" s="9"/>
      <c r="C38" s="60"/>
      <c r="D38" s="18"/>
      <c r="E38" s="19"/>
      <c r="F38" s="39"/>
      <c r="G38" s="18"/>
    </row>
    <row r="39" s="32" customFormat="1" customHeight="1" spans="1:7">
      <c r="A39" s="11"/>
      <c r="B39" s="9"/>
      <c r="C39" s="18"/>
      <c r="D39" s="18" t="s">
        <v>40</v>
      </c>
      <c r="E39" s="44">
        <f>SUM(E3:E38)</f>
        <v>0</v>
      </c>
      <c r="F39" s="39"/>
      <c r="G39" s="1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L39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pane ySplit="2" topLeftCell="A3" activePane="bottomLeft" state="frozen"/>
      <selection/>
      <selection pane="bottomLeft" activeCell="A3" sqref="A3:H15"/>
    </sheetView>
  </sheetViews>
  <sheetFormatPr defaultColWidth="9" defaultRowHeight="13.5" outlineLevelCol="6"/>
  <cols>
    <col min="1" max="1" width="4.88333333333333" style="30" customWidth="1"/>
    <col min="2" max="2" width="10.3833333333333" style="33" customWidth="1"/>
    <col min="3" max="3" width="42.125" style="32" customWidth="1"/>
    <col min="4" max="4" width="7" style="32" customWidth="1"/>
    <col min="5" max="5" width="18.75" style="32" customWidth="1"/>
    <col min="6" max="6" width="14.6333333333333" style="32" customWidth="1"/>
    <col min="7" max="7" width="22.8833333333333" style="32" customWidth="1"/>
    <col min="8" max="16384" width="9" style="32"/>
  </cols>
  <sheetData>
    <row r="1" s="30" customFormat="1" ht="27" customHeight="1" spans="1:7">
      <c r="A1" s="34" t="s">
        <v>95</v>
      </c>
      <c r="B1" s="34"/>
      <c r="C1" s="34"/>
      <c r="D1" s="34"/>
      <c r="E1" s="34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customHeight="1" spans="1:7">
      <c r="A3" s="11"/>
      <c r="B3" s="9"/>
      <c r="C3" s="18"/>
      <c r="D3" s="18"/>
      <c r="E3" s="19"/>
      <c r="F3" s="39"/>
      <c r="G3" s="18"/>
    </row>
    <row r="4" s="32" customFormat="1" customHeight="1" spans="1:7">
      <c r="A4" s="11"/>
      <c r="B4" s="9"/>
      <c r="C4" s="18"/>
      <c r="D4" s="18"/>
      <c r="E4" s="19"/>
      <c r="F4" s="39"/>
      <c r="G4" s="18"/>
    </row>
    <row r="5" s="32" customFormat="1" customHeight="1" spans="1:7">
      <c r="A5" s="11"/>
      <c r="B5" s="9"/>
      <c r="C5" s="18"/>
      <c r="D5" s="18"/>
      <c r="E5" s="19"/>
      <c r="F5" s="39"/>
      <c r="G5" s="18"/>
    </row>
    <row r="6" s="32" customFormat="1" customHeight="1" spans="1:7">
      <c r="A6" s="11"/>
      <c r="B6" s="9"/>
      <c r="C6" s="49"/>
      <c r="D6" s="18"/>
      <c r="E6" s="19"/>
      <c r="F6" s="39"/>
      <c r="G6" s="18"/>
    </row>
    <row r="7" s="32" customFormat="1" customHeight="1" spans="1:7">
      <c r="A7" s="11"/>
      <c r="B7" s="9"/>
      <c r="C7" s="18"/>
      <c r="D7" s="12"/>
      <c r="E7" s="19"/>
      <c r="F7" s="39"/>
      <c r="G7" s="18"/>
    </row>
    <row r="8" s="32" customFormat="1" customHeight="1" spans="1:7">
      <c r="A8" s="11"/>
      <c r="B8" s="9"/>
      <c r="C8" s="18"/>
      <c r="D8" s="12"/>
      <c r="E8" s="19"/>
      <c r="F8" s="39"/>
      <c r="G8" s="18"/>
    </row>
    <row r="9" s="32" customFormat="1" customHeight="1" spans="1:7">
      <c r="A9" s="11"/>
      <c r="B9" s="9"/>
      <c r="C9" s="18"/>
      <c r="D9" s="12"/>
      <c r="E9" s="19"/>
      <c r="F9" s="39"/>
      <c r="G9" s="18"/>
    </row>
    <row r="10" s="32" customFormat="1" customHeight="1" spans="1:7">
      <c r="A10" s="11"/>
      <c r="B10" s="9"/>
      <c r="C10" s="18"/>
      <c r="D10" s="12"/>
      <c r="E10" s="19"/>
      <c r="F10" s="39"/>
      <c r="G10" s="18"/>
    </row>
    <row r="11" s="32" customFormat="1" customHeight="1" spans="1:7">
      <c r="A11" s="11"/>
      <c r="B11" s="9"/>
      <c r="C11" s="18"/>
      <c r="D11" s="12"/>
      <c r="E11" s="19"/>
      <c r="F11" s="18"/>
      <c r="G11" s="18"/>
    </row>
    <row r="12" s="32" customFormat="1" customHeight="1" spans="1:7">
      <c r="A12" s="11"/>
      <c r="B12" s="9"/>
      <c r="C12" s="18"/>
      <c r="D12" s="12"/>
      <c r="E12" s="19"/>
      <c r="F12" s="18"/>
      <c r="G12" s="18"/>
    </row>
    <row r="13" s="32" customFormat="1" customHeight="1" spans="1:7">
      <c r="A13" s="11"/>
      <c r="B13" s="9"/>
      <c r="C13" s="18"/>
      <c r="D13" s="12"/>
      <c r="E13" s="19"/>
      <c r="F13" s="18"/>
      <c r="G13" s="18"/>
    </row>
    <row r="14" s="32" customFormat="1" customHeight="1" spans="1:7">
      <c r="A14" s="11"/>
      <c r="B14" s="9"/>
      <c r="C14" s="18"/>
      <c r="D14" s="12"/>
      <c r="E14" s="19"/>
      <c r="F14" s="18"/>
      <c r="G14" s="18"/>
    </row>
    <row r="15" s="32" customFormat="1" customHeight="1" spans="1:7">
      <c r="A15" s="11"/>
      <c r="B15" s="9"/>
      <c r="C15" s="18"/>
      <c r="D15" s="12"/>
      <c r="E15" s="19"/>
      <c r="F15" s="18"/>
      <c r="G15" s="18"/>
    </row>
    <row r="16" s="32" customFormat="1" customHeight="1" spans="1:7">
      <c r="A16" s="11"/>
      <c r="B16" s="9"/>
      <c r="C16" s="18"/>
      <c r="D16" s="12"/>
      <c r="E16" s="19"/>
      <c r="F16" s="18"/>
      <c r="G16" s="18"/>
    </row>
    <row r="17" s="32" customFormat="1" customHeight="1" spans="1:7">
      <c r="A17" s="11"/>
      <c r="B17" s="9"/>
      <c r="C17" s="55"/>
      <c r="D17" s="12"/>
      <c r="E17" s="19"/>
      <c r="F17" s="18"/>
      <c r="G17" s="18"/>
    </row>
    <row r="18" s="32" customFormat="1" customHeight="1" spans="1:7">
      <c r="A18" s="11"/>
      <c r="B18" s="9"/>
      <c r="C18" s="18"/>
      <c r="D18" s="12"/>
      <c r="E18" s="19"/>
      <c r="F18" s="18"/>
      <c r="G18" s="18"/>
    </row>
    <row r="19" s="32" customFormat="1" customHeight="1" spans="1:7">
      <c r="A19" s="11"/>
      <c r="B19" s="9"/>
      <c r="C19" s="18"/>
      <c r="D19" s="12"/>
      <c r="E19" s="19"/>
      <c r="F19" s="18"/>
      <c r="G19" s="18"/>
    </row>
    <row r="20" s="32" customFormat="1" customHeight="1" spans="1:7">
      <c r="A20" s="11"/>
      <c r="B20" s="9"/>
      <c r="C20" s="18"/>
      <c r="D20" s="12"/>
      <c r="E20" s="19"/>
      <c r="F20" s="18"/>
      <c r="G20" s="18"/>
    </row>
    <row r="21" s="32" customFormat="1" customHeight="1" spans="1:7">
      <c r="A21" s="11"/>
      <c r="B21" s="9"/>
      <c r="C21" s="18"/>
      <c r="D21" s="12"/>
      <c r="E21" s="19"/>
      <c r="F21" s="18"/>
      <c r="G21" s="18"/>
    </row>
    <row r="22" s="32" customFormat="1" customHeight="1" spans="1:7">
      <c r="A22" s="11"/>
      <c r="B22" s="9"/>
      <c r="C22" s="56"/>
      <c r="D22" s="12"/>
      <c r="E22" s="19"/>
      <c r="F22" s="18"/>
      <c r="G22" s="18"/>
    </row>
    <row r="23" s="32" customFormat="1" customHeight="1" spans="1:7">
      <c r="A23" s="11"/>
      <c r="B23" s="9"/>
      <c r="C23" s="18"/>
      <c r="D23" s="12"/>
      <c r="E23" s="19"/>
      <c r="F23" s="18"/>
      <c r="G23" s="18"/>
    </row>
    <row r="24" s="32" customFormat="1" customHeight="1" spans="1:7">
      <c r="A24" s="11"/>
      <c r="B24" s="9"/>
      <c r="C24" s="18"/>
      <c r="D24" s="12"/>
      <c r="E24" s="19"/>
      <c r="F24" s="18"/>
      <c r="G24" s="18"/>
    </row>
    <row r="25" s="32" customFormat="1" customHeight="1" spans="1:7">
      <c r="A25" s="11"/>
      <c r="B25" s="9"/>
      <c r="C25" s="18"/>
      <c r="D25" s="12"/>
      <c r="E25" s="19"/>
      <c r="F25" s="18"/>
      <c r="G25" s="18"/>
    </row>
    <row r="26" s="32" customFormat="1" customHeight="1" spans="1:7">
      <c r="A26" s="11"/>
      <c r="B26" s="9"/>
      <c r="C26" s="18"/>
      <c r="D26" s="12"/>
      <c r="E26" s="19"/>
      <c r="F26" s="18"/>
      <c r="G26" s="18"/>
    </row>
    <row r="27" s="32" customFormat="1" customHeight="1" spans="1:7">
      <c r="A27" s="11"/>
      <c r="B27" s="9"/>
      <c r="C27" s="18"/>
      <c r="D27" s="12"/>
      <c r="E27" s="19"/>
      <c r="F27" s="18"/>
      <c r="G27" s="18"/>
    </row>
    <row r="28" s="32" customFormat="1" customHeight="1" spans="1:7">
      <c r="A28" s="11"/>
      <c r="B28" s="9"/>
      <c r="C28" s="18"/>
      <c r="D28" s="12"/>
      <c r="E28" s="19"/>
      <c r="F28" s="18"/>
      <c r="G28" s="18"/>
    </row>
    <row r="29" s="32" customFormat="1" customHeight="1" spans="1:7">
      <c r="A29" s="11"/>
      <c r="B29" s="9"/>
      <c r="C29" s="18"/>
      <c r="D29" s="12"/>
      <c r="E29" s="19"/>
      <c r="F29" s="18"/>
      <c r="G29" s="18"/>
    </row>
    <row r="30" s="32" customFormat="1" customHeight="1" spans="1:7">
      <c r="A30" s="11"/>
      <c r="B30" s="9"/>
      <c r="C30" s="18"/>
      <c r="D30" s="12"/>
      <c r="E30" s="19"/>
      <c r="F30" s="18"/>
      <c r="G30" s="18"/>
    </row>
    <row r="31" s="32" customFormat="1" customHeight="1" spans="1:7">
      <c r="A31" s="11"/>
      <c r="B31" s="9"/>
      <c r="C31" s="18"/>
      <c r="D31" s="12"/>
      <c r="E31" s="19"/>
      <c r="F31" s="18"/>
      <c r="G31" s="18"/>
    </row>
    <row r="32" s="32" customFormat="1" customHeight="1" spans="1:7">
      <c r="A32" s="11"/>
      <c r="B32" s="9"/>
      <c r="C32" s="18"/>
      <c r="D32" s="12"/>
      <c r="E32" s="19"/>
      <c r="F32" s="18"/>
      <c r="G32" s="18"/>
    </row>
    <row r="33" s="32" customFormat="1" customHeight="1" spans="1:7">
      <c r="A33" s="11"/>
      <c r="B33" s="9"/>
      <c r="C33" s="18"/>
      <c r="D33" s="12"/>
      <c r="E33" s="19"/>
      <c r="F33" s="18"/>
      <c r="G33" s="18"/>
    </row>
    <row r="34" s="32" customFormat="1" customHeight="1" spans="1:7">
      <c r="A34" s="11"/>
      <c r="B34" s="9"/>
      <c r="C34" s="18"/>
      <c r="D34" s="12"/>
      <c r="E34" s="19"/>
      <c r="F34" s="18"/>
      <c r="G34" s="18"/>
    </row>
    <row r="35" s="32" customFormat="1" customHeight="1" spans="1:7">
      <c r="A35" s="11"/>
      <c r="B35" s="9"/>
      <c r="C35" s="18"/>
      <c r="D35" s="12"/>
      <c r="E35" s="19"/>
      <c r="F35" s="18"/>
      <c r="G35" s="18"/>
    </row>
    <row r="36" s="32" customFormat="1" customHeight="1" spans="1:7">
      <c r="A36" s="11"/>
      <c r="B36" s="9"/>
      <c r="C36" s="18"/>
      <c r="D36" s="12"/>
      <c r="E36" s="19"/>
      <c r="F36" s="18"/>
      <c r="G36" s="18"/>
    </row>
    <row r="37" s="32" customFormat="1" customHeight="1" spans="1:7">
      <c r="A37" s="11"/>
      <c r="B37" s="9"/>
      <c r="C37" s="18"/>
      <c r="D37" s="12"/>
      <c r="E37" s="19"/>
      <c r="F37" s="18"/>
      <c r="G37" s="18"/>
    </row>
    <row r="38" s="32" customFormat="1" customHeight="1" spans="1:7">
      <c r="A38" s="11"/>
      <c r="B38" s="9"/>
      <c r="C38" s="18"/>
      <c r="D38" s="12"/>
      <c r="E38" s="19"/>
      <c r="F38" s="18"/>
      <c r="G38" s="18"/>
    </row>
    <row r="39" s="32" customFormat="1" customHeight="1" spans="1:7">
      <c r="A39" s="11"/>
      <c r="B39" s="9"/>
      <c r="C39" s="18"/>
      <c r="D39" s="12"/>
      <c r="E39" s="19"/>
      <c r="F39" s="18"/>
      <c r="G39" s="18"/>
    </row>
    <row r="40" s="32" customFormat="1" customHeight="1" spans="1:7">
      <c r="A40" s="11"/>
      <c r="B40" s="9"/>
      <c r="C40" s="18"/>
      <c r="D40" s="12"/>
      <c r="E40" s="19"/>
      <c r="F40" s="18"/>
      <c r="G40" s="18"/>
    </row>
    <row r="41" s="32" customFormat="1" customHeight="1" spans="1:7">
      <c r="A41" s="11"/>
      <c r="B41" s="9"/>
      <c r="C41" s="18"/>
      <c r="D41" s="12"/>
      <c r="E41" s="19"/>
      <c r="F41" s="18"/>
      <c r="G41" s="18"/>
    </row>
    <row r="42" s="32" customFormat="1" customHeight="1" spans="1:7">
      <c r="A42" s="11"/>
      <c r="B42" s="9"/>
      <c r="C42" s="18"/>
      <c r="D42" s="12"/>
      <c r="E42" s="19"/>
      <c r="F42" s="18"/>
      <c r="G42" s="18"/>
    </row>
    <row r="43" s="32" customFormat="1" customHeight="1" spans="1:7">
      <c r="A43" s="11"/>
      <c r="B43" s="9"/>
      <c r="C43" s="18"/>
      <c r="D43" s="12"/>
      <c r="E43" s="19"/>
      <c r="F43" s="18"/>
      <c r="G43" s="18"/>
    </row>
    <row r="44" s="32" customFormat="1" customHeight="1" spans="1:7">
      <c r="A44" s="11"/>
      <c r="B44" s="9"/>
      <c r="C44" s="18"/>
      <c r="D44" s="12"/>
      <c r="E44" s="19"/>
      <c r="F44" s="18"/>
      <c r="G44" s="18"/>
    </row>
    <row r="45" s="32" customFormat="1" customHeight="1" spans="1:7">
      <c r="A45" s="11"/>
      <c r="B45" s="9"/>
      <c r="C45" s="18"/>
      <c r="D45" s="12"/>
      <c r="E45" s="19"/>
      <c r="F45" s="18"/>
      <c r="G45" s="18"/>
    </row>
    <row r="46" s="32" customFormat="1" customHeight="1" spans="1:7">
      <c r="A46" s="11"/>
      <c r="B46" s="9"/>
      <c r="C46" s="18"/>
      <c r="D46" s="12"/>
      <c r="E46" s="19"/>
      <c r="F46" s="18"/>
      <c r="G46" s="18"/>
    </row>
    <row r="47" s="32" customFormat="1" customHeight="1" spans="1:7">
      <c r="A47" s="11"/>
      <c r="B47" s="9"/>
      <c r="C47" s="18"/>
      <c r="D47" s="12"/>
      <c r="E47" s="19"/>
      <c r="F47" s="18"/>
      <c r="G47" s="18"/>
    </row>
    <row r="48" s="32" customFormat="1" customHeight="1" spans="1:7">
      <c r="A48" s="11"/>
      <c r="B48" s="9"/>
      <c r="C48" s="18"/>
      <c r="D48" s="12" t="s">
        <v>40</v>
      </c>
      <c r="E48" s="44">
        <f>SUM(E3:E47)</f>
        <v>0</v>
      </c>
      <c r="F48" s="18"/>
      <c r="G48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workbookViewId="0">
      <selection activeCell="A3" sqref="A3:G64"/>
    </sheetView>
  </sheetViews>
  <sheetFormatPr defaultColWidth="9" defaultRowHeight="13.5" outlineLevelCol="6"/>
  <cols>
    <col min="1" max="1" width="4.88333333333333" style="30" customWidth="1"/>
    <col min="2" max="2" width="10.3833333333333" style="33" customWidth="1"/>
    <col min="3" max="3" width="55.625" style="32" customWidth="1"/>
    <col min="4" max="4" width="7" style="32" customWidth="1"/>
    <col min="5" max="5" width="17.8833333333333" style="32" customWidth="1"/>
    <col min="6" max="6" width="15.75" style="32" customWidth="1"/>
    <col min="7" max="7" width="25" style="32" customWidth="1"/>
    <col min="8" max="16384" width="9" style="32"/>
  </cols>
  <sheetData>
    <row r="1" s="30" customFormat="1" ht="27" customHeight="1" spans="1:7">
      <c r="A1" s="34" t="s">
        <v>96</v>
      </c>
      <c r="B1" s="34"/>
      <c r="C1" s="34"/>
      <c r="D1" s="34"/>
      <c r="E1" s="34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22" customHeight="1" spans="1:7">
      <c r="A3" s="11"/>
      <c r="B3" s="9"/>
      <c r="C3" s="48"/>
      <c r="D3" s="18"/>
      <c r="E3" s="19"/>
      <c r="F3" s="39"/>
      <c r="G3" s="18"/>
    </row>
    <row r="4" s="32" customFormat="1" ht="22" customHeight="1" spans="1:7">
      <c r="A4" s="11"/>
      <c r="B4" s="9"/>
      <c r="C4" s="48"/>
      <c r="D4" s="18"/>
      <c r="E4" s="19"/>
      <c r="F4" s="39"/>
      <c r="G4" s="18"/>
    </row>
    <row r="5" s="32" customFormat="1" ht="22" customHeight="1" spans="1:7">
      <c r="A5" s="11"/>
      <c r="B5" s="9"/>
      <c r="C5" s="18"/>
      <c r="D5" s="18"/>
      <c r="E5" s="19"/>
      <c r="F5" s="49"/>
      <c r="G5" s="18"/>
    </row>
    <row r="6" s="32" customFormat="1" ht="22" customHeight="1" spans="1:7">
      <c r="A6" s="11"/>
      <c r="B6" s="9"/>
      <c r="C6" s="18"/>
      <c r="D6" s="18"/>
      <c r="E6" s="19"/>
      <c r="F6" s="39"/>
      <c r="G6" s="18"/>
    </row>
    <row r="7" s="32" customFormat="1" ht="22" customHeight="1" spans="1:7">
      <c r="A7" s="11"/>
      <c r="B7" s="9"/>
      <c r="C7" s="18"/>
      <c r="D7" s="39"/>
      <c r="E7" s="19"/>
      <c r="F7" s="39"/>
      <c r="G7" s="39"/>
    </row>
    <row r="8" s="32" customFormat="1" ht="65" customHeight="1" spans="1:7">
      <c r="A8" s="11"/>
      <c r="B8" s="9"/>
      <c r="C8" s="39"/>
      <c r="D8" s="39"/>
      <c r="E8" s="19"/>
      <c r="F8" s="39"/>
      <c r="G8" s="50"/>
    </row>
    <row r="9" s="32" customFormat="1" ht="20" customHeight="1" spans="1:7">
      <c r="A9" s="11"/>
      <c r="B9" s="9"/>
      <c r="C9" s="39"/>
      <c r="D9" s="39"/>
      <c r="E9" s="19"/>
      <c r="F9" s="39"/>
      <c r="G9" s="18"/>
    </row>
    <row r="10" s="32" customFormat="1" ht="20" customHeight="1" spans="1:7">
      <c r="A10" s="11"/>
      <c r="B10" s="9"/>
      <c r="C10" s="39"/>
      <c r="D10" s="39"/>
      <c r="E10" s="19"/>
      <c r="F10" s="39"/>
      <c r="G10" s="18"/>
    </row>
    <row r="11" s="32" customFormat="1" ht="20" customHeight="1" spans="1:7">
      <c r="A11" s="11"/>
      <c r="B11" s="9"/>
      <c r="C11" s="39"/>
      <c r="D11" s="39"/>
      <c r="E11" s="19"/>
      <c r="F11" s="39"/>
      <c r="G11" s="18"/>
    </row>
    <row r="12" s="32" customFormat="1" ht="20" customHeight="1" spans="1:7">
      <c r="A12" s="11"/>
      <c r="B12" s="9"/>
      <c r="C12" s="39"/>
      <c r="D12" s="39"/>
      <c r="E12" s="19"/>
      <c r="F12" s="39"/>
      <c r="G12" s="18"/>
    </row>
    <row r="13" s="32" customFormat="1" ht="20" customHeight="1" spans="1:7">
      <c r="A13" s="11"/>
      <c r="B13" s="9"/>
      <c r="C13" s="39"/>
      <c r="D13" s="39"/>
      <c r="E13" s="19"/>
      <c r="F13" s="39"/>
      <c r="G13" s="18"/>
    </row>
    <row r="14" s="32" customFormat="1" ht="20" customHeight="1" spans="1:7">
      <c r="A14" s="11"/>
      <c r="B14" s="9"/>
      <c r="C14" s="39"/>
      <c r="D14" s="39"/>
      <c r="E14" s="19"/>
      <c r="F14" s="39"/>
      <c r="G14" s="18"/>
    </row>
    <row r="15" s="32" customFormat="1" ht="20" customHeight="1" spans="1:7">
      <c r="A15" s="11"/>
      <c r="B15" s="9"/>
      <c r="C15" s="39"/>
      <c r="D15" s="39"/>
      <c r="E15" s="19"/>
      <c r="F15" s="39"/>
      <c r="G15" s="18"/>
    </row>
    <row r="16" s="32" customFormat="1" ht="20" customHeight="1" spans="1:7">
      <c r="A16" s="11"/>
      <c r="B16" s="9"/>
      <c r="C16" s="39"/>
      <c r="D16" s="39"/>
      <c r="E16" s="19"/>
      <c r="F16" s="39"/>
      <c r="G16" s="18"/>
    </row>
    <row r="17" s="32" customFormat="1" ht="20" customHeight="1" spans="1:7">
      <c r="A17" s="11"/>
      <c r="B17" s="9"/>
      <c r="C17" s="39"/>
      <c r="D17" s="39"/>
      <c r="E17" s="19"/>
      <c r="F17" s="39"/>
      <c r="G17" s="18"/>
    </row>
    <row r="18" s="32" customFormat="1" ht="20" customHeight="1" spans="1:7">
      <c r="A18" s="11"/>
      <c r="B18" s="9"/>
      <c r="C18" s="39"/>
      <c r="D18" s="39"/>
      <c r="E18" s="19"/>
      <c r="F18" s="39"/>
      <c r="G18" s="18"/>
    </row>
    <row r="19" s="32" customFormat="1" ht="20" customHeight="1" spans="1:7">
      <c r="A19" s="11"/>
      <c r="B19" s="9"/>
      <c r="C19" s="39"/>
      <c r="D19" s="39"/>
      <c r="E19" s="19"/>
      <c r="F19" s="39"/>
      <c r="G19" s="18"/>
    </row>
    <row r="20" s="32" customFormat="1" ht="20" customHeight="1" spans="1:7">
      <c r="A20" s="11"/>
      <c r="B20" s="9"/>
      <c r="C20" s="39"/>
      <c r="D20" s="39"/>
      <c r="E20" s="19"/>
      <c r="F20" s="39"/>
      <c r="G20" s="18"/>
    </row>
    <row r="21" s="32" customFormat="1" ht="20" customHeight="1" spans="1:7">
      <c r="A21" s="11"/>
      <c r="B21" s="9"/>
      <c r="C21" s="39"/>
      <c r="D21" s="39"/>
      <c r="E21" s="19"/>
      <c r="F21" s="39"/>
      <c r="G21" s="18"/>
    </row>
    <row r="22" s="32" customFormat="1" ht="20" customHeight="1" spans="1:7">
      <c r="A22" s="11"/>
      <c r="B22" s="9"/>
      <c r="C22" s="39"/>
      <c r="D22" s="39"/>
      <c r="E22" s="19"/>
      <c r="F22" s="39"/>
      <c r="G22" s="18"/>
    </row>
    <row r="23" s="32" customFormat="1" ht="20" customHeight="1" spans="1:7">
      <c r="A23" s="11"/>
      <c r="B23" s="9"/>
      <c r="C23" s="39"/>
      <c r="D23" s="39"/>
      <c r="E23" s="19"/>
      <c r="F23" s="39"/>
      <c r="G23" s="18"/>
    </row>
    <row r="24" s="32" customFormat="1" ht="20" customHeight="1" spans="1:7">
      <c r="A24" s="11"/>
      <c r="B24" s="9"/>
      <c r="C24" s="39"/>
      <c r="D24" s="39"/>
      <c r="E24" s="19"/>
      <c r="F24" s="39"/>
      <c r="G24" s="18"/>
    </row>
    <row r="25" s="32" customFormat="1" ht="20" customHeight="1" spans="1:7">
      <c r="A25" s="11"/>
      <c r="B25" s="9"/>
      <c r="C25" s="39"/>
      <c r="D25" s="39"/>
      <c r="E25" s="19"/>
      <c r="F25" s="39"/>
      <c r="G25" s="18"/>
    </row>
    <row r="26" s="32" customFormat="1" ht="20" customHeight="1" spans="1:7">
      <c r="A26" s="11"/>
      <c r="B26" s="9"/>
      <c r="C26" s="39"/>
      <c r="D26" s="39"/>
      <c r="E26" s="19"/>
      <c r="F26" s="39"/>
      <c r="G26" s="18"/>
    </row>
    <row r="27" s="32" customFormat="1" ht="20" customHeight="1" spans="1:7">
      <c r="A27" s="11"/>
      <c r="B27" s="9"/>
      <c r="C27" s="51"/>
      <c r="D27" s="39"/>
      <c r="E27" s="19"/>
      <c r="F27" s="39"/>
      <c r="G27" s="18"/>
    </row>
    <row r="28" s="32" customFormat="1" ht="20" customHeight="1" spans="1:7">
      <c r="A28" s="11"/>
      <c r="B28" s="9"/>
      <c r="C28" s="51"/>
      <c r="D28" s="39"/>
      <c r="E28" s="19"/>
      <c r="F28" s="39"/>
      <c r="G28" s="18"/>
    </row>
    <row r="29" s="32" customFormat="1" ht="20" customHeight="1" spans="1:7">
      <c r="A29" s="11"/>
      <c r="B29" s="9"/>
      <c r="C29" s="39"/>
      <c r="D29" s="39"/>
      <c r="E29" s="19"/>
      <c r="F29" s="39"/>
      <c r="G29" s="18"/>
    </row>
    <row r="30" s="32" customFormat="1" ht="20" customHeight="1" spans="1:7">
      <c r="A30" s="11"/>
      <c r="B30" s="9"/>
      <c r="C30" s="39"/>
      <c r="D30" s="39"/>
      <c r="E30" s="19"/>
      <c r="F30" s="39"/>
      <c r="G30" s="18"/>
    </row>
    <row r="31" s="32" customFormat="1" ht="20" customHeight="1" spans="1:7">
      <c r="A31" s="11"/>
      <c r="B31" s="9"/>
      <c r="C31" s="39"/>
      <c r="D31" s="39"/>
      <c r="E31" s="19"/>
      <c r="F31" s="39"/>
      <c r="G31" s="18"/>
    </row>
    <row r="32" s="32" customFormat="1" ht="20" customHeight="1" spans="1:7">
      <c r="A32" s="11"/>
      <c r="B32" s="9"/>
      <c r="C32" s="39"/>
      <c r="D32" s="39"/>
      <c r="E32" s="19"/>
      <c r="F32" s="39"/>
      <c r="G32" s="18"/>
    </row>
    <row r="33" s="32" customFormat="1" ht="20" customHeight="1" spans="1:7">
      <c r="A33" s="11"/>
      <c r="B33" s="9"/>
      <c r="C33" s="39"/>
      <c r="D33" s="39"/>
      <c r="E33" s="19"/>
      <c r="F33" s="39"/>
      <c r="G33" s="18"/>
    </row>
    <row r="34" s="32" customFormat="1" ht="20" customHeight="1" spans="1:7">
      <c r="A34" s="11"/>
      <c r="B34" s="9"/>
      <c r="C34" s="39"/>
      <c r="D34" s="39"/>
      <c r="E34" s="19"/>
      <c r="F34" s="39"/>
      <c r="G34" s="18"/>
    </row>
    <row r="35" s="32" customFormat="1" ht="20" customHeight="1" spans="1:7">
      <c r="A35" s="11"/>
      <c r="B35" s="9"/>
      <c r="C35" s="39"/>
      <c r="D35" s="39"/>
      <c r="E35" s="19"/>
      <c r="F35" s="39"/>
      <c r="G35" s="18"/>
    </row>
    <row r="36" s="32" customFormat="1" ht="20" customHeight="1" spans="1:7">
      <c r="A36" s="11"/>
      <c r="B36" s="9"/>
      <c r="C36" s="39"/>
      <c r="D36" s="39"/>
      <c r="E36" s="19"/>
      <c r="F36" s="39"/>
      <c r="G36" s="18"/>
    </row>
    <row r="37" s="32" customFormat="1" ht="54" customHeight="1" spans="1:7">
      <c r="A37" s="11"/>
      <c r="B37" s="9"/>
      <c r="C37" s="52"/>
      <c r="D37" s="39"/>
      <c r="E37" s="19"/>
      <c r="F37" s="39"/>
      <c r="G37" s="50"/>
    </row>
    <row r="38" s="32" customFormat="1" ht="53" customHeight="1" spans="1:7">
      <c r="A38" s="11"/>
      <c r="B38" s="9"/>
      <c r="C38" s="39"/>
      <c r="D38" s="39"/>
      <c r="E38" s="19"/>
      <c r="F38" s="39"/>
      <c r="G38" s="50"/>
    </row>
    <row r="39" s="32" customFormat="1" ht="20" customHeight="1" spans="1:7">
      <c r="A39" s="11"/>
      <c r="B39" s="9"/>
      <c r="C39" s="39"/>
      <c r="D39" s="39"/>
      <c r="E39" s="19"/>
      <c r="F39" s="39"/>
      <c r="G39" s="18"/>
    </row>
    <row r="40" s="32" customFormat="1" ht="20" customHeight="1" spans="1:7">
      <c r="A40" s="11"/>
      <c r="B40" s="9"/>
      <c r="C40" s="53"/>
      <c r="D40" s="39"/>
      <c r="E40" s="19"/>
      <c r="F40" s="39"/>
      <c r="G40" s="18"/>
    </row>
    <row r="41" s="32" customFormat="1" ht="20" customHeight="1" spans="1:7">
      <c r="A41" s="11"/>
      <c r="B41" s="9"/>
      <c r="C41" s="39"/>
      <c r="D41" s="39"/>
      <c r="E41" s="19"/>
      <c r="F41" s="39"/>
      <c r="G41" s="18"/>
    </row>
    <row r="42" s="32" customFormat="1" ht="20" customHeight="1" spans="1:7">
      <c r="A42" s="11"/>
      <c r="B42" s="9"/>
      <c r="C42" s="39"/>
      <c r="D42" s="39"/>
      <c r="E42" s="19"/>
      <c r="F42" s="39"/>
      <c r="G42" s="18"/>
    </row>
    <row r="43" s="32" customFormat="1" ht="20" customHeight="1" spans="1:7">
      <c r="A43" s="11"/>
      <c r="B43" s="9"/>
      <c r="C43" s="39"/>
      <c r="D43" s="39"/>
      <c r="E43" s="19"/>
      <c r="F43" s="39"/>
      <c r="G43" s="18"/>
    </row>
    <row r="44" s="32" customFormat="1" ht="20" customHeight="1" spans="1:7">
      <c r="A44" s="11"/>
      <c r="B44" s="9"/>
      <c r="C44" s="39"/>
      <c r="D44" s="39"/>
      <c r="E44" s="19"/>
      <c r="F44" s="39"/>
      <c r="G44" s="18"/>
    </row>
    <row r="45" s="32" customFormat="1" ht="20" customHeight="1" spans="1:7">
      <c r="A45" s="11"/>
      <c r="B45" s="9"/>
      <c r="C45" s="39"/>
      <c r="D45" s="39"/>
      <c r="E45" s="19"/>
      <c r="F45" s="39"/>
      <c r="G45" s="18"/>
    </row>
    <row r="46" s="32" customFormat="1" ht="20" customHeight="1" spans="1:7">
      <c r="A46" s="11"/>
      <c r="B46" s="9"/>
      <c r="C46" s="39"/>
      <c r="D46" s="39"/>
      <c r="E46" s="19"/>
      <c r="F46" s="39"/>
      <c r="G46" s="18"/>
    </row>
    <row r="47" s="32" customFormat="1" ht="20" customHeight="1" spans="1:7">
      <c r="A47" s="11"/>
      <c r="B47" s="9"/>
      <c r="C47" s="39"/>
      <c r="D47" s="39"/>
      <c r="E47" s="19"/>
      <c r="F47" s="39"/>
      <c r="G47" s="18"/>
    </row>
    <row r="48" s="32" customFormat="1" ht="20" customHeight="1" spans="1:7">
      <c r="A48" s="11"/>
      <c r="B48" s="9"/>
      <c r="C48" s="39"/>
      <c r="D48" s="39"/>
      <c r="E48" s="19"/>
      <c r="F48" s="39"/>
      <c r="G48" s="18"/>
    </row>
    <row r="49" s="32" customFormat="1" ht="20" customHeight="1" spans="1:7">
      <c r="A49" s="11"/>
      <c r="B49" s="9"/>
      <c r="C49" s="39"/>
      <c r="D49" s="39"/>
      <c r="E49" s="19"/>
      <c r="F49" s="39"/>
      <c r="G49" s="18"/>
    </row>
    <row r="50" s="32" customFormat="1" ht="20" customHeight="1" spans="1:7">
      <c r="A50" s="11"/>
      <c r="B50" s="9"/>
      <c r="C50" s="39"/>
      <c r="D50" s="39"/>
      <c r="E50" s="19"/>
      <c r="F50" s="39"/>
      <c r="G50" s="18"/>
    </row>
    <row r="51" s="32" customFormat="1" ht="20" customHeight="1" spans="1:7">
      <c r="A51" s="11"/>
      <c r="B51" s="9"/>
      <c r="C51" s="39"/>
      <c r="D51" s="39"/>
      <c r="E51" s="19"/>
      <c r="F51" s="39"/>
      <c r="G51" s="18"/>
    </row>
    <row r="52" s="32" customFormat="1" ht="20" customHeight="1" spans="1:7">
      <c r="A52" s="11"/>
      <c r="B52" s="9"/>
      <c r="C52" s="39"/>
      <c r="D52" s="39"/>
      <c r="E52" s="19"/>
      <c r="F52" s="39"/>
      <c r="G52" s="18"/>
    </row>
    <row r="53" s="32" customFormat="1" ht="20" customHeight="1" spans="1:7">
      <c r="A53" s="11"/>
      <c r="B53" s="9"/>
      <c r="C53" s="39"/>
      <c r="D53" s="39"/>
      <c r="E53" s="19"/>
      <c r="F53" s="39"/>
      <c r="G53" s="18"/>
    </row>
    <row r="54" s="32" customFormat="1" ht="20" customHeight="1" spans="1:7">
      <c r="A54" s="11"/>
      <c r="B54" s="9"/>
      <c r="C54" s="39"/>
      <c r="D54" s="39"/>
      <c r="E54" s="19"/>
      <c r="F54" s="39"/>
      <c r="G54" s="18"/>
    </row>
    <row r="55" s="32" customFormat="1" ht="20" customHeight="1" spans="1:7">
      <c r="A55" s="11"/>
      <c r="B55" s="9"/>
      <c r="C55" s="39"/>
      <c r="D55" s="39"/>
      <c r="E55" s="19"/>
      <c r="F55" s="39"/>
      <c r="G55" s="18"/>
    </row>
    <row r="56" s="32" customFormat="1" ht="20" customHeight="1" spans="1:7">
      <c r="A56" s="11"/>
      <c r="B56" s="9"/>
      <c r="C56" s="39"/>
      <c r="D56" s="39"/>
      <c r="E56" s="19"/>
      <c r="F56" s="39"/>
      <c r="G56" s="18"/>
    </row>
    <row r="57" s="32" customFormat="1" ht="20" customHeight="1" spans="1:7">
      <c r="A57" s="11"/>
      <c r="B57" s="9"/>
      <c r="C57" s="39"/>
      <c r="D57" s="39"/>
      <c r="E57" s="19"/>
      <c r="F57" s="39"/>
      <c r="G57" s="18"/>
    </row>
    <row r="58" s="32" customFormat="1" ht="20" customHeight="1" spans="1:7">
      <c r="A58" s="11"/>
      <c r="B58" s="9"/>
      <c r="C58" s="39"/>
      <c r="D58" s="39"/>
      <c r="E58" s="19"/>
      <c r="F58" s="39"/>
      <c r="G58" s="18"/>
    </row>
    <row r="59" s="32" customFormat="1" ht="20" customHeight="1" spans="1:7">
      <c r="A59" s="11"/>
      <c r="B59" s="9"/>
      <c r="C59" s="39"/>
      <c r="D59" s="39"/>
      <c r="E59" s="19"/>
      <c r="F59" s="39"/>
      <c r="G59" s="18"/>
    </row>
    <row r="60" s="32" customFormat="1" ht="20" customHeight="1" spans="1:7">
      <c r="A60" s="11"/>
      <c r="B60" s="9"/>
      <c r="C60" s="39"/>
      <c r="D60" s="39"/>
      <c r="E60" s="19"/>
      <c r="F60" s="39"/>
      <c r="G60" s="18"/>
    </row>
    <row r="61" s="32" customFormat="1" ht="20" customHeight="1" spans="1:7">
      <c r="A61" s="11"/>
      <c r="B61" s="9"/>
      <c r="C61" s="39"/>
      <c r="D61" s="39"/>
      <c r="E61" s="19"/>
      <c r="F61" s="39"/>
      <c r="G61" s="18"/>
    </row>
    <row r="62" s="32" customFormat="1" ht="20" customHeight="1" spans="1:7">
      <c r="A62" s="11"/>
      <c r="B62" s="9"/>
      <c r="C62" s="39"/>
      <c r="D62" s="39"/>
      <c r="E62" s="19"/>
      <c r="F62" s="39"/>
      <c r="G62" s="18"/>
    </row>
    <row r="63" s="32" customFormat="1" ht="20" customHeight="1" spans="1:7">
      <c r="A63" s="11"/>
      <c r="B63" s="9"/>
      <c r="C63" s="39"/>
      <c r="D63" s="39"/>
      <c r="E63" s="19"/>
      <c r="F63" s="39"/>
      <c r="G63" s="18"/>
    </row>
    <row r="64" s="32" customFormat="1" ht="20" customHeight="1" spans="1:7">
      <c r="A64" s="11"/>
      <c r="B64" s="9"/>
      <c r="C64" s="39"/>
      <c r="D64" s="39"/>
      <c r="E64" s="19"/>
      <c r="F64" s="39"/>
      <c r="G64" s="18"/>
    </row>
    <row r="65" s="32" customFormat="1" ht="18" customHeight="1" spans="1:7">
      <c r="A65" s="11"/>
      <c r="B65" s="54"/>
      <c r="C65" s="39"/>
      <c r="D65" s="39" t="s">
        <v>40</v>
      </c>
      <c r="E65" s="44">
        <f>SUM(E3:E64)</f>
        <v>0</v>
      </c>
      <c r="F65" s="39"/>
      <c r="G65" s="39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9"/>
  <sheetViews>
    <sheetView workbookViewId="0">
      <selection activeCell="A3" sqref="A3:G38"/>
    </sheetView>
  </sheetViews>
  <sheetFormatPr defaultColWidth="9" defaultRowHeight="13.5" outlineLevelCol="6"/>
  <cols>
    <col min="1" max="1" width="4.88333333333333" style="30" customWidth="1"/>
    <col min="2" max="2" width="11.25" style="33" customWidth="1"/>
    <col min="3" max="3" width="45.125" style="32" customWidth="1"/>
    <col min="4" max="4" width="7" style="32" customWidth="1"/>
    <col min="5" max="5" width="18.75" style="32" customWidth="1"/>
    <col min="6" max="6" width="19.75" style="32" customWidth="1"/>
    <col min="7" max="7" width="26" style="32" customWidth="1"/>
    <col min="8" max="16384" width="9" style="32"/>
  </cols>
  <sheetData>
    <row r="1" s="30" customFormat="1" ht="27" customHeight="1" spans="1:7">
      <c r="A1" s="34" t="s">
        <v>97</v>
      </c>
      <c r="B1" s="34"/>
      <c r="C1" s="34"/>
      <c r="D1" s="34"/>
      <c r="E1" s="34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15" customHeight="1" spans="1:7">
      <c r="A3" s="11"/>
      <c r="B3" s="9"/>
      <c r="C3" s="18"/>
      <c r="D3" s="18"/>
      <c r="E3" s="19"/>
      <c r="F3" s="39"/>
      <c r="G3" s="18"/>
    </row>
    <row r="4" s="32" customFormat="1" customHeight="1" spans="1:7">
      <c r="A4" s="11"/>
      <c r="B4" s="9"/>
      <c r="C4" s="18"/>
      <c r="D4" s="18"/>
      <c r="E4" s="19"/>
      <c r="F4" s="39"/>
      <c r="G4" s="18"/>
    </row>
    <row r="5" s="32" customFormat="1" customHeight="1" spans="1:7">
      <c r="A5" s="11"/>
      <c r="B5" s="9"/>
      <c r="C5" s="18"/>
      <c r="D5" s="18"/>
      <c r="E5" s="19"/>
      <c r="F5" s="39"/>
      <c r="G5" s="18"/>
    </row>
    <row r="6" s="32" customFormat="1" customHeight="1" spans="1:7">
      <c r="A6" s="11"/>
      <c r="B6" s="9"/>
      <c r="C6" s="18"/>
      <c r="D6" s="18"/>
      <c r="E6" s="19"/>
      <c r="F6" s="39"/>
      <c r="G6" s="18"/>
    </row>
    <row r="7" s="32" customFormat="1" customHeight="1" spans="1:7">
      <c r="A7" s="11"/>
      <c r="B7" s="9"/>
      <c r="C7" s="18"/>
      <c r="D7" s="18"/>
      <c r="E7" s="19"/>
      <c r="F7" s="39"/>
      <c r="G7" s="18"/>
    </row>
    <row r="8" s="32" customFormat="1" customHeight="1" spans="1:7">
      <c r="A8" s="11"/>
      <c r="B8" s="9"/>
      <c r="C8" s="46"/>
      <c r="D8" s="18"/>
      <c r="E8" s="19"/>
      <c r="F8" s="39"/>
      <c r="G8" s="18"/>
    </row>
    <row r="9" s="32" customFormat="1" customHeight="1" spans="1:7">
      <c r="A9" s="11"/>
      <c r="B9" s="9"/>
      <c r="C9" s="18"/>
      <c r="D9" s="18"/>
      <c r="E9" s="19"/>
      <c r="F9" s="39"/>
      <c r="G9" s="18"/>
    </row>
    <row r="10" s="32" customFormat="1" customHeight="1" spans="1:7">
      <c r="A10" s="11"/>
      <c r="B10" s="9"/>
      <c r="C10" s="18"/>
      <c r="D10" s="18"/>
      <c r="E10" s="19"/>
      <c r="F10" s="39"/>
      <c r="G10" s="39"/>
    </row>
    <row r="11" s="32" customFormat="1" customHeight="1" spans="1:7">
      <c r="A11" s="11"/>
      <c r="B11" s="9"/>
      <c r="C11" s="18"/>
      <c r="D11" s="18"/>
      <c r="E11" s="19"/>
      <c r="F11" s="39"/>
      <c r="G11" s="18"/>
    </row>
    <row r="12" s="32" customFormat="1" customHeight="1" spans="1:7">
      <c r="A12" s="11"/>
      <c r="B12" s="9"/>
      <c r="C12" s="47"/>
      <c r="D12" s="18"/>
      <c r="E12" s="19"/>
      <c r="F12" s="39"/>
      <c r="G12" s="18"/>
    </row>
    <row r="13" s="32" customFormat="1" customHeight="1" spans="1:7">
      <c r="A13" s="11"/>
      <c r="B13" s="9"/>
      <c r="C13" s="18"/>
      <c r="D13" s="18"/>
      <c r="E13" s="19"/>
      <c r="F13" s="39"/>
      <c r="G13" s="18"/>
    </row>
    <row r="14" s="32" customFormat="1" customHeight="1" spans="1:7">
      <c r="A14" s="11"/>
      <c r="B14" s="9"/>
      <c r="C14" s="18"/>
      <c r="D14" s="18"/>
      <c r="E14" s="19"/>
      <c r="F14" s="39"/>
      <c r="G14" s="18"/>
    </row>
    <row r="15" s="32" customFormat="1" customHeight="1" spans="1:7">
      <c r="A15" s="11"/>
      <c r="B15" s="9"/>
      <c r="C15" s="18"/>
      <c r="D15" s="18"/>
      <c r="E15" s="19"/>
      <c r="F15" s="39"/>
      <c r="G15" s="18"/>
    </row>
    <row r="16" s="32" customFormat="1" customHeight="1" spans="1:7">
      <c r="A16" s="11"/>
      <c r="B16" s="9"/>
      <c r="C16" s="18"/>
      <c r="D16" s="18"/>
      <c r="E16" s="19"/>
      <c r="F16" s="39"/>
      <c r="G16" s="18"/>
    </row>
    <row r="17" s="32" customFormat="1" customHeight="1" spans="1:7">
      <c r="A17" s="11"/>
      <c r="B17" s="9"/>
      <c r="C17" s="18"/>
      <c r="D17" s="18"/>
      <c r="E17" s="19"/>
      <c r="F17" s="39"/>
      <c r="G17" s="18"/>
    </row>
    <row r="18" s="32" customFormat="1" customHeight="1" spans="1:7">
      <c r="A18" s="11"/>
      <c r="B18" s="9"/>
      <c r="C18" s="18"/>
      <c r="D18" s="18"/>
      <c r="E18" s="19"/>
      <c r="F18" s="39"/>
      <c r="G18" s="18"/>
    </row>
    <row r="19" s="32" customFormat="1" customHeight="1" spans="1:7">
      <c r="A19" s="11"/>
      <c r="B19" s="9"/>
      <c r="C19" s="18"/>
      <c r="D19" s="18"/>
      <c r="E19" s="19"/>
      <c r="F19" s="39"/>
      <c r="G19" s="18"/>
    </row>
    <row r="20" s="32" customFormat="1" customHeight="1" spans="1:7">
      <c r="A20" s="11"/>
      <c r="B20" s="9"/>
      <c r="C20" s="18"/>
      <c r="D20" s="18"/>
      <c r="E20" s="19"/>
      <c r="F20" s="39"/>
      <c r="G20" s="18"/>
    </row>
    <row r="21" s="32" customFormat="1" customHeight="1" spans="1:7">
      <c r="A21" s="11"/>
      <c r="B21" s="9"/>
      <c r="C21" s="18"/>
      <c r="D21" s="18"/>
      <c r="E21" s="19"/>
      <c r="F21" s="39"/>
      <c r="G21" s="18"/>
    </row>
    <row r="22" s="32" customFormat="1" customHeight="1" spans="1:7">
      <c r="A22" s="11"/>
      <c r="B22" s="9"/>
      <c r="C22" s="18"/>
      <c r="D22" s="18"/>
      <c r="E22" s="19"/>
      <c r="F22" s="39"/>
      <c r="G22" s="18"/>
    </row>
    <row r="23" s="32" customFormat="1" customHeight="1" spans="1:7">
      <c r="A23" s="11"/>
      <c r="B23" s="9"/>
      <c r="C23" s="18"/>
      <c r="D23" s="18"/>
      <c r="E23" s="19"/>
      <c r="F23" s="39"/>
      <c r="G23" s="18"/>
    </row>
    <row r="24" s="32" customFormat="1" customHeight="1" spans="1:7">
      <c r="A24" s="11"/>
      <c r="B24" s="9"/>
      <c r="C24" s="18"/>
      <c r="D24" s="18"/>
      <c r="E24" s="19"/>
      <c r="F24" s="39"/>
      <c r="G24" s="18"/>
    </row>
    <row r="25" s="32" customFormat="1" customHeight="1" spans="1:7">
      <c r="A25" s="11"/>
      <c r="B25" s="9"/>
      <c r="C25" s="18"/>
      <c r="D25" s="18"/>
      <c r="E25" s="19"/>
      <c r="F25" s="39"/>
      <c r="G25" s="18"/>
    </row>
    <row r="26" s="32" customFormat="1" customHeight="1" spans="1:7">
      <c r="A26" s="11"/>
      <c r="B26" s="9"/>
      <c r="C26" s="18"/>
      <c r="D26" s="18"/>
      <c r="E26" s="19"/>
      <c r="F26" s="39"/>
      <c r="G26" s="18"/>
    </row>
    <row r="27" s="32" customFormat="1" customHeight="1" spans="1:7">
      <c r="A27" s="11"/>
      <c r="B27" s="9"/>
      <c r="C27" s="18"/>
      <c r="D27" s="18"/>
      <c r="E27" s="19"/>
      <c r="F27" s="39"/>
      <c r="G27" s="18"/>
    </row>
    <row r="28" s="32" customFormat="1" customHeight="1" spans="1:7">
      <c r="A28" s="11"/>
      <c r="B28" s="9"/>
      <c r="C28" s="18"/>
      <c r="D28" s="18"/>
      <c r="E28" s="19"/>
      <c r="F28" s="39"/>
      <c r="G28" s="18"/>
    </row>
    <row r="29" s="32" customFormat="1" customHeight="1" spans="1:7">
      <c r="A29" s="11"/>
      <c r="B29" s="9"/>
      <c r="C29" s="18"/>
      <c r="D29" s="18"/>
      <c r="E29" s="19"/>
      <c r="F29" s="39"/>
      <c r="G29" s="18"/>
    </row>
    <row r="30" s="32" customFormat="1" customHeight="1" spans="1:7">
      <c r="A30" s="11"/>
      <c r="B30" s="9"/>
      <c r="C30" s="18"/>
      <c r="D30" s="18"/>
      <c r="E30" s="19"/>
      <c r="F30" s="39"/>
      <c r="G30" s="18"/>
    </row>
    <row r="31" s="32" customFormat="1" customHeight="1" spans="1:7">
      <c r="A31" s="11"/>
      <c r="B31" s="9"/>
      <c r="C31" s="18"/>
      <c r="D31" s="18"/>
      <c r="E31" s="19"/>
      <c r="F31" s="39"/>
      <c r="G31" s="18"/>
    </row>
    <row r="32" s="32" customFormat="1" customHeight="1" spans="1:7">
      <c r="A32" s="11"/>
      <c r="B32" s="9"/>
      <c r="C32" s="18"/>
      <c r="D32" s="18"/>
      <c r="E32" s="19"/>
      <c r="F32" s="39"/>
      <c r="G32" s="18"/>
    </row>
    <row r="33" s="32" customFormat="1" customHeight="1" spans="1:7">
      <c r="A33" s="11"/>
      <c r="B33" s="9"/>
      <c r="C33" s="18"/>
      <c r="D33" s="18"/>
      <c r="E33" s="19"/>
      <c r="F33" s="39"/>
      <c r="G33" s="18"/>
    </row>
    <row r="34" s="32" customFormat="1" customHeight="1" spans="1:7">
      <c r="A34" s="11"/>
      <c r="B34" s="9"/>
      <c r="C34" s="18"/>
      <c r="D34" s="18"/>
      <c r="E34" s="19"/>
      <c r="F34" s="39"/>
      <c r="G34" s="18"/>
    </row>
    <row r="35" s="32" customFormat="1" customHeight="1" spans="1:7">
      <c r="A35" s="11"/>
      <c r="B35" s="9"/>
      <c r="C35"/>
      <c r="D35" s="18"/>
      <c r="E35" s="19"/>
      <c r="F35" s="39"/>
      <c r="G35" s="18"/>
    </row>
    <row r="36" s="32" customFormat="1" customHeight="1" spans="1:7">
      <c r="A36" s="11"/>
      <c r="B36" s="9"/>
      <c r="C36" s="18"/>
      <c r="D36" s="18"/>
      <c r="E36" s="19"/>
      <c r="F36" s="39"/>
      <c r="G36" s="18"/>
    </row>
    <row r="37" s="32" customFormat="1" customHeight="1" spans="1:7">
      <c r="A37" s="11"/>
      <c r="B37" s="9"/>
      <c r="C37" s="18"/>
      <c r="D37" s="18"/>
      <c r="E37" s="19"/>
      <c r="F37" s="39"/>
      <c r="G37" s="18"/>
    </row>
    <row r="38" s="32" customFormat="1" customHeight="1" spans="1:7">
      <c r="A38" s="11"/>
      <c r="B38" s="9"/>
      <c r="C38" s="18"/>
      <c r="D38" s="18"/>
      <c r="E38" s="19"/>
      <c r="F38" s="39"/>
      <c r="G38" s="18"/>
    </row>
    <row r="39" s="32" customFormat="1" customHeight="1" spans="1:7">
      <c r="A39" s="11"/>
      <c r="B39" s="9"/>
      <c r="C39" s="18"/>
      <c r="D39" s="18" t="s">
        <v>40</v>
      </c>
      <c r="E39" s="44">
        <f>SUM(E3:E38)</f>
        <v>0</v>
      </c>
      <c r="F39" s="39"/>
      <c r="G39" s="39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scale="62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3" sqref="A3:G33"/>
    </sheetView>
  </sheetViews>
  <sheetFormatPr defaultColWidth="9" defaultRowHeight="13.5" outlineLevelCol="6"/>
  <cols>
    <col min="1" max="1" width="4.88333333333333" style="30" customWidth="1"/>
    <col min="2" max="2" width="12" style="33" customWidth="1"/>
    <col min="3" max="3" width="34.6333333333333" style="32" customWidth="1"/>
    <col min="4" max="4" width="7" style="32" customWidth="1"/>
    <col min="5" max="5" width="18.75" style="32" customWidth="1"/>
    <col min="6" max="6" width="22.25" style="32" customWidth="1"/>
    <col min="7" max="7" width="26" style="32" customWidth="1"/>
    <col min="8" max="16384" width="9" style="32"/>
  </cols>
  <sheetData>
    <row r="1" s="30" customFormat="1" ht="27" customHeight="1" spans="1:7">
      <c r="A1" s="34" t="s">
        <v>98</v>
      </c>
      <c r="B1" s="34"/>
      <c r="C1" s="34"/>
      <c r="D1" s="34"/>
      <c r="E1" s="34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49" customHeight="1" spans="1:7">
      <c r="A3" s="11"/>
      <c r="B3" s="9"/>
      <c r="C3" s="11"/>
      <c r="D3" s="11"/>
      <c r="E3" s="12"/>
      <c r="F3" s="11"/>
      <c r="G3" s="42"/>
    </row>
    <row r="4" s="32" customFormat="1" ht="18" customHeight="1" spans="1:7">
      <c r="A4" s="11"/>
      <c r="B4" s="9"/>
      <c r="C4" s="45"/>
      <c r="D4" s="11"/>
      <c r="E4" s="12"/>
      <c r="F4" s="11"/>
      <c r="G4" s="18"/>
    </row>
    <row r="5" s="32" customFormat="1" ht="16" customHeight="1" spans="1:7">
      <c r="A5" s="11"/>
      <c r="B5" s="9"/>
      <c r="C5" s="45"/>
      <c r="D5" s="11"/>
      <c r="E5" s="12"/>
      <c r="F5" s="11"/>
      <c r="G5" s="18"/>
    </row>
    <row r="6" s="32" customFormat="1" ht="19" customHeight="1" spans="1:7">
      <c r="A6" s="11"/>
      <c r="B6" s="9"/>
      <c r="C6" s="45"/>
      <c r="D6" s="11"/>
      <c r="E6" s="12"/>
      <c r="F6" s="11"/>
      <c r="G6" s="39"/>
    </row>
    <row r="7" s="32" customFormat="1" ht="19" customHeight="1" spans="1:7">
      <c r="A7" s="11"/>
      <c r="B7" s="9"/>
      <c r="C7" s="45"/>
      <c r="D7" s="11"/>
      <c r="E7" s="12"/>
      <c r="F7" s="11"/>
      <c r="G7" s="39"/>
    </row>
    <row r="8" s="32" customFormat="1" ht="17" customHeight="1" spans="1:7">
      <c r="A8" s="11"/>
      <c r="B8" s="9"/>
      <c r="C8" s="11"/>
      <c r="D8" s="11"/>
      <c r="E8" s="12"/>
      <c r="F8" s="11"/>
      <c r="G8" s="18"/>
    </row>
    <row r="9" s="32" customFormat="1" ht="18" customHeight="1" spans="1:7">
      <c r="A9" s="11"/>
      <c r="B9" s="9"/>
      <c r="C9" s="11"/>
      <c r="D9" s="11"/>
      <c r="E9" s="12"/>
      <c r="F9" s="11"/>
      <c r="G9" s="18"/>
    </row>
    <row r="10" s="32" customFormat="1" ht="21" customHeight="1" spans="1:7">
      <c r="A10" s="11"/>
      <c r="B10" s="9"/>
      <c r="C10" s="11"/>
      <c r="D10" s="11"/>
      <c r="E10" s="12"/>
      <c r="F10" s="11"/>
      <c r="G10" s="18"/>
    </row>
    <row r="11" s="32" customFormat="1" ht="21" customHeight="1" spans="1:7">
      <c r="A11" s="11"/>
      <c r="B11" s="9"/>
      <c r="C11" s="11"/>
      <c r="D11" s="11"/>
      <c r="E11" s="12"/>
      <c r="F11" s="11"/>
      <c r="G11" s="18"/>
    </row>
    <row r="12" s="32" customFormat="1" ht="21" customHeight="1" spans="1:7">
      <c r="A12" s="11"/>
      <c r="B12" s="9"/>
      <c r="C12" s="11"/>
      <c r="D12" s="11"/>
      <c r="E12" s="12"/>
      <c r="F12" s="11"/>
      <c r="G12" s="18"/>
    </row>
    <row r="13" s="32" customFormat="1" ht="21" customHeight="1" spans="1:7">
      <c r="A13" s="11"/>
      <c r="B13" s="9"/>
      <c r="C13" s="11"/>
      <c r="D13" s="11"/>
      <c r="E13" s="12"/>
      <c r="F13" s="11"/>
      <c r="G13" s="18"/>
    </row>
    <row r="14" s="32" customFormat="1" ht="21" customHeight="1" spans="1:7">
      <c r="A14" s="11"/>
      <c r="B14" s="9"/>
      <c r="C14" s="11"/>
      <c r="D14" s="11"/>
      <c r="E14" s="12"/>
      <c r="F14" s="11"/>
      <c r="G14" s="18"/>
    </row>
    <row r="15" s="32" customFormat="1" ht="21" customHeight="1" spans="1:7">
      <c r="A15" s="11"/>
      <c r="B15" s="9"/>
      <c r="C15" s="11"/>
      <c r="D15" s="11"/>
      <c r="E15" s="12"/>
      <c r="F15" s="11"/>
      <c r="G15" s="18"/>
    </row>
    <row r="16" s="32" customFormat="1" ht="21" customHeight="1" spans="1:7">
      <c r="A16" s="11"/>
      <c r="B16" s="9"/>
      <c r="C16" s="11"/>
      <c r="D16" s="11"/>
      <c r="E16" s="12"/>
      <c r="F16" s="11"/>
      <c r="G16" s="18"/>
    </row>
    <row r="17" s="32" customFormat="1" ht="21" customHeight="1" spans="1:7">
      <c r="A17" s="11"/>
      <c r="B17" s="9"/>
      <c r="C17" s="11"/>
      <c r="D17" s="11"/>
      <c r="E17" s="12"/>
      <c r="F17" s="11"/>
      <c r="G17" s="18"/>
    </row>
    <row r="18" s="32" customFormat="1" ht="21" customHeight="1" spans="1:7">
      <c r="A18" s="11"/>
      <c r="B18" s="9"/>
      <c r="C18" s="11"/>
      <c r="D18" s="11"/>
      <c r="E18" s="12"/>
      <c r="F18" s="11"/>
      <c r="G18" s="18"/>
    </row>
    <row r="19" s="32" customFormat="1" ht="21" customHeight="1" spans="1:7">
      <c r="A19" s="11"/>
      <c r="B19" s="9"/>
      <c r="C19" s="11"/>
      <c r="D19" s="11"/>
      <c r="E19" s="12"/>
      <c r="F19" s="11"/>
      <c r="G19" s="18"/>
    </row>
    <row r="20" s="32" customFormat="1" ht="21" customHeight="1" spans="1:7">
      <c r="A20" s="11"/>
      <c r="B20" s="9"/>
      <c r="C20" s="11"/>
      <c r="D20" s="11"/>
      <c r="E20" s="12"/>
      <c r="F20" s="11"/>
      <c r="G20" s="18"/>
    </row>
    <row r="21" s="32" customFormat="1" ht="21" customHeight="1" spans="1:7">
      <c r="A21" s="11"/>
      <c r="B21" s="9"/>
      <c r="C21" s="11"/>
      <c r="D21" s="11"/>
      <c r="E21" s="12"/>
      <c r="F21" s="11"/>
      <c r="G21" s="18"/>
    </row>
    <row r="22" s="32" customFormat="1" ht="21" customHeight="1" spans="1:7">
      <c r="A22" s="11"/>
      <c r="B22" s="9"/>
      <c r="C22" s="11"/>
      <c r="D22" s="11"/>
      <c r="E22" s="12"/>
      <c r="F22" s="11"/>
      <c r="G22" s="18"/>
    </row>
    <row r="23" s="32" customFormat="1" ht="52" customHeight="1" spans="1:7">
      <c r="A23" s="11"/>
      <c r="B23" s="9"/>
      <c r="C23" s="11"/>
      <c r="D23" s="11"/>
      <c r="E23" s="12"/>
      <c r="F23" s="11"/>
      <c r="G23" s="42"/>
    </row>
    <row r="24" s="32" customFormat="1" ht="50" customHeight="1" spans="1:7">
      <c r="A24" s="11"/>
      <c r="B24" s="9"/>
      <c r="C24" s="11"/>
      <c r="D24" s="11"/>
      <c r="E24" s="12"/>
      <c r="F24" s="11"/>
      <c r="G24" s="42"/>
    </row>
    <row r="25" s="32" customFormat="1" ht="54" customHeight="1" spans="1:7">
      <c r="A25" s="11"/>
      <c r="B25" s="9"/>
      <c r="C25" s="11"/>
      <c r="D25" s="11"/>
      <c r="E25" s="12"/>
      <c r="F25" s="11"/>
      <c r="G25" s="42"/>
    </row>
    <row r="26" s="32" customFormat="1" ht="21" customHeight="1" spans="1:7">
      <c r="A26" s="11"/>
      <c r="B26" s="9"/>
      <c r="C26" s="11"/>
      <c r="D26" s="11"/>
      <c r="E26" s="12"/>
      <c r="F26" s="11"/>
      <c r="G26" s="18"/>
    </row>
    <row r="27" s="32" customFormat="1" ht="21" customHeight="1" spans="1:7">
      <c r="A27" s="11"/>
      <c r="B27" s="9"/>
      <c r="C27" s="11"/>
      <c r="D27" s="11"/>
      <c r="E27" s="12"/>
      <c r="F27" s="11"/>
      <c r="G27" s="18"/>
    </row>
    <row r="28" s="32" customFormat="1" ht="21" customHeight="1" spans="1:7">
      <c r="A28" s="11"/>
      <c r="B28" s="9"/>
      <c r="C28" s="11"/>
      <c r="D28" s="11"/>
      <c r="E28" s="12"/>
      <c r="F28" s="11"/>
      <c r="G28" s="18"/>
    </row>
    <row r="29" s="32" customFormat="1" ht="21" customHeight="1" spans="1:7">
      <c r="A29" s="11"/>
      <c r="B29" s="9"/>
      <c r="C29" s="11"/>
      <c r="D29" s="11"/>
      <c r="E29" s="12"/>
      <c r="F29" s="11"/>
      <c r="G29" s="18"/>
    </row>
    <row r="30" s="32" customFormat="1" ht="21" customHeight="1" spans="1:7">
      <c r="A30" s="11"/>
      <c r="B30" s="9"/>
      <c r="C30" s="11"/>
      <c r="D30" s="11"/>
      <c r="E30" s="12"/>
      <c r="F30" s="11"/>
      <c r="G30" s="18"/>
    </row>
    <row r="31" s="32" customFormat="1" ht="21" customHeight="1" spans="1:7">
      <c r="A31" s="11"/>
      <c r="B31" s="9"/>
      <c r="C31" s="11"/>
      <c r="D31" s="11"/>
      <c r="E31" s="12"/>
      <c r="F31" s="11"/>
      <c r="G31" s="18"/>
    </row>
    <row r="32" s="32" customFormat="1" ht="21" customHeight="1" spans="1:7">
      <c r="A32" s="11"/>
      <c r="B32" s="9"/>
      <c r="C32" s="11"/>
      <c r="D32" s="11"/>
      <c r="E32" s="12"/>
      <c r="F32" s="11"/>
      <c r="G32" s="18"/>
    </row>
    <row r="33" s="32" customFormat="1" ht="21" customHeight="1" spans="1:7">
      <c r="A33" s="11"/>
      <c r="B33" s="9"/>
      <c r="C33" s="11"/>
      <c r="D33" s="11"/>
      <c r="E33" s="12"/>
      <c r="F33" s="11"/>
      <c r="G33" s="18"/>
    </row>
    <row r="34" s="32" customFormat="1" ht="21" customHeight="1" spans="1:7">
      <c r="A34" s="11"/>
      <c r="B34" s="9"/>
      <c r="C34" s="11"/>
      <c r="D34" s="11"/>
      <c r="E34" s="12"/>
      <c r="F34" s="11"/>
      <c r="G34" s="18"/>
    </row>
    <row r="35" s="32" customFormat="1" ht="21" customHeight="1" spans="1:7">
      <c r="A35" s="11"/>
      <c r="B35" s="9"/>
      <c r="C35" s="11"/>
      <c r="D35" s="11"/>
      <c r="E35" s="12"/>
      <c r="F35" s="11"/>
      <c r="G35" s="18"/>
    </row>
    <row r="36" s="32" customFormat="1" ht="19" customHeight="1" spans="1:7">
      <c r="A36" s="11"/>
      <c r="B36" s="9"/>
      <c r="C36" s="18"/>
      <c r="D36" s="18" t="s">
        <v>40</v>
      </c>
      <c r="E36" s="44">
        <f>SUM(E3:E35)</f>
        <v>0</v>
      </c>
      <c r="F36" s="39"/>
      <c r="G36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3" sqref="A3:G31"/>
    </sheetView>
  </sheetViews>
  <sheetFormatPr defaultColWidth="9" defaultRowHeight="13.5" outlineLevelCol="6"/>
  <cols>
    <col min="1" max="1" width="4.88333333333333" style="30" customWidth="1"/>
    <col min="2" max="2" width="12.1333333333333" style="33" customWidth="1"/>
    <col min="3" max="3" width="34.6333333333333" style="32" customWidth="1"/>
    <col min="4" max="4" width="7" style="32" customWidth="1"/>
    <col min="5" max="5" width="18.75" style="32" customWidth="1"/>
    <col min="6" max="6" width="21.875" style="32" customWidth="1"/>
    <col min="7" max="7" width="22.3833333333333" style="32" customWidth="1"/>
    <col min="8" max="16384" width="9" style="32"/>
  </cols>
  <sheetData>
    <row r="1" s="30" customFormat="1" ht="27" customHeight="1" spans="1:7">
      <c r="A1" s="34" t="s">
        <v>99</v>
      </c>
      <c r="B1" s="34"/>
      <c r="C1" s="34"/>
      <c r="D1" s="34"/>
      <c r="E1" s="34"/>
      <c r="F1" s="34"/>
      <c r="G1" s="34"/>
    </row>
    <row r="2" s="31" customFormat="1" ht="20.25" customHeight="1" spans="1:7">
      <c r="A2" s="35" t="s">
        <v>1</v>
      </c>
      <c r="B2" s="35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6" t="s">
        <v>7</v>
      </c>
    </row>
    <row r="3" s="32" customFormat="1" ht="18" customHeight="1" spans="1:7">
      <c r="A3" s="11"/>
      <c r="B3" s="9"/>
      <c r="C3" s="18"/>
      <c r="D3" s="18"/>
      <c r="E3" s="19"/>
      <c r="F3" s="39"/>
      <c r="G3" s="18"/>
    </row>
    <row r="4" s="32" customFormat="1" ht="18" customHeight="1" spans="1:7">
      <c r="A4" s="11"/>
      <c r="B4" s="9"/>
      <c r="C4" s="18"/>
      <c r="D4" s="18"/>
      <c r="E4" s="19"/>
      <c r="F4" s="39"/>
      <c r="G4" s="18"/>
    </row>
    <row r="5" s="32" customFormat="1" ht="18" customHeight="1" spans="1:7">
      <c r="A5" s="11"/>
      <c r="B5" s="9"/>
      <c r="C5" s="18"/>
      <c r="D5" s="18"/>
      <c r="E5" s="19"/>
      <c r="F5" s="39"/>
      <c r="G5" s="18"/>
    </row>
    <row r="6" s="32" customFormat="1" ht="18" customHeight="1" spans="1:7">
      <c r="A6" s="11"/>
      <c r="B6" s="9"/>
      <c r="C6" s="18"/>
      <c r="D6" s="18"/>
      <c r="E6" s="19"/>
      <c r="F6" s="39"/>
      <c r="G6" s="18"/>
    </row>
    <row r="7" s="32" customFormat="1" ht="18" customHeight="1" spans="1:7">
      <c r="A7" s="11"/>
      <c r="B7" s="9"/>
      <c r="C7" s="18"/>
      <c r="D7" s="18"/>
      <c r="E7" s="19"/>
      <c r="F7" s="39"/>
      <c r="G7" s="18"/>
    </row>
    <row r="8" s="32" customFormat="1" ht="18" customHeight="1" spans="1:7">
      <c r="A8" s="11"/>
      <c r="B8" s="9"/>
      <c r="C8" s="18"/>
      <c r="D8" s="18"/>
      <c r="E8" s="19"/>
      <c r="F8" s="39"/>
      <c r="G8" s="18"/>
    </row>
    <row r="9" s="32" customFormat="1" ht="18" customHeight="1" spans="1:7">
      <c r="A9" s="11"/>
      <c r="B9" s="9"/>
      <c r="C9" s="39"/>
      <c r="D9" s="18"/>
      <c r="E9" s="19"/>
      <c r="F9" s="39"/>
      <c r="G9" s="18"/>
    </row>
    <row r="10" s="32" customFormat="1" ht="18" customHeight="1" spans="1:7">
      <c r="A10" s="11"/>
      <c r="B10" s="9"/>
      <c r="C10" s="39"/>
      <c r="D10" s="18"/>
      <c r="E10" s="19"/>
      <c r="F10" s="39"/>
      <c r="G10" s="18"/>
    </row>
    <row r="11" s="32" customFormat="1" ht="18" customHeight="1" spans="1:7">
      <c r="A11" s="11"/>
      <c r="B11" s="9"/>
      <c r="C11" s="39"/>
      <c r="D11" s="18"/>
      <c r="E11" s="19"/>
      <c r="F11" s="39"/>
      <c r="G11" s="18"/>
    </row>
    <row r="12" s="32" customFormat="1" ht="18" customHeight="1" spans="1:7">
      <c r="A12" s="11"/>
      <c r="B12" s="9"/>
      <c r="C12" s="39"/>
      <c r="D12" s="18"/>
      <c r="E12" s="19"/>
      <c r="F12" s="39"/>
      <c r="G12" s="18"/>
    </row>
    <row r="13" s="32" customFormat="1" ht="18" customHeight="1" spans="1:7">
      <c r="A13" s="11"/>
      <c r="B13" s="9"/>
      <c r="C13" s="39"/>
      <c r="D13" s="18"/>
      <c r="E13" s="19"/>
      <c r="F13" s="39"/>
      <c r="G13" s="18"/>
    </row>
    <row r="14" s="32" customFormat="1" ht="18" customHeight="1" spans="1:7">
      <c r="A14" s="11"/>
      <c r="B14" s="9"/>
      <c r="C14" s="39"/>
      <c r="D14" s="18"/>
      <c r="E14" s="19"/>
      <c r="F14" s="39"/>
      <c r="G14" s="18"/>
    </row>
    <row r="15" s="32" customFormat="1" ht="18" customHeight="1" spans="1:7">
      <c r="A15" s="11"/>
      <c r="B15" s="9"/>
      <c r="C15" s="39"/>
      <c r="D15" s="18"/>
      <c r="E15" s="19"/>
      <c r="F15" s="39"/>
      <c r="G15" s="18"/>
    </row>
    <row r="16" s="32" customFormat="1" ht="18" customHeight="1" spans="1:7">
      <c r="A16" s="11"/>
      <c r="B16" s="9"/>
      <c r="C16" s="40"/>
      <c r="D16" s="18"/>
      <c r="E16" s="19"/>
      <c r="F16" s="40"/>
      <c r="G16" s="18"/>
    </row>
    <row r="17" s="32" customFormat="1" ht="18" customHeight="1" spans="1:7">
      <c r="A17" s="11"/>
      <c r="B17" s="9"/>
      <c r="C17" s="39"/>
      <c r="D17" s="18"/>
      <c r="E17" s="19"/>
      <c r="F17" s="40"/>
      <c r="G17" s="18"/>
    </row>
    <row r="18" s="32" customFormat="1" ht="18" customHeight="1" spans="1:7">
      <c r="A18" s="11"/>
      <c r="B18" s="9"/>
      <c r="C18" s="39"/>
      <c r="D18" s="18"/>
      <c r="E18" s="19"/>
      <c r="F18" s="40"/>
      <c r="G18" s="18"/>
    </row>
    <row r="19" s="32" customFormat="1" ht="18" customHeight="1" spans="1:7">
      <c r="A19" s="11"/>
      <c r="B19" s="9"/>
      <c r="C19" s="39"/>
      <c r="D19" s="18"/>
      <c r="E19" s="41"/>
      <c r="F19" s="40"/>
      <c r="G19" s="18"/>
    </row>
    <row r="20" s="32" customFormat="1" ht="18" customHeight="1" spans="1:7">
      <c r="A20" s="11"/>
      <c r="B20" s="9"/>
      <c r="C20" s="39"/>
      <c r="D20" s="18"/>
      <c r="E20" s="19"/>
      <c r="F20" s="40"/>
      <c r="G20" s="18"/>
    </row>
    <row r="21" s="32" customFormat="1" ht="18" customHeight="1" spans="1:7">
      <c r="A21" s="11"/>
      <c r="B21" s="9"/>
      <c r="C21" s="39"/>
      <c r="D21" s="18"/>
      <c r="E21" s="19"/>
      <c r="F21" s="40"/>
      <c r="G21" s="18"/>
    </row>
    <row r="22" s="32" customFormat="1" ht="18" customHeight="1" spans="1:7">
      <c r="A22" s="11"/>
      <c r="B22" s="9"/>
      <c r="C22" s="39"/>
      <c r="D22" s="18"/>
      <c r="E22" s="19"/>
      <c r="F22" s="40"/>
      <c r="G22" s="18"/>
    </row>
    <row r="23" s="32" customFormat="1" ht="18" customHeight="1" spans="1:7">
      <c r="A23" s="11"/>
      <c r="B23" s="9"/>
      <c r="C23" s="40"/>
      <c r="D23" s="18"/>
      <c r="E23" s="19"/>
      <c r="F23" s="40"/>
      <c r="G23" s="18"/>
    </row>
    <row r="24" s="32" customFormat="1" ht="18" customHeight="1" spans="1:7">
      <c r="A24" s="11"/>
      <c r="B24" s="9"/>
      <c r="C24" s="40"/>
      <c r="D24" s="18"/>
      <c r="E24" s="19"/>
      <c r="F24" s="40"/>
      <c r="G24" s="18"/>
    </row>
    <row r="25" s="32" customFormat="1" ht="18" customHeight="1" spans="1:7">
      <c r="A25" s="11"/>
      <c r="B25" s="9"/>
      <c r="C25" s="40"/>
      <c r="D25" s="18"/>
      <c r="E25" s="19"/>
      <c r="F25" s="40"/>
      <c r="G25" s="18"/>
    </row>
    <row r="26" s="32" customFormat="1" ht="18" customHeight="1" spans="1:7">
      <c r="A26" s="11"/>
      <c r="B26" s="9"/>
      <c r="C26" s="40"/>
      <c r="D26" s="18"/>
      <c r="E26" s="19"/>
      <c r="F26" s="40"/>
      <c r="G26" s="18"/>
    </row>
    <row r="27" s="32" customFormat="1" ht="18" customHeight="1" spans="1:7">
      <c r="A27" s="11"/>
      <c r="B27" s="9"/>
      <c r="C27" s="40"/>
      <c r="D27" s="18"/>
      <c r="E27" s="19"/>
      <c r="F27" s="40"/>
      <c r="G27" s="18"/>
    </row>
    <row r="28" s="32" customFormat="1" ht="18" customHeight="1" spans="1:7">
      <c r="A28" s="11"/>
      <c r="B28" s="9"/>
      <c r="C28" s="40"/>
      <c r="D28" s="18"/>
      <c r="E28" s="19"/>
      <c r="F28" s="40"/>
      <c r="G28" s="18"/>
    </row>
    <row r="29" s="32" customFormat="1" ht="18" customHeight="1" spans="1:7">
      <c r="A29" s="11"/>
      <c r="B29" s="9"/>
      <c r="C29" s="40"/>
      <c r="D29" s="18"/>
      <c r="E29" s="19"/>
      <c r="F29" s="39"/>
      <c r="G29" s="18"/>
    </row>
    <row r="30" s="32" customFormat="1" ht="27" customHeight="1" spans="1:7">
      <c r="A30" s="11"/>
      <c r="B30" s="9"/>
      <c r="C30" s="39"/>
      <c r="D30" s="18"/>
      <c r="E30" s="19"/>
      <c r="F30" s="40"/>
      <c r="G30" s="42"/>
    </row>
    <row r="31" s="32" customFormat="1" ht="18" customHeight="1" spans="1:7">
      <c r="A31" s="11"/>
      <c r="B31" s="9"/>
      <c r="C31" s="39"/>
      <c r="D31" s="18"/>
      <c r="E31" s="19"/>
      <c r="F31" s="40"/>
      <c r="G31" s="43"/>
    </row>
    <row r="32" s="32" customFormat="1" ht="18" customHeight="1" spans="1:7">
      <c r="A32" s="11"/>
      <c r="B32" s="9"/>
      <c r="C32" s="39"/>
      <c r="D32" s="18"/>
      <c r="E32" s="19"/>
      <c r="F32" s="40"/>
      <c r="G32" s="18"/>
    </row>
    <row r="33" s="32" customFormat="1" ht="18" customHeight="1" spans="1:7">
      <c r="A33" s="11"/>
      <c r="B33" s="9"/>
      <c r="C33" s="39"/>
      <c r="D33" s="18"/>
      <c r="E33" s="19"/>
      <c r="F33" s="39"/>
      <c r="G33" s="18"/>
    </row>
    <row r="34" s="32" customFormat="1" ht="27" customHeight="1" spans="1:7">
      <c r="A34" s="11"/>
      <c r="B34" s="9"/>
      <c r="C34" s="39"/>
      <c r="D34" s="18" t="s">
        <v>40</v>
      </c>
      <c r="E34" s="44">
        <f>SUM(E3:E33)</f>
        <v>0</v>
      </c>
      <c r="F34" s="39"/>
      <c r="G34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F6" sqref="F6"/>
    </sheetView>
  </sheetViews>
  <sheetFormatPr defaultColWidth="9" defaultRowHeight="22" customHeight="1" outlineLevelCol="3"/>
  <cols>
    <col min="2" max="4" width="32.5333333333333" style="24" customWidth="1"/>
  </cols>
  <sheetData>
    <row r="1" customHeight="1" spans="1:4">
      <c r="A1" s="25" t="s">
        <v>100</v>
      </c>
      <c r="B1" s="26" t="s">
        <v>101</v>
      </c>
      <c r="C1" s="26" t="s">
        <v>102</v>
      </c>
      <c r="D1" s="27" t="s">
        <v>103</v>
      </c>
    </row>
    <row r="2" customHeight="1" spans="1:4">
      <c r="A2" s="25" t="s">
        <v>104</v>
      </c>
      <c r="B2" s="26">
        <v>4059167.01</v>
      </c>
      <c r="C2" s="26">
        <v>7530849.27</v>
      </c>
      <c r="D2" s="26">
        <f ca="1">SUMIFS(INDIRECT("'"&amp;A2&amp;"'!E:E"),INDIRECT("'"&amp;A2&amp;"'!D:D"),"合计")</f>
        <v>3510551.73</v>
      </c>
    </row>
    <row r="3" customHeight="1" spans="1:4">
      <c r="A3" s="25" t="s">
        <v>105</v>
      </c>
      <c r="B3" s="26">
        <v>1625801.07</v>
      </c>
      <c r="C3" s="26">
        <v>5593199.98</v>
      </c>
      <c r="D3" s="26">
        <f ca="1">SUMIFS(INDIRECT("'"&amp;A3&amp;"'!E:E"),INDIRECT("'"&amp;A3&amp;"'!D:D"),"合计")</f>
        <v>5526197.42</v>
      </c>
    </row>
    <row r="4" customHeight="1" spans="1:4">
      <c r="A4" s="25" t="s">
        <v>106</v>
      </c>
      <c r="B4" s="26">
        <v>2879253</v>
      </c>
      <c r="C4" s="26">
        <v>1386467.1</v>
      </c>
      <c r="D4" s="26">
        <f ca="1">SUMIFS(INDIRECT("'"&amp;A4&amp;"'!E:E"),INDIRECT("'"&amp;A4&amp;"'!D:D"),"合计")</f>
        <v>1351144.09</v>
      </c>
    </row>
    <row r="5" customHeight="1" spans="1:4">
      <c r="A5" s="25" t="s">
        <v>107</v>
      </c>
      <c r="B5" s="26">
        <v>3119659.89</v>
      </c>
      <c r="C5" s="26">
        <v>999600.94</v>
      </c>
      <c r="D5" s="26">
        <f ca="1" t="shared" ref="D4:D13" si="0">SUMIFS(INDIRECT("'"&amp;A5&amp;"'!E:E"),INDIRECT("'"&amp;A5&amp;"'!D:D"),"合计")</f>
        <v>1373673.3</v>
      </c>
    </row>
    <row r="6" customHeight="1" spans="1:4">
      <c r="A6" s="25" t="s">
        <v>108</v>
      </c>
      <c r="B6" s="26">
        <v>4306959.75</v>
      </c>
      <c r="C6" s="26">
        <v>1059218.12</v>
      </c>
      <c r="D6" s="26">
        <f ca="1" t="shared" si="0"/>
        <v>1242352</v>
      </c>
    </row>
    <row r="7" customHeight="1" spans="1:4">
      <c r="A7" s="25" t="s">
        <v>109</v>
      </c>
      <c r="B7" s="26">
        <v>3986068.35</v>
      </c>
      <c r="C7" s="26">
        <v>1906978.77</v>
      </c>
      <c r="D7" s="26">
        <f ca="1" t="shared" si="0"/>
        <v>1247592.2</v>
      </c>
    </row>
    <row r="8" customHeight="1" spans="1:4">
      <c r="A8" s="25" t="s">
        <v>110</v>
      </c>
      <c r="B8" s="26">
        <v>2655763.18</v>
      </c>
      <c r="C8" s="26">
        <v>3850709.65</v>
      </c>
      <c r="D8" s="26">
        <f ca="1" t="shared" si="0"/>
        <v>0</v>
      </c>
    </row>
    <row r="9" customHeight="1" spans="1:4">
      <c r="A9" s="25" t="s">
        <v>111</v>
      </c>
      <c r="B9" s="26">
        <v>3215694.41</v>
      </c>
      <c r="C9" s="26">
        <v>4551054.36</v>
      </c>
      <c r="D9" s="26">
        <f ca="1" t="shared" si="0"/>
        <v>0</v>
      </c>
    </row>
    <row r="10" customHeight="1" spans="1:4">
      <c r="A10" s="25" t="s">
        <v>112</v>
      </c>
      <c r="B10" s="26">
        <v>2428282.19</v>
      </c>
      <c r="C10" s="26">
        <v>3800514.28</v>
      </c>
      <c r="D10" s="26">
        <f ca="1" t="shared" si="0"/>
        <v>0</v>
      </c>
    </row>
    <row r="11" customHeight="1" spans="1:4">
      <c r="A11" s="25" t="s">
        <v>113</v>
      </c>
      <c r="B11" s="26">
        <v>1448899.19</v>
      </c>
      <c r="C11" s="26">
        <v>3781999.09</v>
      </c>
      <c r="D11" s="26">
        <f ca="1" t="shared" si="0"/>
        <v>0</v>
      </c>
    </row>
    <row r="12" customHeight="1" spans="1:4">
      <c r="A12" s="25" t="s">
        <v>114</v>
      </c>
      <c r="B12" s="26">
        <v>2260040.58</v>
      </c>
      <c r="C12" s="26">
        <v>3379242.95</v>
      </c>
      <c r="D12" s="26">
        <f ca="1" t="shared" si="0"/>
        <v>0</v>
      </c>
    </row>
    <row r="13" customHeight="1" spans="1:4">
      <c r="A13" s="25" t="s">
        <v>115</v>
      </c>
      <c r="B13" s="26">
        <v>3804665.46</v>
      </c>
      <c r="C13" s="26">
        <v>2842986.25</v>
      </c>
      <c r="D13" s="26">
        <f ca="1" t="shared" si="0"/>
        <v>0</v>
      </c>
    </row>
    <row r="14" customHeight="1" spans="1:4">
      <c r="A14" s="28" t="s">
        <v>40</v>
      </c>
      <c r="B14" s="29">
        <f>SUM(B2:B13)</f>
        <v>35790254.08</v>
      </c>
      <c r="C14" s="29">
        <f>SUM(C2:C13)</f>
        <v>40682820.76</v>
      </c>
      <c r="D14" s="29">
        <f ca="1">SUM(D2:D13)</f>
        <v>14251510.74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2" topLeftCell="F38" activePane="bottomRight" state="frozen"/>
      <selection/>
      <selection pane="topRight"/>
      <selection pane="bottomLeft"/>
      <selection pane="bottomRight" activeCell="F3" sqref="F3:F45"/>
    </sheetView>
  </sheetViews>
  <sheetFormatPr defaultColWidth="9" defaultRowHeight="13.5" outlineLevelCol="7"/>
  <cols>
    <col min="1" max="1" width="7.25" customWidth="1"/>
    <col min="2" max="2" width="11.75" customWidth="1"/>
    <col min="3" max="3" width="36.25" style="1" customWidth="1"/>
    <col min="4" max="4" width="8.38333333333333" style="1" customWidth="1"/>
    <col min="5" max="5" width="13.75" style="1" hidden="1" customWidth="1"/>
    <col min="6" max="6" width="18.3833333333333" style="1" customWidth="1"/>
    <col min="7" max="7" width="20.5" style="1" customWidth="1"/>
    <col min="8" max="8" width="15.875" style="1" customWidth="1"/>
    <col min="9" max="9" width="16.25" customWidth="1"/>
  </cols>
  <sheetData>
    <row r="1" ht="24" customHeight="1" spans="1:8">
      <c r="A1" s="2" t="s">
        <v>116</v>
      </c>
      <c r="B1" s="2"/>
      <c r="C1" s="2"/>
      <c r="D1" s="2"/>
      <c r="E1" s="2"/>
      <c r="F1" s="2"/>
      <c r="G1" s="2"/>
      <c r="H1" s="2"/>
    </row>
    <row r="2" ht="21" customHeight="1" spans="1:8">
      <c r="A2" s="3" t="s">
        <v>1</v>
      </c>
      <c r="B2" s="3" t="s">
        <v>2</v>
      </c>
      <c r="C2" s="4" t="s">
        <v>3</v>
      </c>
      <c r="D2" s="4" t="s">
        <v>4</v>
      </c>
      <c r="E2" s="4" t="s">
        <v>117</v>
      </c>
      <c r="F2" s="5" t="s">
        <v>5</v>
      </c>
      <c r="G2" s="6" t="s">
        <v>6</v>
      </c>
      <c r="H2" s="7" t="s">
        <v>7</v>
      </c>
    </row>
    <row r="3" ht="18" customHeight="1" spans="1:8">
      <c r="A3" s="8">
        <v>1</v>
      </c>
      <c r="B3" s="9">
        <v>46029</v>
      </c>
      <c r="C3" s="10" t="s">
        <v>118</v>
      </c>
      <c r="D3" s="11"/>
      <c r="E3" s="8">
        <f t="shared" ref="E3:E11" si="0">SUM(A3:D3)</f>
        <v>46030</v>
      </c>
      <c r="F3" s="12">
        <v>5000</v>
      </c>
      <c r="G3" s="13" t="s">
        <v>119</v>
      </c>
      <c r="H3" s="14" t="s">
        <v>120</v>
      </c>
    </row>
    <row r="4" ht="18" customHeight="1" spans="1:8">
      <c r="A4" s="8">
        <v>2</v>
      </c>
      <c r="B4" s="9">
        <v>46045</v>
      </c>
      <c r="C4" s="11" t="s">
        <v>121</v>
      </c>
      <c r="D4" s="8"/>
      <c r="E4" s="8">
        <f t="shared" si="0"/>
        <v>46047</v>
      </c>
      <c r="F4" s="12">
        <v>20000</v>
      </c>
      <c r="G4" s="13" t="s">
        <v>11</v>
      </c>
      <c r="H4" s="14" t="s">
        <v>122</v>
      </c>
    </row>
    <row r="5" customFormat="1" ht="18" customHeight="1" spans="1:8">
      <c r="A5" s="8">
        <v>3</v>
      </c>
      <c r="B5" s="9">
        <v>46049</v>
      </c>
      <c r="C5" s="11" t="s">
        <v>29</v>
      </c>
      <c r="D5" s="8"/>
      <c r="E5" s="8">
        <f t="shared" si="0"/>
        <v>46052</v>
      </c>
      <c r="F5" s="12">
        <v>111000</v>
      </c>
      <c r="G5" s="13" t="s">
        <v>11</v>
      </c>
      <c r="H5" s="14" t="s">
        <v>120</v>
      </c>
    </row>
    <row r="6" customFormat="1" ht="18" customHeight="1" spans="1:8">
      <c r="A6" s="8">
        <v>4</v>
      </c>
      <c r="B6" s="9">
        <v>46049</v>
      </c>
      <c r="C6" s="11" t="s">
        <v>29</v>
      </c>
      <c r="D6" s="8"/>
      <c r="E6" s="8">
        <f t="shared" si="0"/>
        <v>46053</v>
      </c>
      <c r="F6" s="12">
        <v>45875</v>
      </c>
      <c r="G6" s="13" t="s">
        <v>11</v>
      </c>
      <c r="H6" s="14" t="s">
        <v>123</v>
      </c>
    </row>
    <row r="7" customFormat="1" ht="18" customHeight="1" spans="1:8">
      <c r="A7" s="8">
        <v>5</v>
      </c>
      <c r="B7" s="9">
        <v>46049</v>
      </c>
      <c r="C7" s="11" t="s">
        <v>29</v>
      </c>
      <c r="D7" s="11"/>
      <c r="E7" s="8">
        <f t="shared" si="0"/>
        <v>46054</v>
      </c>
      <c r="F7" s="12">
        <v>37000</v>
      </c>
      <c r="G7" s="13" t="s">
        <v>30</v>
      </c>
      <c r="H7" s="14" t="s">
        <v>120</v>
      </c>
    </row>
    <row r="8" ht="18" customHeight="1" spans="1:8">
      <c r="A8" s="8">
        <v>6</v>
      </c>
      <c r="B8" s="9">
        <v>46050</v>
      </c>
      <c r="C8" s="10" t="s">
        <v>10</v>
      </c>
      <c r="D8" s="11"/>
      <c r="E8" s="12">
        <f t="shared" si="0"/>
        <v>46056</v>
      </c>
      <c r="F8" s="12">
        <v>44000</v>
      </c>
      <c r="G8" s="15" t="s">
        <v>31</v>
      </c>
      <c r="H8" s="14" t="s">
        <v>120</v>
      </c>
    </row>
    <row r="9" ht="18" customHeight="1" spans="1:8">
      <c r="A9" s="8">
        <v>7</v>
      </c>
      <c r="B9" s="16">
        <v>46059</v>
      </c>
      <c r="C9" s="17" t="s">
        <v>27</v>
      </c>
      <c r="D9" s="11"/>
      <c r="E9" s="12">
        <f t="shared" si="0"/>
        <v>46066</v>
      </c>
      <c r="F9" s="12">
        <v>221119.37</v>
      </c>
      <c r="G9" s="13" t="s">
        <v>11</v>
      </c>
      <c r="H9" s="14" t="s">
        <v>124</v>
      </c>
    </row>
    <row r="10" ht="18" customHeight="1" spans="1:8">
      <c r="A10" s="8">
        <v>8</v>
      </c>
      <c r="B10" s="16">
        <v>46079</v>
      </c>
      <c r="C10" s="11" t="s">
        <v>29</v>
      </c>
      <c r="D10" s="11"/>
      <c r="E10" s="12">
        <f t="shared" si="0"/>
        <v>46087</v>
      </c>
      <c r="F10" s="12">
        <v>6500</v>
      </c>
      <c r="G10" s="13" t="s">
        <v>30</v>
      </c>
      <c r="H10" s="14" t="s">
        <v>120</v>
      </c>
    </row>
    <row r="11" ht="18" customHeight="1" spans="1:8">
      <c r="A11" s="8">
        <v>9</v>
      </c>
      <c r="B11" s="16">
        <v>46080</v>
      </c>
      <c r="C11" s="11" t="s">
        <v>29</v>
      </c>
      <c r="D11" s="11"/>
      <c r="E11" s="12">
        <f t="shared" si="0"/>
        <v>46089</v>
      </c>
      <c r="F11" s="12">
        <v>78000</v>
      </c>
      <c r="G11" s="13" t="s">
        <v>11</v>
      </c>
      <c r="H11" s="14" t="s">
        <v>120</v>
      </c>
    </row>
    <row r="12" ht="18" customHeight="1" spans="1:8">
      <c r="A12" s="8">
        <v>10</v>
      </c>
      <c r="B12" s="16">
        <v>46081</v>
      </c>
      <c r="C12" s="11" t="s">
        <v>29</v>
      </c>
      <c r="D12" s="11"/>
      <c r="E12" s="12"/>
      <c r="F12" s="12">
        <v>90231.71</v>
      </c>
      <c r="G12" s="13" t="s">
        <v>11</v>
      </c>
      <c r="H12" s="14" t="s">
        <v>123</v>
      </c>
    </row>
    <row r="13" ht="18" customHeight="1" spans="1:8">
      <c r="A13" s="8">
        <v>11</v>
      </c>
      <c r="B13" s="16">
        <v>46090</v>
      </c>
      <c r="C13" s="11" t="s">
        <v>121</v>
      </c>
      <c r="D13" s="11"/>
      <c r="E13" s="12"/>
      <c r="F13" s="12">
        <v>2000</v>
      </c>
      <c r="G13" s="13" t="s">
        <v>11</v>
      </c>
      <c r="H13" s="14" t="s">
        <v>124</v>
      </c>
    </row>
    <row r="14" ht="18" customHeight="1" spans="1:8">
      <c r="A14" s="8">
        <v>12</v>
      </c>
      <c r="B14" s="16">
        <v>46094</v>
      </c>
      <c r="C14" s="11" t="s">
        <v>46</v>
      </c>
      <c r="D14" s="11"/>
      <c r="E14" s="12"/>
      <c r="F14" s="12">
        <v>5500</v>
      </c>
      <c r="G14" s="13" t="s">
        <v>11</v>
      </c>
      <c r="H14" s="14" t="s">
        <v>124</v>
      </c>
    </row>
    <row r="15" ht="18" customHeight="1" spans="1:8">
      <c r="A15" s="8">
        <v>13</v>
      </c>
      <c r="B15" s="16">
        <v>46094</v>
      </c>
      <c r="C15" s="11" t="s">
        <v>46</v>
      </c>
      <c r="D15" s="11"/>
      <c r="E15" s="12"/>
      <c r="F15" s="12">
        <v>10000</v>
      </c>
      <c r="G15" s="13" t="s">
        <v>11</v>
      </c>
      <c r="H15" s="14" t="s">
        <v>124</v>
      </c>
    </row>
    <row r="16" ht="18" customHeight="1" spans="1:8">
      <c r="A16" s="8">
        <v>14</v>
      </c>
      <c r="B16" s="16">
        <v>46097</v>
      </c>
      <c r="C16" s="11" t="s">
        <v>46</v>
      </c>
      <c r="D16" s="11"/>
      <c r="E16" s="12"/>
      <c r="F16" s="12">
        <v>22000</v>
      </c>
      <c r="G16" s="13" t="s">
        <v>11</v>
      </c>
      <c r="H16" s="14" t="s">
        <v>124</v>
      </c>
    </row>
    <row r="17" ht="18" customHeight="1" spans="1:8">
      <c r="A17" s="8">
        <v>15</v>
      </c>
      <c r="B17" s="16">
        <v>46098</v>
      </c>
      <c r="C17" s="11" t="s">
        <v>46</v>
      </c>
      <c r="D17" s="11"/>
      <c r="E17" s="12"/>
      <c r="F17" s="12">
        <v>35000</v>
      </c>
      <c r="G17" s="13" t="s">
        <v>11</v>
      </c>
      <c r="H17" s="14" t="s">
        <v>124</v>
      </c>
    </row>
    <row r="18" ht="18" customHeight="1" spans="1:8">
      <c r="A18" s="8">
        <v>16</v>
      </c>
      <c r="B18" s="16">
        <v>46105</v>
      </c>
      <c r="C18" s="11" t="s">
        <v>125</v>
      </c>
      <c r="D18" s="11"/>
      <c r="E18" s="12"/>
      <c r="F18" s="12">
        <v>3000</v>
      </c>
      <c r="G18" s="13" t="s">
        <v>11</v>
      </c>
      <c r="H18" s="14" t="s">
        <v>124</v>
      </c>
    </row>
    <row r="19" ht="18" customHeight="1" spans="1:8">
      <c r="A19" s="8">
        <v>17</v>
      </c>
      <c r="B19" s="16">
        <v>46118</v>
      </c>
      <c r="C19" s="11" t="s">
        <v>126</v>
      </c>
      <c r="D19" s="11"/>
      <c r="E19" s="12"/>
      <c r="F19" s="12">
        <v>2000.26</v>
      </c>
      <c r="G19" s="13" t="s">
        <v>11</v>
      </c>
      <c r="H19" s="14" t="s">
        <v>124</v>
      </c>
    </row>
    <row r="20" ht="18" customHeight="1" spans="1:8">
      <c r="A20" s="8">
        <v>18</v>
      </c>
      <c r="B20" s="9">
        <v>46115</v>
      </c>
      <c r="C20" s="11" t="s">
        <v>127</v>
      </c>
      <c r="D20" s="18"/>
      <c r="E20" s="19"/>
      <c r="F20" s="12">
        <v>30000</v>
      </c>
      <c r="G20" s="13" t="s">
        <v>30</v>
      </c>
      <c r="H20" s="14" t="s">
        <v>124</v>
      </c>
    </row>
    <row r="21" ht="18" customHeight="1" spans="1:8">
      <c r="A21" s="8">
        <v>19</v>
      </c>
      <c r="B21" s="9">
        <v>46119</v>
      </c>
      <c r="C21" s="11" t="s">
        <v>126</v>
      </c>
      <c r="D21" s="18"/>
      <c r="E21" s="19"/>
      <c r="F21" s="12">
        <v>4000.16</v>
      </c>
      <c r="G21" s="13" t="s">
        <v>11</v>
      </c>
      <c r="H21" s="14" t="s">
        <v>124</v>
      </c>
    </row>
    <row r="22" ht="18" customHeight="1" spans="1:8">
      <c r="A22" s="8">
        <v>20</v>
      </c>
      <c r="B22" s="9">
        <v>46120</v>
      </c>
      <c r="C22" s="10" t="s">
        <v>128</v>
      </c>
      <c r="D22" s="18"/>
      <c r="E22" s="19"/>
      <c r="F22" s="12">
        <v>8000</v>
      </c>
      <c r="G22" s="15" t="s">
        <v>31</v>
      </c>
      <c r="H22" s="14" t="s">
        <v>124</v>
      </c>
    </row>
    <row r="23" ht="18" customHeight="1" spans="1:8">
      <c r="A23" s="8">
        <v>21</v>
      </c>
      <c r="B23" s="9">
        <v>46122</v>
      </c>
      <c r="C23" s="10" t="s">
        <v>129</v>
      </c>
      <c r="D23" s="18"/>
      <c r="E23" s="19"/>
      <c r="F23" s="12">
        <v>15000</v>
      </c>
      <c r="G23" s="13" t="s">
        <v>11</v>
      </c>
      <c r="H23" s="14" t="s">
        <v>124</v>
      </c>
    </row>
    <row r="24" ht="18" customHeight="1" spans="1:8">
      <c r="A24" s="8">
        <v>22</v>
      </c>
      <c r="B24" s="9">
        <v>46122</v>
      </c>
      <c r="C24" s="10" t="s">
        <v>129</v>
      </c>
      <c r="D24" s="18"/>
      <c r="E24" s="19"/>
      <c r="F24" s="12">
        <v>15000</v>
      </c>
      <c r="G24" s="13" t="s">
        <v>11</v>
      </c>
      <c r="H24" s="14" t="s">
        <v>124</v>
      </c>
    </row>
    <row r="25" ht="18" customHeight="1" spans="1:8">
      <c r="A25" s="8">
        <v>23</v>
      </c>
      <c r="B25" s="9">
        <v>46122</v>
      </c>
      <c r="C25" s="10" t="s">
        <v>129</v>
      </c>
      <c r="D25" s="18"/>
      <c r="E25" s="19"/>
      <c r="F25" s="12">
        <v>15000</v>
      </c>
      <c r="G25" s="13" t="s">
        <v>11</v>
      </c>
      <c r="H25" s="14" t="s">
        <v>124</v>
      </c>
    </row>
    <row r="26" ht="18" customHeight="1" spans="1:8">
      <c r="A26" s="8">
        <v>24</v>
      </c>
      <c r="B26" s="9">
        <v>46122</v>
      </c>
      <c r="C26" s="10" t="s">
        <v>129</v>
      </c>
      <c r="D26" s="18"/>
      <c r="E26" s="19"/>
      <c r="F26" s="12">
        <v>15000</v>
      </c>
      <c r="G26" s="13" t="s">
        <v>11</v>
      </c>
      <c r="H26" s="14" t="s">
        <v>124</v>
      </c>
    </row>
    <row r="27" ht="18" customHeight="1" spans="1:8">
      <c r="A27" s="8">
        <v>25</v>
      </c>
      <c r="B27" s="9">
        <v>46122</v>
      </c>
      <c r="C27" s="10" t="s">
        <v>129</v>
      </c>
      <c r="D27" s="18"/>
      <c r="E27" s="19"/>
      <c r="F27" s="12">
        <v>15000</v>
      </c>
      <c r="G27" s="13" t="s">
        <v>11</v>
      </c>
      <c r="H27" s="14" t="s">
        <v>124</v>
      </c>
    </row>
    <row r="28" ht="18" customHeight="1" spans="1:8">
      <c r="A28" s="8">
        <v>26</v>
      </c>
      <c r="B28" s="9">
        <v>46131</v>
      </c>
      <c r="C28" s="10" t="s">
        <v>126</v>
      </c>
      <c r="D28" s="18"/>
      <c r="E28" s="19"/>
      <c r="F28" s="12">
        <v>2000.31</v>
      </c>
      <c r="G28" s="13" t="s">
        <v>11</v>
      </c>
      <c r="H28" s="14" t="s">
        <v>124</v>
      </c>
    </row>
    <row r="29" ht="18" customHeight="1" spans="1:8">
      <c r="A29" s="8">
        <v>27</v>
      </c>
      <c r="B29" s="9">
        <v>46139</v>
      </c>
      <c r="C29" s="10" t="s">
        <v>50</v>
      </c>
      <c r="D29" s="18"/>
      <c r="E29" s="19"/>
      <c r="F29" s="12">
        <v>20000</v>
      </c>
      <c r="G29" s="13" t="s">
        <v>30</v>
      </c>
      <c r="H29" s="14" t="s">
        <v>124</v>
      </c>
    </row>
    <row r="30" ht="18" customHeight="1" spans="1:8">
      <c r="A30" s="8">
        <v>28</v>
      </c>
      <c r="B30" s="9">
        <v>46140</v>
      </c>
      <c r="C30" s="10" t="s">
        <v>130</v>
      </c>
      <c r="D30" s="18"/>
      <c r="E30" s="19"/>
      <c r="F30" s="12">
        <v>10000</v>
      </c>
      <c r="G30" s="13" t="s">
        <v>11</v>
      </c>
      <c r="H30" s="14" t="s">
        <v>122</v>
      </c>
    </row>
    <row r="31" customFormat="1" ht="18" customHeight="1" spans="1:8">
      <c r="A31" s="8">
        <v>29</v>
      </c>
      <c r="B31" s="9">
        <v>46140</v>
      </c>
      <c r="C31" s="10" t="s">
        <v>131</v>
      </c>
      <c r="D31" s="18"/>
      <c r="E31" s="19"/>
      <c r="F31" s="12">
        <v>5000</v>
      </c>
      <c r="G31" s="13" t="s">
        <v>11</v>
      </c>
      <c r="H31" s="14" t="s">
        <v>122</v>
      </c>
    </row>
    <row r="32" ht="18" customHeight="1" spans="1:8">
      <c r="A32" s="8">
        <v>30</v>
      </c>
      <c r="B32" s="9">
        <v>46148</v>
      </c>
      <c r="C32" s="10" t="s">
        <v>121</v>
      </c>
      <c r="D32" s="18"/>
      <c r="E32" s="19"/>
      <c r="F32" s="12">
        <v>2000</v>
      </c>
      <c r="G32" s="13" t="s">
        <v>11</v>
      </c>
      <c r="H32" s="14" t="s">
        <v>122</v>
      </c>
    </row>
    <row r="33" customFormat="1" ht="18" customHeight="1" spans="1:8">
      <c r="A33" s="8">
        <v>31</v>
      </c>
      <c r="B33" s="9">
        <v>46155</v>
      </c>
      <c r="C33" s="10" t="s">
        <v>46</v>
      </c>
      <c r="D33" s="18"/>
      <c r="E33" s="19"/>
      <c r="F33" s="12">
        <v>7000</v>
      </c>
      <c r="G33" s="13" t="s">
        <v>30</v>
      </c>
      <c r="H33" s="14" t="s">
        <v>122</v>
      </c>
    </row>
    <row r="34" ht="18" customHeight="1" spans="1:8">
      <c r="A34" s="8">
        <v>32</v>
      </c>
      <c r="B34" s="9">
        <v>46156</v>
      </c>
      <c r="C34" s="10" t="s">
        <v>46</v>
      </c>
      <c r="D34" s="18"/>
      <c r="E34" s="19"/>
      <c r="F34" s="12">
        <v>25000</v>
      </c>
      <c r="G34" s="13" t="s">
        <v>11</v>
      </c>
      <c r="H34" s="14" t="s">
        <v>122</v>
      </c>
    </row>
    <row r="35" ht="18" customHeight="1" spans="1:8">
      <c r="A35" s="8">
        <v>33</v>
      </c>
      <c r="B35" s="9">
        <v>46164</v>
      </c>
      <c r="C35" s="10" t="s">
        <v>132</v>
      </c>
      <c r="D35" s="18"/>
      <c r="E35" s="19"/>
      <c r="F35" s="12">
        <v>3600</v>
      </c>
      <c r="G35" s="13" t="s">
        <v>11</v>
      </c>
      <c r="H35" s="14" t="s">
        <v>122</v>
      </c>
    </row>
    <row r="36" ht="18" customHeight="1" spans="1:8">
      <c r="A36" s="8">
        <v>34</v>
      </c>
      <c r="B36" s="9">
        <v>46169</v>
      </c>
      <c r="C36" s="10" t="s">
        <v>133</v>
      </c>
      <c r="D36" s="18"/>
      <c r="E36" s="19"/>
      <c r="F36" s="12">
        <v>5000</v>
      </c>
      <c r="G36" s="13" t="s">
        <v>11</v>
      </c>
      <c r="H36" s="14" t="s">
        <v>122</v>
      </c>
    </row>
    <row r="37" ht="18" customHeight="1" spans="1:8">
      <c r="A37" s="8">
        <v>35</v>
      </c>
      <c r="B37" s="9">
        <v>46183</v>
      </c>
      <c r="C37" s="10" t="s">
        <v>134</v>
      </c>
      <c r="D37" s="18"/>
      <c r="E37" s="19"/>
      <c r="F37" s="12">
        <v>2000</v>
      </c>
      <c r="G37" s="13" t="s">
        <v>11</v>
      </c>
      <c r="H37" s="14" t="s">
        <v>124</v>
      </c>
    </row>
    <row r="38" ht="18" customHeight="1" spans="1:8">
      <c r="A38" s="8">
        <v>36</v>
      </c>
      <c r="B38" s="9">
        <v>46184</v>
      </c>
      <c r="C38" s="10" t="s">
        <v>127</v>
      </c>
      <c r="D38" s="18"/>
      <c r="E38" s="19"/>
      <c r="F38" s="12">
        <v>30000</v>
      </c>
      <c r="G38" s="13" t="s">
        <v>30</v>
      </c>
      <c r="H38" s="14" t="s">
        <v>122</v>
      </c>
    </row>
    <row r="39" ht="18" customHeight="1" spans="1:8">
      <c r="A39" s="8">
        <v>37</v>
      </c>
      <c r="B39" s="9">
        <v>46190</v>
      </c>
      <c r="C39" s="10" t="s">
        <v>135</v>
      </c>
      <c r="D39" s="18"/>
      <c r="E39" s="19"/>
      <c r="F39" s="12">
        <v>10000</v>
      </c>
      <c r="G39" s="13" t="s">
        <v>11</v>
      </c>
      <c r="H39" s="14" t="s">
        <v>122</v>
      </c>
    </row>
    <row r="40" ht="18" customHeight="1" spans="1:8">
      <c r="A40" s="8">
        <v>38</v>
      </c>
      <c r="B40" s="9">
        <v>46190</v>
      </c>
      <c r="C40" s="10" t="s">
        <v>135</v>
      </c>
      <c r="D40" s="18"/>
      <c r="E40" s="19"/>
      <c r="F40" s="12">
        <v>20000</v>
      </c>
      <c r="G40" s="13" t="s">
        <v>11</v>
      </c>
      <c r="H40" s="14" t="s">
        <v>122</v>
      </c>
    </row>
    <row r="41" ht="18" customHeight="1" spans="1:8">
      <c r="A41" s="8">
        <v>39</v>
      </c>
      <c r="B41" s="9">
        <v>46191</v>
      </c>
      <c r="C41" s="10" t="s">
        <v>136</v>
      </c>
      <c r="D41" s="18"/>
      <c r="E41" s="19"/>
      <c r="F41" s="12">
        <v>20000</v>
      </c>
      <c r="G41" s="13" t="s">
        <v>11</v>
      </c>
      <c r="H41" s="14" t="s">
        <v>122</v>
      </c>
    </row>
    <row r="42" ht="18" customHeight="1" spans="1:8">
      <c r="A42" s="8">
        <v>40</v>
      </c>
      <c r="B42" s="9">
        <v>46195</v>
      </c>
      <c r="C42" s="10" t="s">
        <v>127</v>
      </c>
      <c r="D42" s="18"/>
      <c r="E42" s="19"/>
      <c r="F42" s="12">
        <v>10000</v>
      </c>
      <c r="G42" s="13" t="s">
        <v>30</v>
      </c>
      <c r="H42" s="14" t="s">
        <v>122</v>
      </c>
    </row>
    <row r="43" ht="18" customHeight="1" spans="1:8">
      <c r="A43" s="8">
        <v>41</v>
      </c>
      <c r="B43" s="9">
        <v>46199</v>
      </c>
      <c r="C43" s="10" t="s">
        <v>137</v>
      </c>
      <c r="D43" s="18"/>
      <c r="E43" s="19"/>
      <c r="F43" s="12">
        <v>2000</v>
      </c>
      <c r="G43" s="13" t="s">
        <v>11</v>
      </c>
      <c r="H43" s="14" t="s">
        <v>122</v>
      </c>
    </row>
    <row r="44" ht="18" customHeight="1" spans="1:8">
      <c r="A44" s="8">
        <v>42</v>
      </c>
      <c r="B44" s="9">
        <v>46200</v>
      </c>
      <c r="C44" s="10" t="s">
        <v>138</v>
      </c>
      <c r="D44" s="18"/>
      <c r="E44" s="19"/>
      <c r="F44" s="12">
        <v>10000</v>
      </c>
      <c r="G44" s="13" t="s">
        <v>30</v>
      </c>
      <c r="H44" s="14" t="s">
        <v>122</v>
      </c>
    </row>
    <row r="45" ht="19" customHeight="1" spans="1:8">
      <c r="A45" s="8"/>
      <c r="B45" s="20"/>
      <c r="C45" s="8"/>
      <c r="D45" s="8"/>
      <c r="E45" s="4" t="s">
        <v>40</v>
      </c>
      <c r="F45" s="21">
        <f>SUM(F3:F44)</f>
        <v>1038826.81</v>
      </c>
      <c r="G45" s="22"/>
      <c r="H45" s="23"/>
    </row>
  </sheetData>
  <sheetProtection formatCells="0" formatColumns="0" formatRows="0" insertRows="0" insertColumns="0" insertHyperlinks="0" deleteColumns="0" deleteRows="0" sort="0" autoFilter="0" pivotTables="0"/>
  <mergeCells count="1">
    <mergeCell ref="A1:H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pivotTables>
        <pivotTable pivotTableName="数据透视表2" updateTime="-1" sourceDataDirty="0"/>
      </pivotTables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</woSheetsProps>
  <woBookProps>
    <bookSettings fileId="48306918835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4"/>
  <pixelatorList sheetStid="15"/>
  <pixelatorList sheetStid="16"/>
  <pixelatorList sheetStid="2"/>
  <pixelatorList sheetStid="19"/>
  <pixelatorList sheetStid="2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汇总</vt:lpstr>
      <vt:lpstr>保证金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AZB-001</dc:creator>
  <cp:lastModifiedBy>黄婷</cp:lastModifiedBy>
  <dcterms:created xsi:type="dcterms:W3CDTF">2023-02-05T17:03:00Z</dcterms:created>
  <dcterms:modified xsi:type="dcterms:W3CDTF">2026-06-24T16:29:00Z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1B54F8058C864D90947532CFC8894D74_13</vt:lpwstr>
  </property>
  <property fmtid="{D5CDD505-2E9C-101B-9397-08002B2CF9AE}" pid="3" name="KSOProductBuildVer">
    <vt:lpwstr>2052-12.9.0.26953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