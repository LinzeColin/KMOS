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showInkAnnotation="0"/>
  <mc:AlternateContent xmlns:mc="http://schemas.openxmlformats.org/markup-compatibility/2006">
    <mc:Choice Requires="x15">
      <x15ac:absPath xmlns:x15ac="http://schemas.microsoft.com/office/spreadsheetml/2010/11/ac" url="/Users/linzezhang/Downloads/财务/"/>
    </mc:Choice>
  </mc:AlternateContent>
  <xr:revisionPtr revIDLastSave="0" documentId="13_ncr:1_{06A44145-042F-3B4C-969D-5308157B3727}" xr6:coauthVersionLast="47" xr6:coauthVersionMax="47" xr10:uidLastSave="{00000000-0000-0000-0000-000000000000}"/>
  <bookViews>
    <workbookView xWindow="0" yWindow="740" windowWidth="29400" windowHeight="16880" xr2:uid="{A4B1559B-0AAF-B947-BEA7-4E32577ECF05}"/>
  </bookViews>
  <sheets>
    <sheet name="2026年开票计划" sheetId="2" r:id="rId1"/>
    <sheet name="2025年12月份开票计划" sheetId="1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2" l="1"/>
  <c r="Q31" i="2" s="1"/>
  <c r="E26" i="2"/>
  <c r="Q26" i="2" s="1"/>
  <c r="E23" i="2"/>
  <c r="Q23" i="2" s="1"/>
  <c r="E20" i="2"/>
  <c r="Q20" i="2" s="1"/>
  <c r="E15" i="2"/>
  <c r="Q15" i="2" s="1"/>
  <c r="Q30" i="2"/>
  <c r="Q29" i="2"/>
  <c r="Q25" i="2"/>
  <c r="Q22" i="2"/>
  <c r="Q19" i="2"/>
  <c r="Q18" i="2"/>
  <c r="Q17" i="2"/>
  <c r="Q14" i="2"/>
  <c r="Q13" i="2"/>
  <c r="L6" i="2"/>
  <c r="C7" i="2"/>
  <c r="C8" i="2" s="1"/>
  <c r="C10" i="2" s="1"/>
  <c r="E7" i="2"/>
  <c r="E8" i="2" s="1"/>
  <c r="E10" i="2" s="1"/>
  <c r="G7" i="2"/>
  <c r="I7" i="2"/>
  <c r="K7" i="2"/>
  <c r="G8" i="2"/>
  <c r="G10" i="2" s="1"/>
  <c r="I8" i="2"/>
  <c r="I10" i="2" s="1"/>
  <c r="K8" i="2"/>
  <c r="K10" i="2" s="1"/>
  <c r="C9" i="2"/>
  <c r="E9" i="2"/>
  <c r="G9" i="2"/>
  <c r="I9" i="2"/>
  <c r="K9" i="2"/>
  <c r="L9" i="2"/>
  <c r="D15" i="2"/>
  <c r="D20" i="2"/>
  <c r="D23" i="2"/>
  <c r="D26" i="2"/>
  <c r="D31" i="2"/>
  <c r="B5" i="1"/>
  <c r="L10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武汉开明</author>
  </authors>
  <commentList>
    <comment ref="C6" authorId="0" shapeId="0" xr:uid="{C2399465-C606-EA4B-A784-049186068D73}">
      <text>
        <r>
          <rPr>
            <b/>
            <sz val="9"/>
            <rFont val="宋体"/>
            <charset val="134"/>
          </rPr>
          <t>武汉开明:</t>
        </r>
        <r>
          <rPr>
            <sz val="9"/>
            <rFont val="宋体"/>
            <charset val="134"/>
          </rPr>
          <t xml:space="preserve">
湖北开武汉2200，彤烨开湖北1460万，岚丹开130万</t>
        </r>
      </text>
    </comment>
    <comment ref="E6" authorId="0" shapeId="0" xr:uid="{AEE618EF-CC5A-E24E-BD6E-5AE327201051}">
      <text>
        <r>
          <rPr>
            <sz val="9"/>
            <rFont val="宋体"/>
            <charset val="134"/>
          </rPr>
          <t xml:space="preserve">其中1800是自有业务，1800万开给彤烨，湖北开武汉2100万 
</t>
        </r>
      </text>
    </comment>
    <comment ref="G6" authorId="0" shapeId="0" xr:uid="{A947B5B7-A8C8-0947-90C8-677FFB79C6B2}">
      <text>
        <r>
          <rPr>
            <b/>
            <sz val="9"/>
            <rFont val="宋体"/>
            <charset val="134"/>
          </rPr>
          <t>武汉开明:</t>
        </r>
        <r>
          <rPr>
            <sz val="9"/>
            <rFont val="宋体"/>
            <charset val="134"/>
          </rPr>
          <t xml:space="preserve">
1460万湖北开明，500万曦月,340万岚丹，武汉开彤烨1800元</t>
        </r>
      </text>
    </comment>
    <comment ref="I6" authorId="0" shapeId="0" xr:uid="{E1E803AE-C89C-B144-A04B-4195A90B4F91}">
      <text>
        <r>
          <rPr>
            <sz val="9"/>
            <rFont val="宋体"/>
            <charset val="134"/>
          </rPr>
          <t xml:space="preserve">曦月 600万 开给武汉开明
彤烨开曦月500万
</t>
        </r>
      </text>
    </comment>
    <comment ref="K6" authorId="0" shapeId="0" xr:uid="{597ABB0C-702E-4947-9F3B-1CA57D785ED6}">
      <text>
        <r>
          <rPr>
            <sz val="9"/>
            <rFont val="宋体"/>
            <charset val="134"/>
          </rPr>
          <t>彤烨开岚丹 350万，岚丹开湖北开明  130万，自有业务220万
30万发票留抵，控制税负</t>
        </r>
      </text>
    </comment>
  </commentList>
</comments>
</file>

<file path=xl/sharedStrings.xml><?xml version="1.0" encoding="utf-8"?>
<sst xmlns="http://schemas.openxmlformats.org/spreadsheetml/2006/main" count="69" uniqueCount="49">
  <si>
    <t>2026年各个主体开票计划（含税)</t>
  </si>
  <si>
    <t>序号</t>
  </si>
  <si>
    <t>主体</t>
  </si>
  <si>
    <t>湖北</t>
  </si>
  <si>
    <t>武汉</t>
  </si>
  <si>
    <t>彤烨</t>
  </si>
  <si>
    <t>曦月</t>
  </si>
  <si>
    <t>岚丹</t>
  </si>
  <si>
    <t>合计</t>
  </si>
  <si>
    <t>开票额</t>
  </si>
  <si>
    <t>增值税税负</t>
  </si>
  <si>
    <t>增值税及附加税</t>
  </si>
  <si>
    <t>开票差额</t>
  </si>
  <si>
    <t>税额</t>
  </si>
  <si>
    <t>销售</t>
  </si>
  <si>
    <t>采购</t>
  </si>
  <si>
    <t>金额</t>
  </si>
  <si>
    <t>外部</t>
  </si>
  <si>
    <t>小计</t>
  </si>
  <si>
    <t>12月内部计划开票</t>
  </si>
  <si>
    <t>开票金额</t>
  </si>
  <si>
    <t>未开票收入含税</t>
  </si>
  <si>
    <t>湖北开给武汉</t>
  </si>
  <si>
    <t>武汉开给彤烨</t>
  </si>
  <si>
    <t>其中新疆宜化暂估100万</t>
  </si>
  <si>
    <t>武汉开给岚丹</t>
  </si>
  <si>
    <t>彤烨开给湖北</t>
  </si>
  <si>
    <t>岚丹开湖北</t>
  </si>
  <si>
    <t>曦月开湖北</t>
  </si>
  <si>
    <t>环比收入</t>
  </si>
  <si>
    <t>备注</t>
  </si>
  <si>
    <t>武汉开明</t>
  </si>
  <si>
    <t>11月净利润-649176.23</t>
  </si>
  <si>
    <t>湖北开明</t>
  </si>
  <si>
    <t>11月净利润1811543.12</t>
  </si>
  <si>
    <t>11月净利润-1062566.34</t>
  </si>
  <si>
    <t>11月净利润-14695.15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</si>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</sst>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6"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EF939E"/>
        <bgColor indexed="64"/>
      </patternFill>
    </fill>
    <fill>
      <patternFill patternType="solid">
        <fgColor rgb="FFF9DBDE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4" fillId="2" borderId="13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3" borderId="13" xfId="0" applyFont="1" applyFill="1" applyBorder="1" applyAlignment="1">
      <alignment horizontal="left" vertical="center"/>
    </xf>
    <xf numFmtId="0" fontId="5" fillId="3" borderId="13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0" fontId="0" fillId="0" borderId="3" xfId="1" applyNumberFormat="1" applyFont="1" applyBorder="1" applyAlignment="1">
      <alignment horizontal="center" vertical="center"/>
    </xf>
    <xf numFmtId="10" fontId="0" fillId="0" borderId="5" xfId="1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EAA9F-94E0-4C45-882C-39294253BCBA}">
  <dimension ref="A3:Q31"/>
  <sheetViews>
    <sheetView tabSelected="1" topLeftCell="A6" zoomScale="140" zoomScaleSheetLayoutView="100" workbookViewId="0">
      <selection activeCell="G17" sqref="G17"/>
    </sheetView>
  </sheetViews>
  <sheetFormatPr baseColWidth="10" defaultColWidth="9" defaultRowHeight="15"/>
  <cols>
    <col min="1" max="1" width="9" style="5"/>
    <col min="2" max="2" width="17.1640625" style="5" customWidth="1"/>
    <col min="3" max="3" width="12.6640625" style="5" bestFit="1" customWidth="1"/>
    <col min="4" max="4" width="9" style="5"/>
    <col min="5" max="5" width="12.6640625" style="5" bestFit="1" customWidth="1"/>
    <col min="6" max="6" width="9" style="5"/>
    <col min="7" max="7" width="13.6640625" style="5" bestFit="1" customWidth="1"/>
    <col min="8" max="8" width="9" style="5"/>
    <col min="9" max="9" width="12.6640625" style="5" bestFit="1" customWidth="1"/>
    <col min="10" max="10" width="9" style="5"/>
    <col min="11" max="11" width="14.83203125" style="5" bestFit="1" customWidth="1"/>
    <col min="12" max="12" width="12.6640625" style="5" bestFit="1" customWidth="1"/>
    <col min="13" max="16384" width="9" style="5"/>
  </cols>
  <sheetData>
    <row r="3" spans="1:17">
      <c r="A3" s="28" t="s">
        <v>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7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17">
      <c r="A5" s="6" t="s">
        <v>1</v>
      </c>
      <c r="B5" s="6" t="s">
        <v>2</v>
      </c>
      <c r="C5" s="6" t="s">
        <v>3</v>
      </c>
      <c r="D5" s="6"/>
      <c r="E5" s="6" t="s">
        <v>4</v>
      </c>
      <c r="F5" s="6"/>
      <c r="G5" s="6" t="s">
        <v>5</v>
      </c>
      <c r="H5" s="6"/>
      <c r="I5" s="6" t="s">
        <v>6</v>
      </c>
      <c r="J5" s="6"/>
      <c r="K5" s="6" t="s">
        <v>7</v>
      </c>
      <c r="L5" s="16" t="s">
        <v>8</v>
      </c>
    </row>
    <row r="6" spans="1:17">
      <c r="A6" s="7">
        <v>1</v>
      </c>
      <c r="B6" s="7" t="s">
        <v>9</v>
      </c>
      <c r="C6" s="7">
        <v>2200</v>
      </c>
      <c r="D6" s="7"/>
      <c r="E6" s="7">
        <v>3500</v>
      </c>
      <c r="F6" s="7"/>
      <c r="G6" s="7">
        <v>2300</v>
      </c>
      <c r="H6" s="7"/>
      <c r="I6" s="7">
        <v>600</v>
      </c>
      <c r="J6" s="7"/>
      <c r="K6" s="7">
        <v>350</v>
      </c>
      <c r="L6" s="8">
        <f>SUM(C6:K6)</f>
        <v>8950</v>
      </c>
    </row>
    <row r="7" spans="1:17">
      <c r="A7" s="7">
        <v>2</v>
      </c>
      <c r="B7" s="7" t="s">
        <v>10</v>
      </c>
      <c r="C7" s="18">
        <f>(C6-1590)/1.13*0.13/2200/1.13</f>
        <v>2.8228878177973649E-2</v>
      </c>
      <c r="D7" s="18"/>
      <c r="E7" s="18">
        <f>(3500-2200-600)/1.13*0.13/3500/1.13</f>
        <v>2.0361813767718701E-2</v>
      </c>
      <c r="F7" s="18"/>
      <c r="G7" s="18">
        <f>(G6-1800)/1.13*0.13/2300/1.13</f>
        <v>2.2132406269259455E-2</v>
      </c>
      <c r="H7" s="18"/>
      <c r="I7" s="18">
        <f>(I6-500)/1.13*0.13/600/1.13</f>
        <v>1.6968178139765581E-2</v>
      </c>
      <c r="J7" s="7"/>
      <c r="K7" s="18">
        <f>(350-310)/1.13*0.13/350/1.13</f>
        <v>1.1635322152982115E-2</v>
      </c>
      <c r="L7" s="8"/>
    </row>
    <row r="8" spans="1:17">
      <c r="A8" s="9">
        <v>3</v>
      </c>
      <c r="B8" s="9" t="s">
        <v>11</v>
      </c>
      <c r="C8" s="19">
        <f>C7*1.12</f>
        <v>3.161634355933049E-2</v>
      </c>
      <c r="D8" s="9"/>
      <c r="E8" s="19">
        <f>E7*1.12</f>
        <v>2.2805231419844946E-2</v>
      </c>
      <c r="F8" s="9"/>
      <c r="G8" s="19">
        <f>G7*1.12</f>
        <v>2.4788295021570591E-2</v>
      </c>
      <c r="H8" s="9"/>
      <c r="I8" s="19">
        <f>I7*1.12</f>
        <v>1.9004359516537454E-2</v>
      </c>
      <c r="J8" s="9"/>
      <c r="K8" s="18">
        <f>K7*1.12</f>
        <v>1.303156081133997E-2</v>
      </c>
      <c r="L8" s="8"/>
    </row>
    <row r="9" spans="1:17">
      <c r="A9" s="7">
        <v>4</v>
      </c>
      <c r="B9" s="7" t="s">
        <v>12</v>
      </c>
      <c r="C9" s="7">
        <f>2200-1460-130</f>
        <v>610</v>
      </c>
      <c r="D9" s="7"/>
      <c r="E9" s="7">
        <f>3500-2200-600</f>
        <v>700</v>
      </c>
      <c r="F9" s="7"/>
      <c r="G9" s="7">
        <f>2300-1800</f>
        <v>500</v>
      </c>
      <c r="H9" s="7"/>
      <c r="I9" s="7">
        <f>I6-500</f>
        <v>100</v>
      </c>
      <c r="J9" s="7"/>
      <c r="K9" s="7">
        <f>K6-300</f>
        <v>50</v>
      </c>
      <c r="L9" s="8">
        <f>SUM(C9:K9)</f>
        <v>1960</v>
      </c>
    </row>
    <row r="10" spans="1:17">
      <c r="A10" s="10">
        <v>5</v>
      </c>
      <c r="B10" s="10" t="s">
        <v>13</v>
      </c>
      <c r="C10" s="11">
        <f>C6/1.13*C8</f>
        <v>61.553943212855827</v>
      </c>
      <c r="D10" s="11"/>
      <c r="E10" s="11">
        <f>E6/1.13*E8</f>
        <v>70.635672539342764</v>
      </c>
      <c r="F10" s="11"/>
      <c r="G10" s="11">
        <f>G6/1.13*G8</f>
        <v>50.45405181381625</v>
      </c>
      <c r="H10" s="11"/>
      <c r="I10" s="11">
        <f>I6/1.13*I8</f>
        <v>10.09081036276325</v>
      </c>
      <c r="J10" s="10"/>
      <c r="K10" s="11">
        <f>K6/1.09*K8</f>
        <v>4.1844461320816411</v>
      </c>
      <c r="L10" s="12">
        <f>SUM(C10:K10)</f>
        <v>196.91892406085972</v>
      </c>
    </row>
    <row r="11" spans="1:17">
      <c r="C11" s="20"/>
      <c r="D11" s="20"/>
      <c r="E11" s="20"/>
      <c r="F11" s="20"/>
      <c r="G11" s="20"/>
      <c r="H11" s="20"/>
      <c r="I11" s="20"/>
    </row>
    <row r="12" spans="1:17">
      <c r="B12" s="13" t="s">
        <v>14</v>
      </c>
      <c r="C12" s="14" t="s">
        <v>15</v>
      </c>
      <c r="D12" s="21" t="s">
        <v>16</v>
      </c>
      <c r="E12" s="25" t="s">
        <v>37</v>
      </c>
      <c r="F12" s="25" t="s">
        <v>38</v>
      </c>
      <c r="G12" s="25" t="s">
        <v>39</v>
      </c>
      <c r="H12" s="25" t="s">
        <v>40</v>
      </c>
      <c r="I12" s="25" t="s">
        <v>41</v>
      </c>
      <c r="J12" s="7" t="s">
        <v>42</v>
      </c>
      <c r="K12" s="7" t="s">
        <v>43</v>
      </c>
      <c r="L12" s="7" t="s">
        <v>44</v>
      </c>
      <c r="M12" s="7" t="s">
        <v>45</v>
      </c>
      <c r="N12" s="7" t="s">
        <v>46</v>
      </c>
      <c r="O12" s="7" t="s">
        <v>47</v>
      </c>
      <c r="P12" s="7" t="s">
        <v>48</v>
      </c>
      <c r="Q12" s="7" t="s">
        <v>8</v>
      </c>
    </row>
    <row r="13" spans="1:17">
      <c r="B13" s="26" t="s">
        <v>4</v>
      </c>
      <c r="C13" s="6" t="s">
        <v>17</v>
      </c>
      <c r="D13" s="22">
        <v>1800</v>
      </c>
      <c r="E13" s="7">
        <v>180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>
        <f>SUM(E13:P13)</f>
        <v>180</v>
      </c>
    </row>
    <row r="14" spans="1:17">
      <c r="B14" s="27"/>
      <c r="C14" s="7" t="s">
        <v>5</v>
      </c>
      <c r="D14" s="23">
        <v>1700</v>
      </c>
      <c r="E14" s="7">
        <v>100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>
        <f>SUM(E14:P14)</f>
        <v>100</v>
      </c>
    </row>
    <row r="15" spans="1:17">
      <c r="B15" s="17" t="s">
        <v>18</v>
      </c>
      <c r="C15" s="10"/>
      <c r="D15" s="24">
        <f>D14+D13</f>
        <v>3500</v>
      </c>
      <c r="E15" s="7">
        <f>SUM(E13:E14)</f>
        <v>280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>
        <f>SUM(E15:P15)</f>
        <v>280</v>
      </c>
    </row>
    <row r="17" spans="2:17">
      <c r="B17" s="26" t="s">
        <v>5</v>
      </c>
      <c r="C17" s="6" t="s">
        <v>3</v>
      </c>
      <c r="D17" s="22">
        <v>1460</v>
      </c>
      <c r="E17" s="7">
        <v>100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>
        <f>SUM(E17:P17)</f>
        <v>100</v>
      </c>
    </row>
    <row r="18" spans="2:17">
      <c r="B18" s="27"/>
      <c r="C18" s="7" t="s">
        <v>6</v>
      </c>
      <c r="D18" s="23">
        <v>500</v>
      </c>
      <c r="E18" s="7">
        <v>0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>
        <f>SUM(E18:P18)</f>
        <v>0</v>
      </c>
    </row>
    <row r="19" spans="2:17">
      <c r="B19" s="27"/>
      <c r="C19" s="7" t="s">
        <v>7</v>
      </c>
      <c r="D19" s="23">
        <v>340</v>
      </c>
      <c r="E19" s="7">
        <v>40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>
        <f>SUM(E19:P19)</f>
        <v>40</v>
      </c>
    </row>
    <row r="20" spans="2:17">
      <c r="B20" s="17" t="s">
        <v>18</v>
      </c>
      <c r="C20" s="10"/>
      <c r="D20" s="24">
        <f>D19+D18+D17</f>
        <v>2300</v>
      </c>
      <c r="E20" s="7">
        <f>SUM(E17:E19)</f>
        <v>140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>
        <f>SUM(E20:P20)</f>
        <v>140</v>
      </c>
    </row>
    <row r="22" spans="2:17">
      <c r="B22" s="15" t="s">
        <v>6</v>
      </c>
      <c r="C22" s="6" t="s">
        <v>4</v>
      </c>
      <c r="D22" s="22">
        <v>600</v>
      </c>
      <c r="E22" s="7">
        <v>0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>
        <f>SUM(E22:P22)</f>
        <v>0</v>
      </c>
    </row>
    <row r="23" spans="2:17">
      <c r="B23" s="17" t="s">
        <v>18</v>
      </c>
      <c r="C23" s="10"/>
      <c r="D23" s="24">
        <f>D22</f>
        <v>600</v>
      </c>
      <c r="E23" s="7">
        <f>E22</f>
        <v>0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>
        <f>SUM(E23:P23)</f>
        <v>0</v>
      </c>
    </row>
    <row r="25" spans="2:17">
      <c r="B25" s="15" t="s">
        <v>3</v>
      </c>
      <c r="C25" s="6" t="s">
        <v>4</v>
      </c>
      <c r="D25" s="22">
        <v>2200</v>
      </c>
      <c r="E25" s="7">
        <v>100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>
        <f>SUM(E25:P25)</f>
        <v>100</v>
      </c>
    </row>
    <row r="26" spans="2:17">
      <c r="B26" s="17" t="s">
        <v>18</v>
      </c>
      <c r="C26" s="10"/>
      <c r="D26" s="24">
        <f>D25</f>
        <v>2200</v>
      </c>
      <c r="E26" s="7">
        <f>E25</f>
        <v>100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>
        <f>SUM(E26:P26)</f>
        <v>100</v>
      </c>
    </row>
    <row r="29" spans="2:17">
      <c r="B29" s="26" t="s">
        <v>7</v>
      </c>
      <c r="C29" s="6" t="s">
        <v>17</v>
      </c>
      <c r="D29" s="22">
        <v>220</v>
      </c>
      <c r="E29" s="7">
        <v>6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>
        <f>SUM(E29:P29)</f>
        <v>6</v>
      </c>
    </row>
    <row r="30" spans="2:17">
      <c r="B30" s="27"/>
      <c r="C30" s="7" t="s">
        <v>3</v>
      </c>
      <c r="D30" s="23">
        <v>130</v>
      </c>
      <c r="E30" s="7">
        <v>10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>
        <f>SUM(E30:P30)</f>
        <v>10</v>
      </c>
    </row>
    <row r="31" spans="2:17">
      <c r="B31" s="17" t="s">
        <v>18</v>
      </c>
      <c r="C31" s="10"/>
      <c r="D31" s="24">
        <f>D30+D29</f>
        <v>350</v>
      </c>
      <c r="E31" s="7">
        <f>SUM(E29:E30)</f>
        <v>16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>
        <f>SUM(E31:P31)</f>
        <v>16</v>
      </c>
    </row>
  </sheetData>
  <mergeCells count="4">
    <mergeCell ref="B13:B14"/>
    <mergeCell ref="B17:B19"/>
    <mergeCell ref="B29:B30"/>
    <mergeCell ref="A3:L4"/>
  </mergeCells>
  <pageMargins left="0.75" right="0.75" top="1" bottom="1" header="0.51180555555555551" footer="0.51180555555555551"/>
  <pageSetup paperSize="9" orientation="portrait" horizontalDpi="0" verticalDpi="0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F1D47-2DB4-1042-9300-5EA7525DB0C5}">
  <dimension ref="A3:C15"/>
  <sheetViews>
    <sheetView zoomScale="150" zoomScaleSheetLayoutView="100" workbookViewId="0">
      <selection activeCell="B20" sqref="B20"/>
    </sheetView>
  </sheetViews>
  <sheetFormatPr baseColWidth="10" defaultColWidth="9" defaultRowHeight="15"/>
  <cols>
    <col min="1" max="1" width="21.83203125" customWidth="1"/>
    <col min="2" max="2" width="23.1640625" customWidth="1"/>
    <col min="3" max="3" width="26.83203125" customWidth="1"/>
  </cols>
  <sheetData>
    <row r="3" spans="1:3">
      <c r="A3" s="1" t="s">
        <v>19</v>
      </c>
      <c r="B3" s="2" t="s">
        <v>20</v>
      </c>
      <c r="C3" s="2" t="s">
        <v>21</v>
      </c>
    </row>
    <row r="4" spans="1:3">
      <c r="A4" s="3" t="s">
        <v>22</v>
      </c>
      <c r="B4" s="2">
        <v>2938000</v>
      </c>
      <c r="C4" s="2"/>
    </row>
    <row r="5" spans="1:3">
      <c r="A5" s="3" t="s">
        <v>23</v>
      </c>
      <c r="B5" s="2">
        <f>1486000+1000000</f>
        <v>2486000</v>
      </c>
      <c r="C5" s="2" t="s">
        <v>24</v>
      </c>
    </row>
    <row r="6" spans="1:3">
      <c r="A6" s="3" t="s">
        <v>25</v>
      </c>
      <c r="B6" s="2">
        <v>900000</v>
      </c>
    </row>
    <row r="7" spans="1:3">
      <c r="A7" s="3" t="s">
        <v>26</v>
      </c>
      <c r="B7" s="2">
        <v>2486000</v>
      </c>
    </row>
    <row r="8" spans="1:3">
      <c r="A8" s="3" t="s">
        <v>27</v>
      </c>
      <c r="B8" s="2">
        <v>621500</v>
      </c>
    </row>
    <row r="9" spans="1:3">
      <c r="A9" s="2" t="s">
        <v>28</v>
      </c>
      <c r="B9" s="2">
        <v>12000</v>
      </c>
    </row>
    <row r="11" spans="1:3">
      <c r="A11" s="1" t="s">
        <v>29</v>
      </c>
      <c r="B11" s="1" t="s">
        <v>30</v>
      </c>
    </row>
    <row r="12" spans="1:3">
      <c r="A12" s="3" t="s">
        <v>31</v>
      </c>
      <c r="B12" s="3" t="s">
        <v>32</v>
      </c>
    </row>
    <row r="13" spans="1:3">
      <c r="A13" s="3" t="s">
        <v>33</v>
      </c>
      <c r="B13" s="4" t="s">
        <v>34</v>
      </c>
    </row>
    <row r="14" spans="1:3">
      <c r="A14" s="3" t="s">
        <v>5</v>
      </c>
      <c r="B14" s="3" t="s">
        <v>35</v>
      </c>
    </row>
    <row r="15" spans="1:3">
      <c r="A15" s="3" t="s">
        <v>7</v>
      </c>
      <c r="B15" s="3" t="s">
        <v>36</v>
      </c>
    </row>
  </sheetData>
  <pageMargins left="0.75" right="0.75" top="1" bottom="1" header="0.51180555555555551" footer="0.51180555555555551"/>
  <pageSetup paperSize="9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B298D-7610-844A-B93A-C1E0BD67C08D}">
  <dimension ref="A1"/>
  <sheetViews>
    <sheetView zoomScaleSheetLayoutView="100" workbookViewId="0"/>
  </sheetViews>
  <sheetFormatPr baseColWidth="10" defaultColWidth="9" defaultRowHeight="15"/>
  <sheetData/>
  <pageMargins left="0.75" right="0.75" top="1" bottom="1" header="0.51180555555555551" footer="0.51180555555555551"/>
  <pageSetup paperSize="9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2026年开票计划</vt:lpstr>
      <vt:lpstr>2025年12月份开票计划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武汉开明</dc:creator>
  <cp:lastModifiedBy>Linze Zhang</cp:lastModifiedBy>
  <dcterms:created xsi:type="dcterms:W3CDTF">2016-12-02T08:54:00Z</dcterms:created>
  <dcterms:modified xsi:type="dcterms:W3CDTF">2026-02-25T07:05:55Z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E090EDF5B1774B9289BC6E013D1A04FC_12</vt:lpwstr>
  </property>
  <property fmtid="{D5CDD505-2E9C-101B-9397-08002B2CF9AE}" pid="4" name="CalculationRule">
    <vt:r8>0</vt:r8>
  </property>
</Properties>
</file>