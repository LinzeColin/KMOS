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/>
  <mc:AlternateContent xmlns:mc="http://schemas.openxmlformats.org/markup-compatibility/2006">
    <mc:Choice Requires="x15">
      <x15ac:absPath xmlns:x15ac="http://schemas.microsoft.com/office/spreadsheetml/2010/11/ac" url="/Users/linzezhang/Downloads/财务/"/>
    </mc:Choice>
  </mc:AlternateContent>
  <xr:revisionPtr revIDLastSave="0" documentId="13_ncr:1_{0FCD255C-51AD-7B48-A5C3-3AAADB4AF26C}" xr6:coauthVersionLast="47" xr6:coauthVersionMax="47" xr10:uidLastSave="{00000000-0000-0000-0000-000000000000}"/>
  <bookViews>
    <workbookView xWindow="29400" yWindow="-5940" windowWidth="38400" windowHeight="21100" activeTab="1" xr2:uid="{00000000-000D-0000-FFFF-FFFF00000000}"/>
  </bookViews>
  <sheets>
    <sheet name="参数" sheetId="1" r:id="rId1"/>
    <sheet name="结论_应收_穿透图" sheetId="6" r:id="rId2"/>
    <sheet name="账龄桶分析明细" sheetId="5" r:id="rId3"/>
    <sheet name="明细_开票" sheetId="2" r:id="rId4"/>
    <sheet name="明细_应收" sheetId="4" r:id="rId5"/>
  </sheets>
  <definedNames>
    <definedName name="_xlnm._FilterDatabase" localSheetId="4" hidden="1">明细_应收!$B$1:$L$473</definedName>
    <definedName name="_xlnm._FilterDatabase" localSheetId="3" hidden="1">明细_开票!$A$1:$N$1232</definedName>
    <definedName name="_xlnm._FilterDatabase" localSheetId="2" hidden="1">账龄桶分析明细!$A$1:$L$418</definedName>
  </definedNames>
  <calcPr calcId="191029"/>
  <pivotCaches>
    <pivotCache cacheId="4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2" i="4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2" i="2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<sst xmlns="http://schemas.openxmlformats.org/spreadsheetml/2006/main" count="6573" uniqueCount="1305">
  <si>
    <t>分析参数</t>
  </si>
  <si>
    <t>分析截止日</t>
  </si>
  <si>
    <t>口径说明</t>
  </si>
  <si>
    <t>1) 开工后开票间隔：开票日期 - 开工日期（若开工日期缺失则不统计）。</t>
  </si>
  <si>
    <t>2) 开票后回款间隔：开票日期到该客户“最早一笔回款日期(&gt;=开票日)”的间隔（客户维度匹配，未按发票金额逐张销账）。</t>
  </si>
  <si>
    <t>3) 客户账龄：来自【账龄明细】的未回款金额（优先“按照合同未回款”，缺失则用“按照验收未回款”），账龄基准日=开票日(有则用)否则完工日否则合同日。</t>
  </si>
  <si>
    <t>客户</t>
  </si>
  <si>
    <t>销售合同号</t>
  </si>
  <si>
    <t>公司</t>
  </si>
  <si>
    <t>开工日期</t>
  </si>
  <si>
    <t>完工日期</t>
  </si>
  <si>
    <t>开票日期</t>
  </si>
  <si>
    <t>含税合计</t>
  </si>
  <si>
    <t>金额</t>
  </si>
  <si>
    <t>税额</t>
  </si>
  <si>
    <t>首次回款日期</t>
  </si>
  <si>
    <t>开票后回款_自然日</t>
  </si>
  <si>
    <t>异常标记</t>
  </si>
  <si>
    <t>华润水泥（永定）有限公司</t>
  </si>
  <si>
    <t>KMX200807-180-XF</t>
  </si>
  <si>
    <t>武汉</t>
  </si>
  <si>
    <t>无回款匹配</t>
  </si>
  <si>
    <t>北京堂海科技有限公司</t>
  </si>
  <si>
    <t>KMX221228-450-XF</t>
  </si>
  <si>
    <t>青州中联水泥有限公司</t>
  </si>
  <si>
    <t>KMX220305-128-XF</t>
  </si>
  <si>
    <t/>
  </si>
  <si>
    <t>湖南浏阳南方水泥有限公司</t>
  </si>
  <si>
    <t>KMX220426-180-XF</t>
  </si>
  <si>
    <t>四川峨胜水泥集团股份有限公司</t>
  </si>
  <si>
    <t>KMX220930-364-XF</t>
  </si>
  <si>
    <t>卫辉市天瑞水泥有限公司</t>
  </si>
  <si>
    <t>KMX221130-420-XF</t>
  </si>
  <si>
    <t>湖北</t>
  </si>
  <si>
    <t>昌江华盛天涯水泥有限公司</t>
  </si>
  <si>
    <t>KMX221028-388-XF</t>
  </si>
  <si>
    <t>湖南华菱湘潭钢铁有限公司</t>
  </si>
  <si>
    <t>KMX200424-073-XF</t>
  </si>
  <si>
    <t>北京金隅琉水环保科技有限公司</t>
  </si>
  <si>
    <t>KMX220510-190-XF</t>
  </si>
  <si>
    <t>联峰钢铁（张家港）有限公司（江苏永钢）</t>
  </si>
  <si>
    <t>KMX220720-289-XF</t>
  </si>
  <si>
    <t>海南逸盛石化有限公司</t>
  </si>
  <si>
    <t>KMX221208-431-XF</t>
  </si>
  <si>
    <t>KMX221127-418-XF</t>
  </si>
  <si>
    <t>广西北港新材料有限公司</t>
  </si>
  <si>
    <t>KMX220516-206-XF</t>
  </si>
  <si>
    <t>新疆伊犁钢铁有限责任公司</t>
  </si>
  <si>
    <t>KMX211021-394-XF</t>
  </si>
  <si>
    <t>崇阳县昌华实业有限公司</t>
  </si>
  <si>
    <t>KMX230101-001-XF</t>
  </si>
  <si>
    <t>KMX230104-009-XF</t>
  </si>
  <si>
    <t>赞皇金隅水泥有限公司</t>
  </si>
  <si>
    <t>KMX221111-404-XF</t>
  </si>
  <si>
    <t>日照京华新型建材有限公司</t>
  </si>
  <si>
    <t>KMX220329-153-XF</t>
  </si>
  <si>
    <t>宁波钢铁有限公司</t>
  </si>
  <si>
    <t>KMX221121-411-XF</t>
  </si>
  <si>
    <t>KMX220601-228-XF</t>
  </si>
  <si>
    <t>铜陵上峰水泥股份有限公司</t>
  </si>
  <si>
    <t>KMX220218-100-XF</t>
  </si>
  <si>
    <t>涞水金隅冀东环保科技有限公司</t>
  </si>
  <si>
    <t>KMX221127-419-XF</t>
  </si>
  <si>
    <t>重庆九鑫水泥（集团）有限公司</t>
  </si>
  <si>
    <t>KMX230103-008-XF</t>
  </si>
  <si>
    <t>江油嘉鸿机电工程有限公司</t>
  </si>
  <si>
    <t>KMX230215-052-XF</t>
  </si>
  <si>
    <t>北京金隅北水环保科技有限公司</t>
  </si>
  <si>
    <t>KMX211221-506-XF</t>
  </si>
  <si>
    <t>湘潭县亿鑫锌业有限公司</t>
  </si>
  <si>
    <t>KMX230113-021-XF</t>
  </si>
  <si>
    <t>湖北京兰水泥集团有限公司</t>
  </si>
  <si>
    <t>KMX221126-415-XF</t>
  </si>
  <si>
    <t>湖州丰盛新材料有限公司</t>
  </si>
  <si>
    <t>KMX230112-020-XF</t>
  </si>
  <si>
    <t>江西宝丰生物科技有限公司</t>
  </si>
  <si>
    <t>KMX220917-354-XF</t>
  </si>
  <si>
    <t>重庆市富丰水泥集团特种水泥有限公司</t>
  </si>
  <si>
    <t>KMX220810-316-XF</t>
  </si>
  <si>
    <t>KMX220728-293-XF</t>
  </si>
  <si>
    <t>KMX220729-296-XF</t>
  </si>
  <si>
    <t>贵州黔西中水发电有限公司</t>
  </si>
  <si>
    <t>KMX220401-157-XF</t>
  </si>
  <si>
    <t>廉江市丰诚水泥有限公司</t>
  </si>
  <si>
    <t>KMX220708-275-XF</t>
  </si>
  <si>
    <t>福建春驰集团国产实业水泥有限公司</t>
  </si>
  <si>
    <t>KMX230105-010-XF</t>
  </si>
  <si>
    <t>彤烨</t>
  </si>
  <si>
    <t>吉林亚泰明城水泥有限公司</t>
  </si>
  <si>
    <t>KMX150320-073-XF</t>
  </si>
  <si>
    <t>芜湖新兴铸管有限责任公司</t>
  </si>
  <si>
    <t>KMX210515-202-XF</t>
  </si>
  <si>
    <t>吉林金隅冀东环保科技有限公司</t>
  </si>
  <si>
    <t>KMX220722-290-XF</t>
  </si>
  <si>
    <t>山西吉港冠宇水泥有限公司</t>
  </si>
  <si>
    <t>KMX230302-065-XF</t>
  </si>
  <si>
    <t>武汉鑫缘绿色冶金渣技术开发有限公司</t>
  </si>
  <si>
    <t>KMX221027-385-XF</t>
  </si>
  <si>
    <t>葛洲坝钟祥水泥有限公司</t>
  </si>
  <si>
    <t>KMX230128-034-XF</t>
  </si>
  <si>
    <t>广西北港不锈钢有限公司</t>
  </si>
  <si>
    <t>KMX220822-330-XF</t>
  </si>
  <si>
    <t>KMX221019-379-XF</t>
  </si>
  <si>
    <t>唐山冀东发展机械设备制造有限公司</t>
  </si>
  <si>
    <t>KMX221228-449-XF</t>
  </si>
  <si>
    <t>宁夏滨河海利建材有限公司</t>
  </si>
  <si>
    <t>KMX230302-066-XF</t>
  </si>
  <si>
    <t>合肥南方水泥有限公司</t>
  </si>
  <si>
    <t>KMX220601-229-XF</t>
  </si>
  <si>
    <t>江西亚东水泥有限公司</t>
  </si>
  <si>
    <t>KMX211227-515-XF</t>
  </si>
  <si>
    <t>吉林亚泰水泥有限公司</t>
  </si>
  <si>
    <t>KMX230128-035-XF</t>
  </si>
  <si>
    <t>海拉尔蒙西水泥有限公司</t>
  </si>
  <si>
    <t>KMX230304-069-XF</t>
  </si>
  <si>
    <t>四川省星船城水泥股份有限公司</t>
  </si>
  <si>
    <t>KMX230113-022-XF</t>
  </si>
  <si>
    <t>KMX230130-037-XF</t>
  </si>
  <si>
    <t>山西金隅冀东环保科技有限公司</t>
  </si>
  <si>
    <t>KMX220829-339-XF</t>
  </si>
  <si>
    <t>达州利森水泥有限公司</t>
  </si>
  <si>
    <t>KMX230118-029-XF</t>
  </si>
  <si>
    <t>山东泰西水泥有限公司</t>
  </si>
  <si>
    <t>KMX221116-409-XF</t>
  </si>
  <si>
    <t>KMX230212-049-XF</t>
  </si>
  <si>
    <t>内蒙古天皓水泥集团有限公司</t>
  </si>
  <si>
    <t>KMX220301-122-XF</t>
  </si>
  <si>
    <t>KMX230204-043-XF</t>
  </si>
  <si>
    <t>KMX230116-026-XF</t>
  </si>
  <si>
    <t>山东鲁泰环保建材有限公司</t>
  </si>
  <si>
    <t>KMX221210-434-XF</t>
  </si>
  <si>
    <t>KMX221107-396-XF</t>
  </si>
  <si>
    <t>富民金锐水泥建材有限责任公司</t>
  </si>
  <si>
    <t>KMX220527-222-XF</t>
  </si>
  <si>
    <t>福建兴长活性炭有限公司</t>
  </si>
  <si>
    <t>KMX230102-002-XF</t>
  </si>
  <si>
    <t>葛洲坝石门特种水泥有限公司</t>
  </si>
  <si>
    <t>浙江上峰建材有限公司</t>
  </si>
  <si>
    <t>KMX220907-348-XF</t>
  </si>
  <si>
    <t>广州市越堡水泥有限公司</t>
  </si>
  <si>
    <t>KMX220827-333-XF</t>
  </si>
  <si>
    <t>元江县永发水泥有限公司</t>
  </si>
  <si>
    <t>KMX220711-279-XF</t>
  </si>
  <si>
    <t>KMX220930-366-XF</t>
  </si>
  <si>
    <t>KMX221213-437-XF</t>
  </si>
  <si>
    <t>东方希望重庆水泥有限公司</t>
  </si>
  <si>
    <t>KMX210715-276-XF</t>
  </si>
  <si>
    <t>KMX211124-459-XF</t>
  </si>
  <si>
    <t>KMX211227-514-XF</t>
  </si>
  <si>
    <t>KMX220121-057-XF</t>
  </si>
  <si>
    <t>漳平红狮水泥有限公司</t>
  </si>
  <si>
    <t>KMX230102-005-XF</t>
  </si>
  <si>
    <t>重庆秀山西南水泥有限公司（原名：秀山三磊水泥有限公司）</t>
  </si>
  <si>
    <t>KMX230313-077-XF</t>
  </si>
  <si>
    <t>KMX230207-046-XF</t>
  </si>
  <si>
    <t>KMX230116-027-XF</t>
  </si>
  <si>
    <t>广州泛亚聚酯有限公司</t>
  </si>
  <si>
    <t>KMX230126-031-XF</t>
  </si>
  <si>
    <t>华润水泥（罗定）有限公司</t>
  </si>
  <si>
    <t>KMX201023-267-XF</t>
  </si>
  <si>
    <t>四川德胜集团水泥有限公司</t>
  </si>
  <si>
    <t>KMX230301-064-XF</t>
  </si>
  <si>
    <t>准格尔旗铸城水泥有限责任公司</t>
  </si>
  <si>
    <t>KMX230323-087-XF</t>
  </si>
  <si>
    <t>KMX230307-073-XF</t>
  </si>
  <si>
    <t>湖北鸿茂矿渣微粉有限公司</t>
  </si>
  <si>
    <t>KMX220624-256-XF</t>
  </si>
  <si>
    <t>KMX220820-329-XF</t>
  </si>
  <si>
    <t>KMX220831-341-XF</t>
  </si>
  <si>
    <t>KMX220906-346-XF</t>
  </si>
  <si>
    <t>KMX221027-387-XF</t>
  </si>
  <si>
    <t>KMX230220-056-XF</t>
  </si>
  <si>
    <t>KMX230220-055-XF</t>
  </si>
  <si>
    <t>宁夏瀛海天祥建材有限公司</t>
  </si>
  <si>
    <t>KMX230223-058-XF</t>
  </si>
  <si>
    <t>临沂中联水泥有限公司</t>
  </si>
  <si>
    <t>KMX230105-012-XF</t>
  </si>
  <si>
    <t>沂南中联水泥有限公司</t>
  </si>
  <si>
    <t>KMX221114-407-XF</t>
  </si>
  <si>
    <t>KMX210421-179-XF</t>
  </si>
  <si>
    <t>新疆米东天山水泥有限责任公司</t>
  </si>
  <si>
    <t>KMX230203-041-XF</t>
  </si>
  <si>
    <t>江西赣锋锂业集团股份有限公司</t>
  </si>
  <si>
    <t>KMX221213-439-XF</t>
  </si>
  <si>
    <t>南京中联水泥有限公司</t>
  </si>
  <si>
    <t>KMX220602-231-XF</t>
  </si>
  <si>
    <t>KMX230131-038-XF</t>
  </si>
  <si>
    <t>成县祁连山水泥有限公司</t>
  </si>
  <si>
    <t>KMX230116-028-XF</t>
  </si>
  <si>
    <t>内蒙古冀东水泥有限责任公司</t>
  </si>
  <si>
    <t>KMX221116-408-XF</t>
  </si>
  <si>
    <t>鹤岗鑫塔水泥有限责任公司</t>
  </si>
  <si>
    <t>KMX230105-011-XF</t>
  </si>
  <si>
    <t>福建金牛水泥有限公司</t>
  </si>
  <si>
    <t>KMX220819-327-XF</t>
  </si>
  <si>
    <t>KMX220610-239-XF</t>
  </si>
  <si>
    <t>广东广青金属科技有限公司</t>
  </si>
  <si>
    <t>KMX221205-427-XF</t>
  </si>
  <si>
    <t>KMX221205-425-XF</t>
  </si>
  <si>
    <t>KMX230322-086-XF</t>
  </si>
  <si>
    <t>KMX230207-047-XF</t>
  </si>
  <si>
    <t>包头冀东水泥有限公司</t>
  </si>
  <si>
    <t>KMX221116-410-XF</t>
  </si>
  <si>
    <t>KMX221122-414-XF</t>
  </si>
  <si>
    <t>焦作坚固水泥有限公司</t>
  </si>
  <si>
    <t>KMX211020-391-XF</t>
  </si>
  <si>
    <t>河北新金轧材有限公司</t>
  </si>
  <si>
    <t>KMX220108-011-XF</t>
  </si>
  <si>
    <t>湖南隆回南方水泥有限公司</t>
  </si>
  <si>
    <t>KMX221011-371-XF</t>
  </si>
  <si>
    <t>KMX221201-422-XF</t>
  </si>
  <si>
    <t>中材株洲水泥有限责任公司</t>
  </si>
  <si>
    <t>KMX230206-045-XF</t>
  </si>
  <si>
    <t>湖南古丈南方水泥有限公司</t>
  </si>
  <si>
    <t>KMX230203-039-XF</t>
  </si>
  <si>
    <t>KMX230325-091-XF</t>
  </si>
  <si>
    <t>KMX230330-095-XF</t>
  </si>
  <si>
    <t>台泥（重庆）水泥有限公司</t>
  </si>
  <si>
    <t>KMX230321-084-XF</t>
  </si>
  <si>
    <t>内蒙古武兰水泥有限公司</t>
  </si>
  <si>
    <t>KMX230310-075-XF</t>
  </si>
  <si>
    <t>鲁南中联水泥有限公司</t>
  </si>
  <si>
    <t>KMX221201-421-XF</t>
  </si>
  <si>
    <t>福建青拓实业有限公司(合同签订单位：福建鼎信实业有限公司）</t>
  </si>
  <si>
    <t>KMX230102-004-XF</t>
  </si>
  <si>
    <t>湖南金山环保建材有限公司</t>
  </si>
  <si>
    <t>KMX230203-040-XF</t>
  </si>
  <si>
    <t>KMX230126-030-XF</t>
  </si>
  <si>
    <t>安阳市湖波熟料有限公司</t>
  </si>
  <si>
    <t>KMX221111-403-XF</t>
  </si>
  <si>
    <t>KMX230301-063-XF</t>
  </si>
  <si>
    <t>KMX230224-059-XF</t>
  </si>
  <si>
    <t>华润水泥（长治）有限公司</t>
  </si>
  <si>
    <t>KMX230422-122-XF</t>
  </si>
  <si>
    <t>江西三禾纸业有限公司</t>
  </si>
  <si>
    <t>KMX230325-090-XF</t>
  </si>
  <si>
    <t>湖北长江石化设备有限公司</t>
  </si>
  <si>
    <t>KMX230502-134-XF</t>
  </si>
  <si>
    <t>无为华塑矿业有限公司</t>
  </si>
  <si>
    <t>KMX230206-044-XF</t>
  </si>
  <si>
    <t>湖北双环科技股份有限公司</t>
  </si>
  <si>
    <t>KMX230320-083-XF</t>
  </si>
  <si>
    <t>叶城天山水泥有限责任公司</t>
  </si>
  <si>
    <t>KMX230224-060-XF</t>
  </si>
  <si>
    <t>KMX210620-245-XF</t>
  </si>
  <si>
    <t>淮北相山水泥有限责任公司</t>
  </si>
  <si>
    <t>KMX230129-036-XF</t>
  </si>
  <si>
    <t>KMX230403-097-XF</t>
  </si>
  <si>
    <t>河北金隅鼎鑫水泥有限公司</t>
  </si>
  <si>
    <t>KMX220916-351-XF</t>
  </si>
  <si>
    <t>KMX221212-436-XF</t>
  </si>
  <si>
    <t>永州市九嶷正阳水泥有限责任公司</t>
  </si>
  <si>
    <t>KMX230410-103-XF</t>
  </si>
  <si>
    <t>山西太谷恒达煤气化有限公司</t>
  </si>
  <si>
    <t>KMX220117-030-XF</t>
  </si>
  <si>
    <t>四川兰丰水泥有限公司</t>
  </si>
  <si>
    <t>KMX230109-013-XF</t>
  </si>
  <si>
    <t>湖北宜化江家墩矿业有限公司宜昌猇亭分公司</t>
  </si>
  <si>
    <t>KMX230513-141-XF</t>
  </si>
  <si>
    <t>湖北三力重工机械有限公司</t>
  </si>
  <si>
    <t>KMX230426-130-XF</t>
  </si>
  <si>
    <t>KMX230425-125-XF</t>
  </si>
  <si>
    <t>KMX221112-405-XF</t>
  </si>
  <si>
    <t>康达(湖南)水泥有限公司</t>
  </si>
  <si>
    <t>KMX220828-335-XF</t>
  </si>
  <si>
    <t>KMX230324-089-XF</t>
  </si>
  <si>
    <t>枣庄中联水泥有限公司</t>
  </si>
  <si>
    <t>KMX221215-440-XF</t>
  </si>
  <si>
    <t>湖南张家界南方水泥有限公司</t>
  </si>
  <si>
    <t>KMX220804-308-XF</t>
  </si>
  <si>
    <t>KMX230424-123-XF</t>
  </si>
  <si>
    <t>交城义望铁合金有限责任公司</t>
  </si>
  <si>
    <t>KMX230325-092-XF</t>
  </si>
  <si>
    <t>夏河祁连山安多水泥有限公司</t>
  </si>
  <si>
    <t>KMX220926-360-XF</t>
  </si>
  <si>
    <t>湖北楚星化工股份有限公司（更名为：湖北大江化工集团有限公司）</t>
  </si>
  <si>
    <t>KMX230522-146-XF</t>
  </si>
  <si>
    <t>洛阳黄河同力水泥有限责任公司</t>
  </si>
  <si>
    <t>KMX220514-199-XF</t>
  </si>
  <si>
    <t>台泥（英德）水泥有限公司</t>
  </si>
  <si>
    <t>KMX230331-096-XF</t>
  </si>
  <si>
    <t>唐山冀东启新水泥有限责任公司</t>
  </si>
  <si>
    <t>KMX220809-311-XF</t>
  </si>
  <si>
    <t>新疆八一钢铁股份有限公司</t>
  </si>
  <si>
    <t>KMX221107-397-XF</t>
  </si>
  <si>
    <t>KMX230322-085-XF</t>
  </si>
  <si>
    <t>陕西富平水泥有限公司</t>
  </si>
  <si>
    <t>KMX230512-139-XF</t>
  </si>
  <si>
    <t>山西佳诚液压有限公司</t>
  </si>
  <si>
    <t>KMX230328-093-XF</t>
  </si>
  <si>
    <t>湖北宜化松滋肥业有限公司</t>
  </si>
  <si>
    <t>KMX230427-131-XF</t>
  </si>
  <si>
    <t>奎山水泥有限公司</t>
  </si>
  <si>
    <t>KMX220625-258-XF</t>
  </si>
  <si>
    <t>邢台金隅冀东水泥有限公司</t>
  </si>
  <si>
    <t>KMX221227-447-XF</t>
  </si>
  <si>
    <t>KMX230313-076-XF</t>
  </si>
  <si>
    <t>新疆蒙鑫水泥有限公司奇台分公司</t>
  </si>
  <si>
    <t>KMX230421-121-XF</t>
  </si>
  <si>
    <t>江西乐平万年青水泥有限公司</t>
  </si>
  <si>
    <t>KMX230515-142-XF</t>
  </si>
  <si>
    <t>广西柳州鱼峰水泥有限公司</t>
  </si>
  <si>
    <t>KMX210329-155-XF</t>
  </si>
  <si>
    <t>安钢集团信阳钢铁有限责任公司</t>
  </si>
  <si>
    <t>KMX230419-120-XF</t>
  </si>
  <si>
    <t>江西安福南方水泥有限公司</t>
  </si>
  <si>
    <t>KMX221202-424-XF</t>
  </si>
  <si>
    <t>KMX230518-143-XF</t>
  </si>
  <si>
    <t>福建青拓镍业有限公司</t>
  </si>
  <si>
    <t>KMX230102-003-XF</t>
  </si>
  <si>
    <t>KMX230114-024-XF</t>
  </si>
  <si>
    <t>KMX220723-291-XF</t>
  </si>
  <si>
    <t>KMX220729-297-XF</t>
  </si>
  <si>
    <t>内蒙古万晨石灰有限公司</t>
  </si>
  <si>
    <t>KMX230126-032-XF</t>
  </si>
  <si>
    <t>海南源友科技有限公司</t>
  </si>
  <si>
    <t>KMX230414-109-XF</t>
  </si>
  <si>
    <t>将乐金牛水泥有限公司</t>
  </si>
  <si>
    <t>KMX210322-147-XF</t>
  </si>
  <si>
    <t>KMX221126-416-XF</t>
  </si>
  <si>
    <t>KMX221221-445-XF</t>
  </si>
  <si>
    <t>湖北宜化肥业有限公司</t>
  </si>
  <si>
    <t>KMX230318-080-XF</t>
  </si>
  <si>
    <t>KMX230612-160-XF</t>
  </si>
  <si>
    <t>KMX230302-067-XF</t>
  </si>
  <si>
    <t>KMX230425-124-XF</t>
  </si>
  <si>
    <t>铜川声威建材有限责任公司</t>
  </si>
  <si>
    <t>KMX230316-079-XF</t>
  </si>
  <si>
    <t>蕉岭县龙腾旋窑水泥有限公司</t>
  </si>
  <si>
    <t>KMX230620-164-XF</t>
  </si>
  <si>
    <t>KMX230623-169-XF</t>
  </si>
  <si>
    <t>内蒙古鄂尔多斯电力冶金集团股份有限公司资源综合利用分公司（鄂尔多斯市清能新材料有限公司）</t>
  </si>
  <si>
    <t>KMX230304-068-XF</t>
  </si>
  <si>
    <t>KMX230605-153-XF</t>
  </si>
  <si>
    <t>兆山集团诸暨水泥有限公司</t>
  </si>
  <si>
    <t>KMX230522-147-XF</t>
  </si>
  <si>
    <t>KMX230410-102-XF</t>
  </si>
  <si>
    <t>KMX230621-167-XF</t>
  </si>
  <si>
    <t>泰安中联水泥有限公司</t>
  </si>
  <si>
    <t>KMX221219-442-XF</t>
  </si>
  <si>
    <t>冀东水泥重庆合川有限责任公司</t>
  </si>
  <si>
    <t>KMX220301-121-XF</t>
  </si>
  <si>
    <t>KMX230212-050-XF</t>
  </si>
  <si>
    <t>江西玉山万年青水泥有限公司</t>
  </si>
  <si>
    <t>KMX230625-171-XF</t>
  </si>
  <si>
    <t>山东圣川新材料科技股份有限公司</t>
  </si>
  <si>
    <t>KMX230620-163-XF</t>
  </si>
  <si>
    <t>KMX230625-170-XF</t>
  </si>
  <si>
    <t>承德冀东水泥有限责任公司</t>
  </si>
  <si>
    <t>KMX220704-267-XF</t>
  </si>
  <si>
    <t>KMX230502-133-XF</t>
  </si>
  <si>
    <t>KMX210719-279-XF</t>
  </si>
  <si>
    <t>KMX230713-179-XF</t>
  </si>
  <si>
    <t>青海海西化工建材股份有限公司</t>
  </si>
  <si>
    <t>KMX230805-199-XF</t>
  </si>
  <si>
    <t>信茂</t>
  </si>
  <si>
    <t>宜州广驰水泥有限责任公司</t>
  </si>
  <si>
    <t>KMX230414-108-XF</t>
  </si>
  <si>
    <t>KMX230704-177-XF</t>
  </si>
  <si>
    <t>KMX230703-174-XF</t>
  </si>
  <si>
    <t>遵义赛德水泥有限公司</t>
  </si>
  <si>
    <t>KMX230418-119-XF</t>
  </si>
  <si>
    <t>浙江青龙山建材有限公司</t>
  </si>
  <si>
    <t>KMX230610-158-XF</t>
  </si>
  <si>
    <t>云南远东水泥有限责任公司</t>
  </si>
  <si>
    <t>云南普洱西南水泥有限公司</t>
  </si>
  <si>
    <t>KMX230720-184-XF</t>
  </si>
  <si>
    <t>KMX230608-155-XF</t>
  </si>
  <si>
    <t>KMX230703-175-XF</t>
  </si>
  <si>
    <t>KMX230717-181-XF</t>
  </si>
  <si>
    <t>葛洲坝当阳水泥有限公司</t>
  </si>
  <si>
    <t>KMX220704-268-XF</t>
  </si>
  <si>
    <t>KMX221006-368-XF</t>
  </si>
  <si>
    <t>安吉南方水泥有限公司</t>
  </si>
  <si>
    <t>KMX210728-292-XF</t>
  </si>
  <si>
    <t>KMX220109-012-XF</t>
  </si>
  <si>
    <t>KMX220623-254-XF</t>
  </si>
  <si>
    <t>贵州西电电力股份有限公司黔北发电厂</t>
  </si>
  <si>
    <t>KMX220803-306-XF</t>
  </si>
  <si>
    <t>阳泉冀东水泥有限责任公司</t>
  </si>
  <si>
    <t>KMX230629-172-XF</t>
  </si>
  <si>
    <t>KMX230726-188-XF</t>
  </si>
  <si>
    <t>KMX230713-180-XF</t>
  </si>
  <si>
    <t>侯马市汇丰建材有限责任公司</t>
  </si>
  <si>
    <t>KMX230526-150-XF</t>
  </si>
  <si>
    <t>湖南良田水泥有限公司</t>
  </si>
  <si>
    <t>KMX230323-088-XF</t>
  </si>
  <si>
    <t>KMX230512-140-XF</t>
  </si>
  <si>
    <t>联峰钢铁（张家港）有限公司</t>
  </si>
  <si>
    <t>KMX230609-156-XF</t>
  </si>
  <si>
    <t>KMX230525-149-XF</t>
  </si>
  <si>
    <t>新疆兴悦化工有限公司</t>
  </si>
  <si>
    <t>KMX230623-168-XF</t>
  </si>
  <si>
    <t>南通瑞展环保工程有限公司</t>
  </si>
  <si>
    <t>KMX230805-201-XF</t>
  </si>
  <si>
    <t>KMX230425-126-XF</t>
  </si>
  <si>
    <t>KMX230718-182-XF</t>
  </si>
  <si>
    <t>KMX230728-189-XF</t>
  </si>
  <si>
    <t>KMX230427-132-XF</t>
  </si>
  <si>
    <t>福建永安建福水泥有限公司</t>
  </si>
  <si>
    <t>KMX230817-210-XF</t>
  </si>
  <si>
    <t>华润水泥（封开)有限公司</t>
  </si>
  <si>
    <t>KMX230227-062-XF</t>
  </si>
  <si>
    <t>新洋丰农业科技股份有限公司</t>
  </si>
  <si>
    <t>KMX230510-137-XF</t>
  </si>
  <si>
    <t>福建三钢闽光股份有限公司</t>
  </si>
  <si>
    <t>KMX230809-205-XF</t>
  </si>
  <si>
    <t>景谷红狮水泥有限公司</t>
  </si>
  <si>
    <t>KMX230610-157-XF</t>
  </si>
  <si>
    <t>青海盐湖镁业有限公司</t>
  </si>
  <si>
    <t>KMX230818-211-XF</t>
  </si>
  <si>
    <t>湖南耒阳南方水泥有限公司</t>
  </si>
  <si>
    <t>KMX190524-205-XF</t>
  </si>
  <si>
    <t>KMX230620-165-XF</t>
  </si>
  <si>
    <t>KMX230803-198-XF</t>
  </si>
  <si>
    <t>苏州嘉贝锦奕科技有限公司</t>
  </si>
  <si>
    <t>KMX230817-209-XF</t>
  </si>
  <si>
    <t>日照钢铁有限公司</t>
  </si>
  <si>
    <t>KMX230605-152-XF</t>
  </si>
  <si>
    <t>新疆阜康天山水泥有限责任公司</t>
  </si>
  <si>
    <t>KMX230615-162-XF</t>
  </si>
  <si>
    <t>山东鑫海科技股份有限公司</t>
  </si>
  <si>
    <t>KMX230729-190-XF</t>
  </si>
  <si>
    <t>临沂鑫海新型材料有限公司</t>
  </si>
  <si>
    <t>KMX230908-220-XF</t>
  </si>
  <si>
    <t>青海发投碱业有限公司</t>
  </si>
  <si>
    <t>KMX230412-105-XF</t>
  </si>
  <si>
    <t>宜良来红方水泥有限公司（原宜良县永兴水泥有限公司）</t>
  </si>
  <si>
    <t>KMX230921-229-XF</t>
  </si>
  <si>
    <t>怀宁上峰水泥有限公司</t>
  </si>
  <si>
    <t>KMX221121-412-XF</t>
  </si>
  <si>
    <t>KMX230620-166-XF</t>
  </si>
  <si>
    <t>KMX230414-111-XF</t>
  </si>
  <si>
    <t>青海祁连山水泥有限公司</t>
  </si>
  <si>
    <t>KMX230907-218-XF</t>
  </si>
  <si>
    <t>KMX230203-042-XF</t>
  </si>
  <si>
    <t>KMX230412-104-XF</t>
  </si>
  <si>
    <t>KMX230815-207-XF</t>
  </si>
  <si>
    <t>KMX230914-224-XF</t>
  </si>
  <si>
    <t>KMX211213-492-XF</t>
  </si>
  <si>
    <t>江苏鹤林水泥有限公司</t>
  </si>
  <si>
    <t>KMX230726-187-XF</t>
  </si>
  <si>
    <t>新疆宜化化工有限公司</t>
  </si>
  <si>
    <t>KMX230306-070-XF</t>
  </si>
  <si>
    <t>KMX230412-106-XF</t>
  </si>
  <si>
    <t>KMX230306-071-XF</t>
  </si>
  <si>
    <t>KMX221208-432-XF</t>
  </si>
  <si>
    <t>KMX230901-216-XF</t>
  </si>
  <si>
    <t>KMX230803-197-XF</t>
  </si>
  <si>
    <t>KMX221104-395-XF</t>
  </si>
  <si>
    <t>内蒙古万晨能源股份有限公司千峰水泥分公司</t>
  </si>
  <si>
    <t>KMX220105-009-XF</t>
  </si>
  <si>
    <t>张家港宏昌钢板有限公司</t>
  </si>
  <si>
    <t>KMX230208-048-XF</t>
  </si>
  <si>
    <t>吐鲁番天山水泥有限责任公司</t>
  </si>
  <si>
    <t>KMX211202-472-XF</t>
  </si>
  <si>
    <t>保山昆钢嘉华水泥建材有限公司</t>
  </si>
  <si>
    <t>KMX230916-226-XF</t>
  </si>
  <si>
    <t>KMX230414-113-XF</t>
  </si>
  <si>
    <t>KMX230523-148-XF</t>
  </si>
  <si>
    <t>KMX230414-112-XF</t>
  </si>
  <si>
    <t>亚泰集团哈尔滨水泥（阿城）有限公司</t>
  </si>
  <si>
    <t>KMX230703-176-XF</t>
  </si>
  <si>
    <t>国家电投集团山西铝业有限公司</t>
  </si>
  <si>
    <t>KMX221025-384-XF</t>
  </si>
  <si>
    <t>KMX210906-340-XF</t>
  </si>
  <si>
    <t>KMX230912-221-XF</t>
  </si>
  <si>
    <t>KMX230829-213-XF</t>
  </si>
  <si>
    <t>KMX230729-191-XF</t>
  </si>
  <si>
    <t>KMX230426-128-XF</t>
  </si>
  <si>
    <t>KMX230414-117-XF</t>
  </si>
  <si>
    <t>KMX230414-114-XF</t>
  </si>
  <si>
    <t>KMX230110-017-XF</t>
  </si>
  <si>
    <t>KMX230414-110-XF</t>
  </si>
  <si>
    <t>KMX230414-116-XF</t>
  </si>
  <si>
    <t>KMX230407-101-XF</t>
  </si>
  <si>
    <t>四川省广安桂兴水泥有限公司</t>
  </si>
  <si>
    <t>KMX181029-316-XF</t>
  </si>
  <si>
    <t>惠州市光大水泥企业有限公司</t>
  </si>
  <si>
    <t>KMX220916-350-XF</t>
  </si>
  <si>
    <t>KMX221215-441-XF</t>
  </si>
  <si>
    <t>KMX230725-185-XF</t>
  </si>
  <si>
    <t>汉中勉县尧柏水泥有限公司</t>
  </si>
  <si>
    <t>KMX230907-219-XF</t>
  </si>
  <si>
    <t>KMX230830-214-XF</t>
  </si>
  <si>
    <t>KMX230922-230-XF</t>
  </si>
  <si>
    <t>KMX230318-081-XF</t>
  </si>
  <si>
    <t>KMX230413-107-XF</t>
  </si>
  <si>
    <t>KMX230216-053-XF</t>
  </si>
  <si>
    <t>河南济源钢铁(集团）有限公司</t>
  </si>
  <si>
    <t>KMX231028-241-XF</t>
  </si>
  <si>
    <t>KMX231106-247-XF</t>
  </si>
  <si>
    <t>KMX231011-234-XF</t>
  </si>
  <si>
    <t>KMX230414-115-XF</t>
  </si>
  <si>
    <t>KMX230809-206-XF</t>
  </si>
  <si>
    <t>天瑞集团汝州水泥有限公司</t>
  </si>
  <si>
    <t>KMX230709-178-XF</t>
  </si>
  <si>
    <t>KMX211022-395-XF</t>
  </si>
  <si>
    <t>KMX230922-231-XF</t>
  </si>
  <si>
    <t>KMX230403-098-XF</t>
  </si>
  <si>
    <t>徐州中联水泥有限公司</t>
  </si>
  <si>
    <t>KMX231011-235-XF</t>
  </si>
  <si>
    <t>湘潭瑞通球团有限公司</t>
  </si>
  <si>
    <t>KMX231208-267-XF</t>
  </si>
  <si>
    <t>KMX231208-266-XF</t>
  </si>
  <si>
    <t>KMX231214-275-XF</t>
  </si>
  <si>
    <t>湖北六国化工股份有限公司</t>
  </si>
  <si>
    <t>KMX231014-237-XF</t>
  </si>
  <si>
    <t>KMX231003-232-XF</t>
  </si>
  <si>
    <t>KMX221207-429-XF</t>
  </si>
  <si>
    <t>武钢中冶工业技术服务有限公司</t>
  </si>
  <si>
    <t>KMX220621-252-XF</t>
  </si>
  <si>
    <t>四川筠连西南水泥有限公司</t>
  </si>
  <si>
    <t>KMX231029-242-XF</t>
  </si>
  <si>
    <t>KMX231120-253-XF</t>
  </si>
  <si>
    <t>湖北睿宸设备有限公司</t>
  </si>
  <si>
    <t>KMX231212-271-XF</t>
  </si>
  <si>
    <t>KMX230519-144-XF</t>
  </si>
  <si>
    <t>KMX231117-251-XF</t>
  </si>
  <si>
    <t>KMX231117-249-XF</t>
  </si>
  <si>
    <t>KMX231213-273-XF</t>
  </si>
  <si>
    <t>KMX231117-250-XF</t>
  </si>
  <si>
    <t>江苏沙钢钢铁有限公司</t>
  </si>
  <si>
    <t>KMX221220-443-XF</t>
  </si>
  <si>
    <t>广西金鲤水泥有限公司</t>
  </si>
  <si>
    <t>KMX230801-194-XF</t>
  </si>
  <si>
    <t>华润电力焦作有限公司</t>
  </si>
  <si>
    <t>KMX230520-145-XF</t>
  </si>
  <si>
    <t>KMX231215-276-XF</t>
  </si>
  <si>
    <t>贵州西能电力建设有限公司</t>
  </si>
  <si>
    <t>KMX220705-271-XF</t>
  </si>
  <si>
    <t>KMX230406-099-XF</t>
  </si>
  <si>
    <t>KMX230807-203-XF</t>
  </si>
  <si>
    <t>湖南骏泰新材料科技有限责任公司</t>
  </si>
  <si>
    <t>KMX230426-129-XF</t>
  </si>
  <si>
    <t>平泉冀东水泥有限责任公司</t>
  </si>
  <si>
    <t>KMX220228-120-XF</t>
  </si>
  <si>
    <t>涿鹿金隅水泥有限公司</t>
  </si>
  <si>
    <t>KMX211211-489-XF</t>
  </si>
  <si>
    <t>KMX220615-245-XF</t>
  </si>
  <si>
    <t>山东申丰水泥集团有限公司</t>
  </si>
  <si>
    <t>KMX221025-382-XF</t>
  </si>
  <si>
    <t>KMX231014-238-XF</t>
  </si>
  <si>
    <t>KMX230725-186-XF</t>
  </si>
  <si>
    <t>KMX231209-270-XF</t>
  </si>
  <si>
    <t>KMX230919-228-XF</t>
  </si>
  <si>
    <t>中冶武勘工程技术有限公司</t>
  </si>
  <si>
    <t>KMX240129-024-XF</t>
  </si>
  <si>
    <t>北京中燕建设工程有限公司</t>
  </si>
  <si>
    <t>KMX230225-061-XF</t>
  </si>
  <si>
    <t>KMX230831-215-XF</t>
  </si>
  <si>
    <t>KMX231208-264-XF</t>
  </si>
  <si>
    <t>KMX231120-254-XF</t>
  </si>
  <si>
    <t>KMX231120-255-XF</t>
  </si>
  <si>
    <t>KMX231108-248-XF</t>
  </si>
  <si>
    <t>天瑞集团郑州水泥有限公司</t>
  </si>
  <si>
    <t>KMX200618-116-XF</t>
  </si>
  <si>
    <t>KMX201212-340-XF</t>
  </si>
  <si>
    <t>武汉开明高新科技有限公司</t>
  </si>
  <si>
    <t>KMX240219-036-XF</t>
  </si>
  <si>
    <t>KMX231122-256-XF</t>
  </si>
  <si>
    <t>KMX230912-222-XF</t>
  </si>
  <si>
    <t>中材机电备件有限公司</t>
  </si>
  <si>
    <t>KMK240228-041-XF</t>
  </si>
  <si>
    <t>萍乡萍钢安源钢铁有限公司</t>
  </si>
  <si>
    <t>KMX231212-272-XF</t>
  </si>
  <si>
    <t>KMX220311-136-XF</t>
  </si>
  <si>
    <t>KMX210421-180-XF</t>
  </si>
  <si>
    <t>KMX211028-411-XF</t>
  </si>
  <si>
    <t>嘉峪关祁连山水泥有限公司</t>
  </si>
  <si>
    <t>KMX231102-245-XF</t>
  </si>
  <si>
    <t>KMX240130-028-XF</t>
  </si>
  <si>
    <t>KMX231102-244-XF</t>
  </si>
  <si>
    <t>KMX221209-433-XF</t>
  </si>
  <si>
    <t>陕西实丰水泥股份有限公司</t>
  </si>
  <si>
    <t>KMX240113-013-XF</t>
  </si>
  <si>
    <t>葛洲坝荆门水泥有限公司</t>
  </si>
  <si>
    <t>KMX220510-191-XF</t>
  </si>
  <si>
    <t>KMX230805-200-XF</t>
  </si>
  <si>
    <t>KMX231127-259-XF</t>
  </si>
  <si>
    <t>江西瑞金万年青水泥有限责任公司</t>
  </si>
  <si>
    <t>KMX240226-039-XF</t>
  </si>
  <si>
    <t>三门峡腾跃同力水泥有限公司</t>
  </si>
  <si>
    <t>KMX220419-170-XF</t>
  </si>
  <si>
    <t>KMX240215-032-XF</t>
  </si>
  <si>
    <t>内蒙古亿利冀东水泥有限责任公司</t>
  </si>
  <si>
    <t>KMX231226-278-XF</t>
  </si>
  <si>
    <t>KMX210908-347-XF</t>
  </si>
  <si>
    <t>KMX220118-035-XF</t>
  </si>
  <si>
    <t>天瑞新登郑州水泥有限公司</t>
  </si>
  <si>
    <t>KMX240229-043-XF</t>
  </si>
  <si>
    <t>为贷款开票可能需要冲红</t>
  </si>
  <si>
    <t>KMX231104-246-XF</t>
  </si>
  <si>
    <t>武汉京邦瑞机械设备有限公司</t>
  </si>
  <si>
    <t>KMX240308-046-XF-Z1</t>
  </si>
  <si>
    <t>KMX240126-022-XF</t>
  </si>
  <si>
    <t>重庆铜梁西南水泥有限公司</t>
  </si>
  <si>
    <t>KMX240102-001-XF</t>
  </si>
  <si>
    <t>KMX240108-009-XF</t>
  </si>
  <si>
    <t>KMX240110-011-XF</t>
  </si>
  <si>
    <t>武汉彤烨科技有限公司</t>
  </si>
  <si>
    <t>华新水泥（恩施）</t>
  </si>
  <si>
    <t>KMX211216-497-XF</t>
  </si>
  <si>
    <t>KMX240103-004-XF-Z1</t>
  </si>
  <si>
    <t>KMX240105-005-XF</t>
  </si>
  <si>
    <t>河南华润电力首阳山有限公司</t>
  </si>
  <si>
    <t>KMX240319-049-XF</t>
  </si>
  <si>
    <t>KMX240516-066-XF</t>
  </si>
  <si>
    <t>云南昆钢嘉华水泥建材有限公司</t>
  </si>
  <si>
    <t>KMX240304-044-XF</t>
  </si>
  <si>
    <t>KMX240125-021-XF</t>
  </si>
  <si>
    <t>KMX240103-003-XF</t>
  </si>
  <si>
    <t>KMX231209-269-XF</t>
  </si>
  <si>
    <t>KMX230128-033-XF</t>
  </si>
  <si>
    <t>KMX220624-257-XF</t>
  </si>
  <si>
    <t>KMX240326-050-XF</t>
  </si>
  <si>
    <t>四川省达州钢铁集团有限责任公司</t>
  </si>
  <si>
    <t>KMX231208-268-XF</t>
  </si>
  <si>
    <t>宜良红狮水泥有限公司</t>
  </si>
  <si>
    <t>KMX230330-094-XF</t>
  </si>
  <si>
    <t>宜城安达特种水泥有限公司</t>
  </si>
  <si>
    <t>KMX240523-068-XF</t>
  </si>
  <si>
    <t>KMX240218-035-XF</t>
  </si>
  <si>
    <t>KMX240226-040-XF</t>
  </si>
  <si>
    <t>桐庐红狮水泥有限公司</t>
  </si>
  <si>
    <t>KMX240104-005-XF</t>
  </si>
  <si>
    <t>KMX240129-025-XF</t>
  </si>
  <si>
    <t>KMX240430-060-XF</t>
  </si>
  <si>
    <t>KMX230407-100-XF</t>
  </si>
  <si>
    <t>KMX240202-031-XF</t>
  </si>
  <si>
    <t>KMX240220-038-XF</t>
  </si>
  <si>
    <t>KMX240115-014-XF</t>
  </si>
  <si>
    <t>KMX240218-034-XF</t>
  </si>
  <si>
    <t>KMX240118-016-XF</t>
  </si>
  <si>
    <t>KMX240706-080-XF</t>
  </si>
  <si>
    <t>KMX240218-033-XF</t>
  </si>
  <si>
    <t>KMX240229-042-XF</t>
  </si>
  <si>
    <t>富蕴天山水泥有限责任公司</t>
  </si>
  <si>
    <t>KMX231214-274-XF</t>
  </si>
  <si>
    <t>KMX240508-064-XF</t>
  </si>
  <si>
    <t>KMX240408-052-XF</t>
  </si>
  <si>
    <t>KMX221013-374-XF</t>
  </si>
  <si>
    <t>KMX240313-048-XF</t>
  </si>
  <si>
    <t>KMX231123-257-XF</t>
  </si>
  <si>
    <t>KMX230719-183-XF</t>
  </si>
  <si>
    <t>KMX220916-353-XF</t>
  </si>
  <si>
    <t>KMX240411-054-XF</t>
  </si>
  <si>
    <t>江西贵溪南方水泥有限公司</t>
  </si>
  <si>
    <t>KMX231023-240-XF</t>
  </si>
  <si>
    <t>开工&gt;开票</t>
  </si>
  <si>
    <t>KMX240103-002-XF</t>
  </si>
  <si>
    <t>KMX240109-010-XF</t>
  </si>
  <si>
    <t>岚丹</t>
  </si>
  <si>
    <t>亚泰集团哈尔滨水泥有限公司</t>
  </si>
  <si>
    <t>KMX240730-088-XF</t>
  </si>
  <si>
    <t>KMX240112-012-XF</t>
  </si>
  <si>
    <t>KMX231208-265-XF</t>
  </si>
  <si>
    <t>KMX231009-233-XF</t>
  </si>
  <si>
    <t>KMX230612-159-XF</t>
  </si>
  <si>
    <t>KMX240513-065-XF</t>
  </si>
  <si>
    <t>应城市新都化工有限责任公司</t>
  </si>
  <si>
    <t>KMX231201-261-XF</t>
  </si>
  <si>
    <t>湖北亚东水泥有限公司</t>
  </si>
  <si>
    <t>KMX240430-061-XF</t>
  </si>
  <si>
    <t>KMX240429-059-XF</t>
  </si>
  <si>
    <t>KMX240729-086-XF、KMX240905-094-XF</t>
  </si>
  <si>
    <t>戚亮（个人）</t>
  </si>
  <si>
    <t>KMX240708-081-XF</t>
  </si>
  <si>
    <t>澜沧三环建材有限公司</t>
  </si>
  <si>
    <t>KMX240705-079-XF</t>
  </si>
  <si>
    <t>喀什红旗水泥有限责任公司</t>
  </si>
  <si>
    <t>KMX211028-410-XF</t>
  </si>
  <si>
    <t>KMX240130-027-XF</t>
  </si>
  <si>
    <t>山东泰山钢铁集团有限公司</t>
  </si>
  <si>
    <t>KMX240328-051-XF</t>
  </si>
  <si>
    <t>华润水泥（平南）有限公司</t>
  </si>
  <si>
    <t>KMX221202-423-XF</t>
  </si>
  <si>
    <t>湖北开明高新科技有限公司</t>
  </si>
  <si>
    <t>KMX240813-091-XF</t>
  </si>
  <si>
    <t>唐山冀东水泥股份有限公司唐山分公司</t>
  </si>
  <si>
    <t>KMX230307-072-XF</t>
  </si>
  <si>
    <t>武汉吉如环保工程有限公司</t>
  </si>
  <si>
    <t>唐山重装冶金工程技术有限公司</t>
  </si>
  <si>
    <t>尼勒克县瑞祥焦化有限责任公司</t>
  </si>
  <si>
    <t>KMX240105-007-XF</t>
  </si>
  <si>
    <t>河钢股份有限公司邯郸分公司</t>
  </si>
  <si>
    <t>KMX220815-320-XF</t>
  </si>
  <si>
    <t>十堰同创精密机械有限公司</t>
  </si>
  <si>
    <t>KMX240729-085-XF</t>
  </si>
  <si>
    <t>中国-阿拉伯化肥有限公司</t>
  </si>
  <si>
    <t>KMX240505-062-XF</t>
  </si>
  <si>
    <t>KMX240129-023-XF</t>
  </si>
  <si>
    <t>KMX230915-225-XF</t>
  </si>
  <si>
    <t>KMX240918-096-XF</t>
  </si>
  <si>
    <t>张家港市联泰科技有限公司</t>
  </si>
  <si>
    <t>KMX231018-239-XF</t>
  </si>
  <si>
    <t>KMX240725-084-XF</t>
  </si>
  <si>
    <t>湖北岚丹建设工程有限公司</t>
  </si>
  <si>
    <t>广西都安西江鱼峰水泥有限公司</t>
  </si>
  <si>
    <t>KMX230731-193-XF</t>
  </si>
  <si>
    <t>KMX240524-070-XF</t>
  </si>
  <si>
    <t>KMX240507-063-XF</t>
  </si>
  <si>
    <t>KMX240807-090-XF</t>
  </si>
  <si>
    <t>KMX240424-057-XF</t>
  </si>
  <si>
    <t>KMX230731-192-XF</t>
  </si>
  <si>
    <t>KMX240927-098-XF</t>
  </si>
  <si>
    <t>韩进梅（个人）</t>
  </si>
  <si>
    <t>买依维柯</t>
  </si>
  <si>
    <t>KMX240122-019-XF</t>
  </si>
  <si>
    <t>KMX240625-075-XF</t>
  </si>
  <si>
    <t>王先梅</t>
  </si>
  <si>
    <t>宁都县赣锋锂业有限公司</t>
  </si>
  <si>
    <t>KMX240118-017-XF</t>
  </si>
  <si>
    <t>KMX230816-208-XF</t>
  </si>
  <si>
    <t>KMX240930-099-XF</t>
  </si>
  <si>
    <t>KMX240930-101-XF</t>
  </si>
  <si>
    <t>KMX240930-100-XF</t>
  </si>
  <si>
    <t>巴合提开勒得·吾莫尔霍加</t>
  </si>
  <si>
    <t>KMX170317-071-JX</t>
  </si>
  <si>
    <t>湖南省嘉禾县南岭水泥有限公司</t>
  </si>
  <si>
    <t>KMX220609-235-XF</t>
  </si>
  <si>
    <t>鄂州凯瑞德科技有限公司</t>
  </si>
  <si>
    <t>KMX231124-258-XF</t>
  </si>
  <si>
    <t>厦工（三明）重型机器有限公司</t>
  </si>
  <si>
    <t>KMX241210-109-XF</t>
  </si>
  <si>
    <t>KMX250103-001-XF</t>
  </si>
  <si>
    <t>宁鹏</t>
  </si>
  <si>
    <t>中盐内蒙古化工股份有限公司盐碱分公司</t>
  </si>
  <si>
    <t>KMX241218-112-XF</t>
  </si>
  <si>
    <t>KMX240729-087-XF</t>
  </si>
  <si>
    <t>KMX241225-116-XF</t>
  </si>
  <si>
    <t>日钢营口中板有限公司</t>
  </si>
  <si>
    <t>KMX240117-015-XF</t>
  </si>
  <si>
    <t>KMX210908-347-XF/KMX220118-035-XF</t>
  </si>
  <si>
    <t>中材亨达水泥有限公司</t>
  </si>
  <si>
    <t>KMX241022-102-XF</t>
  </si>
  <si>
    <t>河南阿尔法工程材料有限公司</t>
  </si>
  <si>
    <t>KMX220214-088-XF</t>
  </si>
  <si>
    <t xml:space="preserve">武汉 </t>
  </si>
  <si>
    <t>KMX2503012-017-XF</t>
  </si>
  <si>
    <t>黄冈亚东水泥有限公司</t>
  </si>
  <si>
    <t>KMX250325-023-XF</t>
  </si>
  <si>
    <t>武汉美腾斯科技有限公司</t>
  </si>
  <si>
    <t>KMX220801-299-XF</t>
  </si>
  <si>
    <t>KMX241219-113-XF</t>
  </si>
  <si>
    <t>KMX241223-114-XF</t>
  </si>
  <si>
    <t>KMX250325-024-XF</t>
  </si>
  <si>
    <t>KMX250121-005-XF</t>
  </si>
  <si>
    <t>新余市汇益信新型材料有限公司</t>
  </si>
  <si>
    <t>KMX250225-011-XF</t>
  </si>
  <si>
    <t>KMX2503010-015-XF</t>
  </si>
  <si>
    <t>KMX231205-263-XF</t>
  </si>
  <si>
    <t>张荣洁（个人）</t>
  </si>
  <si>
    <t>巴彦淖尔中联水泥有限公司</t>
  </si>
  <si>
    <t>KMX240708-082-XF</t>
  </si>
  <si>
    <t>湖北能源集团鄂州发电有限公司</t>
  </si>
  <si>
    <t>KMX231222-277-XF</t>
  </si>
  <si>
    <t>KMX250205-006-XF</t>
  </si>
  <si>
    <t>KMX250422-030</t>
  </si>
  <si>
    <t>KMX230802-196-XF</t>
  </si>
  <si>
    <t>武汉增补</t>
  </si>
  <si>
    <t>KMX230919-227-XF</t>
  </si>
  <si>
    <t>KMX240802-089-XF</t>
  </si>
  <si>
    <t>安徽皖维高新材料股份有限公司</t>
  </si>
  <si>
    <t>KMX2503010-016-XF</t>
  </si>
  <si>
    <t>KMX250121-004-XF</t>
  </si>
  <si>
    <t>KMX241230-117-XF</t>
  </si>
  <si>
    <t>KMX231127-260-XF</t>
  </si>
  <si>
    <t>KMX250421-029</t>
  </si>
  <si>
    <t>KMX250613-045</t>
  </si>
  <si>
    <t>河南晋开化工投资控股集团有限责任公司</t>
  </si>
  <si>
    <t>KMX250109-002-XF</t>
  </si>
  <si>
    <t>KMX2503024-022-XF</t>
  </si>
  <si>
    <t>KMX250508-036</t>
  </si>
  <si>
    <t>KMX231202-262-XF</t>
  </si>
  <si>
    <t>KMX250429-033</t>
  </si>
  <si>
    <t>葛洲坝兴山水泥有限公司</t>
  </si>
  <si>
    <t>KMX210929-369-XF</t>
  </si>
  <si>
    <t>KMX250505-034</t>
  </si>
  <si>
    <t>江西晶昊盐化有限公司</t>
  </si>
  <si>
    <t>KMX250620-051</t>
  </si>
  <si>
    <t>KMX250813-066</t>
  </si>
  <si>
    <t>KMX250506-035</t>
  </si>
  <si>
    <t>广安昌兴水泥有限公司</t>
  </si>
  <si>
    <t>KMX250701-055</t>
  </si>
  <si>
    <t>KMX250618-046</t>
  </si>
  <si>
    <t>KMX250618-047</t>
  </si>
  <si>
    <t>KMX250304-013-XF</t>
  </si>
  <si>
    <t>KMX241129-107-XF</t>
  </si>
  <si>
    <t>KMX250512-037</t>
  </si>
  <si>
    <t>曲阳金隅水泥有限公司</t>
  </si>
  <si>
    <t>KMX250520-038</t>
  </si>
  <si>
    <t>KMX250529-040</t>
  </si>
  <si>
    <t>KMX241112-104-XF</t>
  </si>
  <si>
    <t>KMX250423-031</t>
  </si>
  <si>
    <t>KMX2503014-018-XF</t>
  </si>
  <si>
    <t>KMX250618-049</t>
  </si>
  <si>
    <t>KMX250618-048</t>
  </si>
  <si>
    <t>大同市云中水泥有限责任公司</t>
  </si>
  <si>
    <t>KMX2025918-070</t>
  </si>
  <si>
    <t>KMX230103-007-XF</t>
  </si>
  <si>
    <t>KMX2503018-019-XF</t>
  </si>
  <si>
    <t>KMX250701-054</t>
  </si>
  <si>
    <t>KMX2025911-069</t>
  </si>
  <si>
    <t>KMX241224-115-XF</t>
  </si>
  <si>
    <t>北京众德友邦工程技术有限公司</t>
  </si>
  <si>
    <t>KMX250328-025-XF</t>
  </si>
  <si>
    <t>KMX250423-032</t>
  </si>
  <si>
    <t>多门朗技术（武汉）有限公司</t>
  </si>
  <si>
    <t>KMX2025930 -072</t>
  </si>
  <si>
    <t>KMX250416-027-XF</t>
  </si>
  <si>
    <t>江苏唐电</t>
  </si>
  <si>
    <t>KMX250210-008-XF</t>
  </si>
  <si>
    <t>KMX250624-052</t>
  </si>
  <si>
    <t>黄石成美建材有限公司</t>
  </si>
  <si>
    <t>KMX230221-057-XF</t>
  </si>
  <si>
    <t>KMX250114-003-XF</t>
  </si>
  <si>
    <t>莱芜钢铁集团银山型钢有限公司</t>
  </si>
  <si>
    <t>KMX250220-010-XF</t>
  </si>
  <si>
    <t>KMX2503018-020-XF</t>
  </si>
  <si>
    <t>KMX241217-111-XF</t>
  </si>
  <si>
    <t>中盐内蒙古建材有限公司</t>
  </si>
  <si>
    <t>KMX250530-041</t>
  </si>
  <si>
    <t>国电投（山西）铝业有限公司</t>
  </si>
  <si>
    <t>KMX240621-073-XF</t>
  </si>
  <si>
    <t>普票</t>
  </si>
  <si>
    <t>内蒙古宜化化工有限公司</t>
  </si>
  <si>
    <t>KMX250711-057</t>
  </si>
  <si>
    <t>阜阳皖润电力有限公司</t>
  </si>
  <si>
    <t>KMX2025101 - 073</t>
  </si>
  <si>
    <t>KMX250821-067</t>
  </si>
  <si>
    <t>KMX250528-039</t>
  </si>
  <si>
    <t>KMX250806 -065</t>
  </si>
  <si>
    <t>内蒙古君正化工有限责任公司水泥分公司</t>
  </si>
  <si>
    <t>KMX250721-060</t>
  </si>
  <si>
    <t>西安柏通建筑安装工程有限公司</t>
  </si>
  <si>
    <t>KMX240220-037-XF</t>
  </si>
  <si>
    <t>KMX250606-042</t>
  </si>
  <si>
    <t>KMX20251018-076</t>
  </si>
  <si>
    <t>KMX240701-076-XF</t>
  </si>
  <si>
    <t>江苏金峰水泥集团有限公司</t>
  </si>
  <si>
    <t>KMX20251017-075</t>
  </si>
  <si>
    <t>KMX250307-014-XF</t>
  </si>
  <si>
    <t>KMX240604-071-XF</t>
  </si>
  <si>
    <t>KMX250419-028</t>
  </si>
  <si>
    <t>合同号</t>
  </si>
  <si>
    <t>四川省二郎山喇叭河水泥有限公司</t>
  </si>
  <si>
    <t>河北新金钢铁有限公司</t>
  </si>
  <si>
    <t>英德市英马水泥有限公司</t>
  </si>
  <si>
    <t>甘肃永固特种水泥有限公司</t>
  </si>
  <si>
    <t>登电集团水泥有限公司</t>
  </si>
  <si>
    <t>KMX210623-247-XF</t>
  </si>
  <si>
    <t>KMX210719-280-XF</t>
  </si>
  <si>
    <t>河源市金杰环保建材有限公司</t>
  </si>
  <si>
    <t>KMX220119-051-XF</t>
  </si>
  <si>
    <t>福建省永安万年水泥有限公司</t>
  </si>
  <si>
    <t>KMX180305-085-XF</t>
  </si>
  <si>
    <t>KMX170124-024-XF</t>
  </si>
  <si>
    <t>KMX230914-223-XF</t>
  </si>
  <si>
    <t>KMX221108-399-XF</t>
  </si>
  <si>
    <t>绥江县永固水泥有限责任公司</t>
  </si>
  <si>
    <t>KMX211223-511-XF</t>
  </si>
  <si>
    <t>KMX240611-072-XF</t>
  </si>
  <si>
    <t>KMX220112-021-XF</t>
  </si>
  <si>
    <t>KMX210426-185-XF</t>
  </si>
  <si>
    <t>KMX200608-109-XF</t>
  </si>
  <si>
    <t>KMX220306-129-XF</t>
  </si>
  <si>
    <t>四川德阳创璟建材有限公司</t>
  </si>
  <si>
    <t>青海众信建筑安装有限公司</t>
  </si>
  <si>
    <t>KMX240815-092-XF</t>
  </si>
  <si>
    <t>湖南常德南方水泥有限公司</t>
  </si>
  <si>
    <t>KMX200120-036-XF</t>
  </si>
  <si>
    <t>KMX220217-097-XF</t>
  </si>
  <si>
    <t>中材安徽水泥有限公司</t>
  </si>
  <si>
    <t>KMX220427-181-XF</t>
  </si>
  <si>
    <t>湖南金山水泥有限公司</t>
  </si>
  <si>
    <t>KMX211019-388-XF</t>
  </si>
  <si>
    <t>承德金隅水泥有限责任公司</t>
  </si>
  <si>
    <t>KMX211115-442-XF</t>
  </si>
  <si>
    <t>KMX200318-052-XF</t>
  </si>
  <si>
    <t>中国阿拉伯化肥有限公司</t>
  </si>
  <si>
    <t>KMX240729-086-XF</t>
  </si>
  <si>
    <t>重庆綦江西南水泥有限公司</t>
  </si>
  <si>
    <t>KMX210130-060-XF</t>
  </si>
  <si>
    <t>河南锦荣水泥有限公司</t>
  </si>
  <si>
    <t>KMX211211-488-XF</t>
  </si>
  <si>
    <t>张家港宏昌钢板有限公司（江苏沙钢）</t>
  </si>
  <si>
    <t>KMX220112-022-XF</t>
  </si>
  <si>
    <t>甘肃京兰水泥有限公司</t>
  </si>
  <si>
    <t>KMX221104-394-XF</t>
  </si>
  <si>
    <t>KMX201221-356-XF</t>
  </si>
  <si>
    <t>KMX210302-118-XF</t>
  </si>
  <si>
    <t>KMX161103-218-NM</t>
  </si>
  <si>
    <t>KMX250210-009-XF</t>
  </si>
  <si>
    <t>KMX211115-443-XF</t>
  </si>
  <si>
    <t>KMX211223-512-XF</t>
  </si>
  <si>
    <t>KMX210921-363-XF</t>
  </si>
  <si>
    <t>湖南韶峰南方水泥有限公司</t>
  </si>
  <si>
    <t>贵州资兆建材有限公司</t>
  </si>
  <si>
    <t>KMX201227-364-XF</t>
  </si>
  <si>
    <t>湖北京兰水泥集团有限公司（永兴分公司）</t>
  </si>
  <si>
    <t>KMX210720-281-XF</t>
  </si>
  <si>
    <t>KMX160226-57-NM</t>
  </si>
  <si>
    <t>内乡县万基水泥有限公司</t>
  </si>
  <si>
    <t>KMX210828-331-XF</t>
  </si>
  <si>
    <t>池州恒鑫材料科技有限公司</t>
  </si>
  <si>
    <t>KMX250721-061</t>
  </si>
  <si>
    <t>KMX190805-289-XF</t>
  </si>
  <si>
    <t>KMX160928-199-NM</t>
  </si>
  <si>
    <t>合同日期</t>
  </si>
  <si>
    <t>账龄基准日</t>
  </si>
  <si>
    <t>账龄天数</t>
  </si>
  <si>
    <t>账龄桶</t>
  </si>
  <si>
    <t>未回款</t>
  </si>
  <si>
    <t>未开票金额</t>
  </si>
  <si>
    <t>新疆阿克苏青松建化公司</t>
  </si>
  <si>
    <t>KMX071008-197</t>
  </si>
  <si>
    <t>365+</t>
  </si>
  <si>
    <t>四会市骏马水泥有限公司</t>
  </si>
  <si>
    <t>KMX080909-077</t>
  </si>
  <si>
    <t>山东康达水泥有限公司</t>
  </si>
  <si>
    <t>KMX081010-085</t>
  </si>
  <si>
    <t>湖北金龙新材料股份有限公司</t>
  </si>
  <si>
    <t>KMX080807-176</t>
  </si>
  <si>
    <t>哈尔滨金山实业集团有限公司</t>
  </si>
  <si>
    <t>KMX091120-177</t>
  </si>
  <si>
    <t>南阳市天泰水泥有限公司</t>
  </si>
  <si>
    <t>KMX091123-151</t>
  </si>
  <si>
    <t>KMX100612-029</t>
  </si>
  <si>
    <t>山东金塔王股份有限公司</t>
  </si>
  <si>
    <t>KMX101027-079</t>
  </si>
  <si>
    <t>普定明达水泥有限公司</t>
  </si>
  <si>
    <t>KMX101223-006</t>
  </si>
  <si>
    <t>江西玉山南方水泥有限公司</t>
  </si>
  <si>
    <t>KMX110106-090</t>
  </si>
  <si>
    <t>KMX110209-162</t>
  </si>
  <si>
    <t>KMX110530-153</t>
  </si>
  <si>
    <t>河南省安阳湖波水泥有限责任公司</t>
  </si>
  <si>
    <t>KMX110818-258</t>
  </si>
  <si>
    <t>大唐华银金竹山火力发电分公司</t>
  </si>
  <si>
    <t>KMX110905-069</t>
  </si>
  <si>
    <t>江西泰和南方水泥有限公司</t>
  </si>
  <si>
    <t>KMX110922-076</t>
  </si>
  <si>
    <t>益阳市东方水泥有限公司</t>
  </si>
  <si>
    <t>KMX111025-047</t>
  </si>
  <si>
    <t>云南红塔滇西水泥股份有限公司</t>
  </si>
  <si>
    <t>KMX111025-244</t>
  </si>
  <si>
    <t>朝阳兰凌水泥有限公司</t>
  </si>
  <si>
    <t>KMX111101-237-《1》</t>
  </si>
  <si>
    <t>KMX120116-022</t>
  </si>
  <si>
    <t>KMX120408-061</t>
  </si>
  <si>
    <t>大同市云中有水泥限责任公司</t>
  </si>
  <si>
    <t>KMX120429-071</t>
  </si>
  <si>
    <t>KMX120512-085</t>
  </si>
  <si>
    <t>KMX120621-118</t>
  </si>
  <si>
    <t>库车天山水泥有限责任公司</t>
  </si>
  <si>
    <t>KMX130224-048</t>
  </si>
  <si>
    <t>KMX130224-050</t>
  </si>
  <si>
    <t>湖北宜化集团楚星化工股份有限公司（更名为：湖北大江化工集团有限公司）</t>
  </si>
  <si>
    <t>KMX130305-056</t>
  </si>
  <si>
    <t>重庆拉法基水泥有限公司</t>
  </si>
  <si>
    <t>KMX131205-255</t>
  </si>
  <si>
    <t>四川泸定山盛水泥有限公司</t>
  </si>
  <si>
    <t>KMX140111-011</t>
  </si>
  <si>
    <t>河南隆鑫水泥有限责任公司</t>
  </si>
  <si>
    <t>KMX140122-028</t>
  </si>
  <si>
    <t>宁波科环新型建材股份有限公司</t>
  </si>
  <si>
    <t>KMX140327-066</t>
  </si>
  <si>
    <t>KMX140422-084</t>
  </si>
  <si>
    <t>KMX140518-098</t>
  </si>
  <si>
    <t>四川洪雅西南水泥有限公司</t>
  </si>
  <si>
    <t>KMX140815-169</t>
  </si>
  <si>
    <t>KMX141117-220</t>
  </si>
  <si>
    <t>台泥(怀化)水泥有限公司（原名湖南金大地材料股份有限公司）</t>
  </si>
  <si>
    <t>KMX150127-030</t>
  </si>
  <si>
    <t>芒市西南水泥有限公司</t>
  </si>
  <si>
    <t>KMX150202-034</t>
  </si>
  <si>
    <t>湖南印山实业集团印山台水泥有限公司</t>
  </si>
  <si>
    <t>KMX150321-076-XF</t>
  </si>
  <si>
    <t>莱芜市双盛机械制造有限公司</t>
  </si>
  <si>
    <t>KMX150602-118-CL</t>
  </si>
  <si>
    <t>锦州三鸽水泥制造有限公司</t>
  </si>
  <si>
    <t>KMX150901-167-XF</t>
  </si>
  <si>
    <t>KMX160128-24-XF</t>
  </si>
  <si>
    <t>KMX160222-50-XF</t>
  </si>
  <si>
    <t>信阳豫信轧钢实业有限公司(安钢集团信阳钢铁)</t>
  </si>
  <si>
    <t>KMX160507-91-XF</t>
  </si>
  <si>
    <t>张家港恒乐新型建筑材料有限公司（江苏沙钢）</t>
  </si>
  <si>
    <t>KMX160719-142-CL</t>
  </si>
  <si>
    <t>KMX160824-171-XF</t>
  </si>
  <si>
    <t>KMX161107-222-XF</t>
  </si>
  <si>
    <t>KMX161201-232-JX</t>
  </si>
  <si>
    <t>天瑞集团南召水泥有限公司</t>
  </si>
  <si>
    <t>KMX161214-238-XF</t>
  </si>
  <si>
    <t>山西恒达能源集团有限公司</t>
  </si>
  <si>
    <t>KMX170109-002-XF</t>
  </si>
  <si>
    <t>会东利森水泥有限公司</t>
  </si>
  <si>
    <t>辽宁辽塔集团水泥有限公司（更改为辽阳天瑞辽塔水泥有限公司）</t>
  </si>
  <si>
    <t>KMX170220-051-XF</t>
  </si>
  <si>
    <t>KMX170304-061-XF</t>
  </si>
  <si>
    <t>KMX170331-073-XF</t>
  </si>
  <si>
    <t>云南祥云飞龙再生科技股份有限公司</t>
  </si>
  <si>
    <t>KMX170410-080-XF</t>
  </si>
  <si>
    <t>辽宁富山水泥有限公司</t>
  </si>
  <si>
    <t>KMX170507-100-XF</t>
  </si>
  <si>
    <t>KMX170619-136-XF</t>
  </si>
  <si>
    <t>KMX170626-143-XF</t>
  </si>
  <si>
    <t>扎兰屯市龙北水泥有限公司</t>
  </si>
  <si>
    <t>KMX170722-165-XF</t>
  </si>
  <si>
    <t>KMX170726-169-XF</t>
  </si>
  <si>
    <t>昭通昆钢嘉华水泥建材有限公司</t>
  </si>
  <si>
    <t>KMX170829-201-XF</t>
  </si>
  <si>
    <t>河北承大建材有限公司</t>
  </si>
  <si>
    <t>KMX170919-221-XF</t>
  </si>
  <si>
    <t>泰山中联水泥有限公司</t>
  </si>
  <si>
    <t>KMX171120-261-XF</t>
  </si>
  <si>
    <t>西安柏通建筑安装工程有限公司（原名西安蓝田尧柏水泥有限公司)</t>
  </si>
  <si>
    <t>KMX180117-018-XF</t>
  </si>
  <si>
    <t>KMX180207-050-XF</t>
  </si>
  <si>
    <t>KMX180224-077-XF</t>
  </si>
  <si>
    <t>云南永保特种水泥有限责任公司</t>
  </si>
  <si>
    <t>KMX180227-081-XF</t>
  </si>
  <si>
    <t>KMX180419-126-XF</t>
  </si>
  <si>
    <t>逸盛大化石化有限公司</t>
  </si>
  <si>
    <t>KMX180515-150-XF</t>
  </si>
  <si>
    <t>KMX180525-163-XF</t>
  </si>
  <si>
    <t>KMX180607-171-XF</t>
  </si>
  <si>
    <t>KMX180626-197-XF</t>
  </si>
  <si>
    <t>KMX180803-239-XF</t>
  </si>
  <si>
    <t>KMX180807-247-XF</t>
  </si>
  <si>
    <t>江苏沙钢集团有限公司</t>
  </si>
  <si>
    <t>KMX180815-256-XF</t>
  </si>
  <si>
    <t>KMX180819-261-XF</t>
  </si>
  <si>
    <t>昭通得云建材有限责任公司</t>
  </si>
  <si>
    <t>KMX180827-271-XF</t>
  </si>
  <si>
    <t>KMX181101-320-XF</t>
  </si>
  <si>
    <t>KMX181112-325-XF</t>
  </si>
  <si>
    <t>KMX181127-343-XF</t>
  </si>
  <si>
    <t>KMX181207-356-XF</t>
  </si>
  <si>
    <t>KMX181216-373-XF</t>
  </si>
  <si>
    <t>江西永丰南方水泥有限公司</t>
  </si>
  <si>
    <t>KMX190103-004-XF</t>
  </si>
  <si>
    <t>KMX190104-008-XF</t>
  </si>
  <si>
    <t>KMX190108-015-XF</t>
  </si>
  <si>
    <t>智海企业集团榆次水泥有限公司</t>
  </si>
  <si>
    <t>KMX190119-037-XF</t>
  </si>
  <si>
    <t>KMX190130-058-XF</t>
  </si>
  <si>
    <t>拉法基瑞安（红河）水泥有限公司（云南国资水泥红河有限公司）变更华新水泥（红河）有限公司</t>
  </si>
  <si>
    <t>KMX190201-076-XF</t>
  </si>
  <si>
    <t>华润水泥（贵港）有限公司</t>
  </si>
  <si>
    <t>KMX190220-096-XF</t>
  </si>
  <si>
    <t>长治县三元王庄华泰水泥有限公司</t>
  </si>
  <si>
    <t>KMX190223-099-XF</t>
  </si>
  <si>
    <t>敬业钢铁有限公司</t>
  </si>
  <si>
    <t>KMX190227-107-XF</t>
  </si>
  <si>
    <t>KMX190311-120-XF</t>
  </si>
  <si>
    <t>KMX190312-122-XF</t>
  </si>
  <si>
    <t>KMX190321-137-XF</t>
  </si>
  <si>
    <t>KMX190325-144-XF</t>
  </si>
  <si>
    <t>KMX190428-179-XF</t>
  </si>
  <si>
    <t>KMX190614-226-XF</t>
  </si>
  <si>
    <t>湖南远大水泥有限公司（合同签订：株洲市兴安贸易有限公司）</t>
  </si>
  <si>
    <t>KMX190622-234-XF</t>
  </si>
  <si>
    <t>KMX190629-242-XF</t>
  </si>
  <si>
    <t>四川省绵竹澳东水泥有限责任公司</t>
  </si>
  <si>
    <t>KMX190701-244-XF</t>
  </si>
  <si>
    <t>KMX190703-246-XF</t>
  </si>
  <si>
    <t>云南中瑞（集团）建材有限公司（原名：云南省易门县中瑞（集团）建材有限公司）</t>
  </si>
  <si>
    <t>KMX190711-256-XF</t>
  </si>
  <si>
    <t>玉溪新平永发新型建材有限公司（元江县永发水泥有限公司）</t>
  </si>
  <si>
    <t>青海盐湖海纳化工有限公司</t>
  </si>
  <si>
    <t>KMX190820-310-XF</t>
  </si>
  <si>
    <t>KMX190820-312-XF</t>
  </si>
  <si>
    <t>KMX190823-316-XF</t>
  </si>
  <si>
    <t>KMX190922-344-XF</t>
  </si>
  <si>
    <t>KMX190922-345-XF</t>
  </si>
  <si>
    <t>辛集市澳森钢铁有限公司</t>
  </si>
  <si>
    <t>KMX190928-353-XF</t>
  </si>
  <si>
    <t>KMX191018-377-XF</t>
  </si>
  <si>
    <t>KMX200109-011-XF</t>
  </si>
  <si>
    <t>内乡宝天曼水泥有限公司</t>
  </si>
  <si>
    <t>KMX200417-068-XF</t>
  </si>
  <si>
    <t>宿州泉兴相山水泥有限公司</t>
  </si>
  <si>
    <t>KMX200601-105-XF</t>
  </si>
  <si>
    <t>襄汾县星原集团水泥建材有限公司</t>
  </si>
  <si>
    <t>KMX200625-123-XF</t>
  </si>
  <si>
    <t>华新水泥（长阳）有限公司</t>
  </si>
  <si>
    <t>KMX200711-138-XF</t>
  </si>
  <si>
    <t>KMX200725-161-XF</t>
  </si>
  <si>
    <t>KMX200905-215-XF</t>
  </si>
  <si>
    <t>贵州水晶有机化工（集团）有限公司苗岭建材分公司</t>
  </si>
  <si>
    <t>KMX200924-236-XF</t>
  </si>
  <si>
    <t>彭水县茂田能源开发有限公司</t>
  </si>
  <si>
    <t>KMX201003-243-XF</t>
  </si>
  <si>
    <t>通辽中联虹祥水泥有限公司</t>
  </si>
  <si>
    <t>KMX201014-253-XF</t>
  </si>
  <si>
    <t>唐河泰隆水泥有限公司</t>
  </si>
  <si>
    <t>KMX201018-255-XF</t>
  </si>
  <si>
    <t>贵州瑞溪水泥发展有限公司</t>
  </si>
  <si>
    <t>KMX201023-268-XF</t>
  </si>
  <si>
    <t>KMX201028-277-XF</t>
  </si>
  <si>
    <t>KMX201122-313-XF</t>
  </si>
  <si>
    <t>茂名市威联建材有限公司</t>
  </si>
  <si>
    <t>KMX201201-320-XF</t>
  </si>
  <si>
    <t>甘肃三易水泥有限责任公司</t>
  </si>
  <si>
    <t>KMX201223-358-XF</t>
  </si>
  <si>
    <t>KMX201230-369-XF</t>
  </si>
  <si>
    <t>贵州兴义西南水泥有限公司</t>
  </si>
  <si>
    <t>KMX210110-011-XF</t>
  </si>
  <si>
    <t>KMX210113-014-XF</t>
  </si>
  <si>
    <t>陕西金龙水泥有限公司</t>
  </si>
  <si>
    <t>KMX210201-062-XF</t>
  </si>
  <si>
    <t>KMX210201-065-XF</t>
  </si>
  <si>
    <t>贵州金久水泥有限公司</t>
  </si>
  <si>
    <t>KMX210201-068-XF</t>
  </si>
  <si>
    <t>四川省广安腾飞华峰水泥有限公司（合同签定：广安腾飞集团有限公司）</t>
  </si>
  <si>
    <t>KMX210201-076-XF</t>
  </si>
  <si>
    <t>四川泰昌建材集团有限公司</t>
  </si>
  <si>
    <t>KMX210206-092-XF</t>
  </si>
  <si>
    <t>山东誉腾水泥集团有限公司朔州分公司（山阴炫昂建材有限公司）</t>
  </si>
  <si>
    <t>KMX210208-095-XF</t>
  </si>
  <si>
    <t>山东崇正特种水泥有限公司</t>
  </si>
  <si>
    <t>KMX210224-110-XF</t>
  </si>
  <si>
    <t>KMX210301-115-XF</t>
  </si>
  <si>
    <t>KMX210304-122-XF</t>
  </si>
  <si>
    <t>重庆天助水泥（集团）有限公司</t>
  </si>
  <si>
    <t>KMX210306-124-XF</t>
  </si>
  <si>
    <t>吉林省天茂特种水泥有限公司</t>
  </si>
  <si>
    <t>KMX210308-126-XF</t>
  </si>
  <si>
    <t>KMX210312-133-XF</t>
  </si>
  <si>
    <t>KMX210403-165-XF</t>
  </si>
  <si>
    <t>KMX210410-170-XF</t>
  </si>
  <si>
    <t>KMX210518-203-XF</t>
  </si>
  <si>
    <t>KMX210526-208-XF</t>
  </si>
  <si>
    <t>KMX210620-242-XF</t>
  </si>
  <si>
    <t>KMX210627-251-XF</t>
  </si>
  <si>
    <t>KMX210708-265-XF</t>
  </si>
  <si>
    <t>KMX210709-267-XF</t>
  </si>
  <si>
    <t>KMX210713-272-XF</t>
  </si>
  <si>
    <t>KMX210719-278-XF</t>
  </si>
  <si>
    <t>KMX210810-310-XF</t>
  </si>
  <si>
    <t>华新水泥重庆涪陵有限公司</t>
  </si>
  <si>
    <t>KMX210823-324-XF</t>
  </si>
  <si>
    <t>KMX210830-332-XF</t>
  </si>
  <si>
    <t>KMX210914-355-XF</t>
  </si>
  <si>
    <t>四川利森建材集团有限公司罗江分公司</t>
  </si>
  <si>
    <t>KMX211104-427-XF</t>
  </si>
  <si>
    <t>华润水泥（上思）有限公司</t>
  </si>
  <si>
    <t>KMX211106-429-XF</t>
  </si>
  <si>
    <t>KMX211117-448-XF</t>
  </si>
  <si>
    <t>KMX211120-455-XF</t>
  </si>
  <si>
    <t>KMX211129-465-XF</t>
  </si>
  <si>
    <t>KMX211202-473-XF</t>
  </si>
  <si>
    <t>冀东海德堡（扶风）水泥有限公司</t>
  </si>
  <si>
    <t>KMX211204-478-XF</t>
  </si>
  <si>
    <t>KMX211205-479-XF</t>
  </si>
  <si>
    <t>华新水泥（恩施）有限公司（湖北恒博机械科技有限公司）</t>
  </si>
  <si>
    <t>KMX211218-502-XF</t>
  </si>
  <si>
    <t>安钢集团附属企业有限责任公司</t>
  </si>
  <si>
    <t>KMX211228-517-XF</t>
  </si>
  <si>
    <t>贵州尚鼎建设工程有限公司（施工地点：贵州资兆建材有限公司）</t>
  </si>
  <si>
    <t>KMX220110-014-XF</t>
  </si>
  <si>
    <t>KMX220111-016-XF</t>
  </si>
  <si>
    <t>KMX220111-020-XF</t>
  </si>
  <si>
    <t>溆浦大盛建材有限责任公司（湖南省湘维有限公司建材车间）</t>
  </si>
  <si>
    <t>重庆长寿西南水泥有限公司（原：重庆润江环保建材股份有限公司）</t>
  </si>
  <si>
    <t>KMX220112-024-XF</t>
  </si>
  <si>
    <t>KMX220119-045-XF</t>
  </si>
  <si>
    <t>靖州台泥水泥有限公司</t>
  </si>
  <si>
    <t>KMX220119-050-XF</t>
  </si>
  <si>
    <t>酒钢（集团）宏达建材有限责任公司（更名：嘉峪关祁连山水泥有限公司）</t>
  </si>
  <si>
    <t>KMX220124-059-XF</t>
  </si>
  <si>
    <t>KMX220205-068-XF</t>
  </si>
  <si>
    <t>KMX220206-072-XF</t>
  </si>
  <si>
    <t>KMX220207-073-XF</t>
  </si>
  <si>
    <t>KMX220207-074-XF</t>
  </si>
  <si>
    <t>KMX220209-080-XF</t>
  </si>
  <si>
    <t>河源市金杰环保建材有限公司（合同签订单位：河南阿尔法工程材料有限公司）</t>
  </si>
  <si>
    <t>KMX220223-112-XF</t>
  </si>
  <si>
    <t>辽宁山水工源水泥有限公司</t>
  </si>
  <si>
    <t>KMX220225-115-XF</t>
  </si>
  <si>
    <t>内蒙古天皓水泥集团有限公司（原内蒙古天晧水泥有限公司）</t>
  </si>
  <si>
    <t>黔南州宏安建材有限公司（原名：贵州长顺凯峰水泥有限责任公司）</t>
  </si>
  <si>
    <t>KMX220307-132-XF</t>
  </si>
  <si>
    <t>华新水泥（武穴）有限公司</t>
  </si>
  <si>
    <t>KMX220318-144-XF</t>
  </si>
  <si>
    <t>KMX220322-146-XF</t>
  </si>
  <si>
    <t>喀喇沁草原水泥有限责任公司（合同签订单位;安徽省阜南县神马机电设备安装有限公司)</t>
  </si>
  <si>
    <t>KMX220327-152-XF</t>
  </si>
  <si>
    <t>KMX220330-155-XF</t>
  </si>
  <si>
    <t>KMX220408-160-XF</t>
  </si>
  <si>
    <t>江苏磊达股份有限公司（开票单位：东台磊达水泥有限公司）</t>
  </si>
  <si>
    <t>KMX220416-166-XF</t>
  </si>
  <si>
    <t>KMX220417-168-XF</t>
  </si>
  <si>
    <t>白山山水水泥有限责任公司（合同签订单位：山东昌运机械有限公司）</t>
  </si>
  <si>
    <t>KMX220423-177-XF</t>
  </si>
  <si>
    <t>KMX220423-178-XF</t>
  </si>
  <si>
    <t>KMX220428-182-XF</t>
  </si>
  <si>
    <t>KMX220504-184-XF</t>
  </si>
  <si>
    <t>KMX220504-185-XF</t>
  </si>
  <si>
    <t>湖北京兰水泥集团有限公司（钱场分公司）</t>
  </si>
  <si>
    <t>KMX220506-188-XF</t>
  </si>
  <si>
    <t>KMX220514-200-XF</t>
  </si>
  <si>
    <t>KMX220516-205-XF</t>
  </si>
  <si>
    <t>KMX220519-213-XF</t>
  </si>
  <si>
    <t>KMX220527-223-XF</t>
  </si>
  <si>
    <t>KMX220610-237-XF</t>
  </si>
  <si>
    <t>广州市珠江水泥有限公司</t>
  </si>
  <si>
    <t>KMX220615-244-XF</t>
  </si>
  <si>
    <t>KMX220616-248-XF</t>
  </si>
  <si>
    <t>KMX220703-265-XF</t>
  </si>
  <si>
    <t>贵州西能电力建设有限公司（施工地址：贵州泰元能源有限责任公司）</t>
  </si>
  <si>
    <t>KMX220713-283-XF</t>
  </si>
  <si>
    <t>KMX220719-286-XF</t>
  </si>
  <si>
    <t>KMX220720-288-XF</t>
  </si>
  <si>
    <t>宁夏瀛海天琛建材有限公司</t>
  </si>
  <si>
    <t>KMX220729-298-XF</t>
  </si>
  <si>
    <t>KMX220711-281-XF</t>
  </si>
  <si>
    <t>KMX220809-313-XF</t>
  </si>
  <si>
    <t>陇南祁连山水泥有限公司</t>
  </si>
  <si>
    <t>KMX220827-334-XF</t>
  </si>
  <si>
    <t>KMX221011-370-XF</t>
  </si>
  <si>
    <t>KMX221012-373-XF</t>
  </si>
  <si>
    <t>KMX221029-389-XF</t>
  </si>
  <si>
    <t>内蒙古松塔水泥有限责任公司</t>
  </si>
  <si>
    <t>KMX221110-401-XF</t>
  </si>
  <si>
    <t>KMX221114-406-XF</t>
  </si>
  <si>
    <t>KMX221221-444-XF</t>
  </si>
  <si>
    <t>葛洲坝荆门水泥有限公司（合同签订单位：唐山冀东发展机械设备制造有限公司）</t>
  </si>
  <si>
    <t>湖州丰盛新材料有限公司（原湖州李家巷南方水泥有限公司）</t>
  </si>
  <si>
    <t>东明鑫利建材有限公司</t>
  </si>
  <si>
    <t>KMX230114-023-XF</t>
  </si>
  <si>
    <t>KMX230218-054-XF</t>
  </si>
  <si>
    <t>贵州西能电力建设有限公司（施工地址：纳雍电厂二厂贵州泰元能源有限责任公司）</t>
  </si>
  <si>
    <t>KMX230505-135-XF</t>
  </si>
  <si>
    <t>KMX230508-136-XF</t>
  </si>
  <si>
    <t>KMX230827-212-XF</t>
  </si>
  <si>
    <t>江西赣锋锂业集团股份有限公司（马洪分公司）</t>
  </si>
  <si>
    <t>山西强伟纸业有限公司</t>
  </si>
  <si>
    <t>KMX231013-236-XF</t>
  </si>
  <si>
    <t>张家港市联泰科技有限公司（江苏永钢）</t>
  </si>
  <si>
    <t>181-365</t>
  </si>
  <si>
    <t>湘潭瑞通球团有限公司（属湘潭钢铁二级单位）</t>
  </si>
  <si>
    <t>尼勒克县瑞祥焦化有限责任公司（属伊伊犁钢铁分公司）</t>
  </si>
  <si>
    <t>KMX240121-018-XF</t>
  </si>
  <si>
    <t>KMX240201-030-XF</t>
  </si>
  <si>
    <t>KMX240425-058-XF</t>
  </si>
  <si>
    <t>云南澜沧三环建材有限公司</t>
  </si>
  <si>
    <t>KMX240902-093-XF</t>
  </si>
  <si>
    <t>内蒙古伊东冀东水泥有限公司</t>
  </si>
  <si>
    <t>KMX240923-097-XF</t>
  </si>
  <si>
    <t>唐山中厚板材有限公司</t>
  </si>
  <si>
    <t>KMX241025-103-XF</t>
  </si>
  <si>
    <t>KMX241115-105-XF</t>
  </si>
  <si>
    <t>辽宁银盛水泥集团有限公司</t>
  </si>
  <si>
    <t>KMX241119-106-XF</t>
  </si>
  <si>
    <t>江苏永钢集团物资贸易有限公司</t>
  </si>
  <si>
    <t>KMX241205-108-XF</t>
  </si>
  <si>
    <t>91-180</t>
  </si>
  <si>
    <t>日钢私活不签合同（王先梅账户收款）</t>
  </si>
  <si>
    <t>日钢私活2万不开票</t>
  </si>
  <si>
    <t>KMX250210-007-XF</t>
  </si>
  <si>
    <t>KMX250226-012-XF</t>
  </si>
  <si>
    <t>新兴铸管股份有限公司</t>
  </si>
  <si>
    <t>KMX2503020-021-XF</t>
  </si>
  <si>
    <t>KMX250329-026-XF</t>
  </si>
  <si>
    <t>61-90</t>
  </si>
  <si>
    <t>KMX250610-043</t>
  </si>
  <si>
    <t>KMX250613-044</t>
  </si>
  <si>
    <t>KMX250618-050</t>
  </si>
  <si>
    <t>内蒙古君正能源化工集团股份有限公司</t>
  </si>
  <si>
    <t>KMX250701-053</t>
  </si>
  <si>
    <t>四川川威集团成渝钒钛科技有限公司</t>
  </si>
  <si>
    <t>KMX250707-056</t>
  </si>
  <si>
    <t>KMX250715-059</t>
  </si>
  <si>
    <t>KMX250715-062</t>
  </si>
  <si>
    <t>内蒙古兴发科技有限公司</t>
  </si>
  <si>
    <t>KMX250829-063</t>
  </si>
  <si>
    <t>KMX202595-064</t>
  </si>
  <si>
    <t>KMX202599-068</t>
  </si>
  <si>
    <t>KMX2025922 -071</t>
  </si>
  <si>
    <t>KMX20251011-074</t>
  </si>
  <si>
    <t>KMX20251024-077</t>
  </si>
  <si>
    <t>KMX2025118-078</t>
  </si>
  <si>
    <t>31-60</t>
  </si>
  <si>
    <t>KMX20251113 -  -</t>
  </si>
  <si>
    <t>KMX20251119-079</t>
  </si>
  <si>
    <t>KMX2025121-080</t>
  </si>
  <si>
    <t>KMX2025125 -081</t>
  </si>
  <si>
    <t>0-30</t>
  </si>
  <si>
    <t>KMX20251210 - 082</t>
  </si>
  <si>
    <t>KMX20251217 -083</t>
  </si>
  <si>
    <t>KMX20251222 - 085</t>
  </si>
  <si>
    <t>应收余额</t>
  </si>
  <si>
    <t>发票数</t>
  </si>
  <si>
    <t>有开工日期发票数</t>
  </si>
  <si>
    <t>开工后开票_自然日_平均</t>
  </si>
  <si>
    <t>开票后回款_自然日_平均</t>
  </si>
  <si>
    <t>完工后开票_自然日</t>
  </si>
  <si>
    <t>工期</t>
  </si>
  <si>
    <t>完工后开票</t>
  </si>
  <si>
    <t>Grand Total</t>
  </si>
  <si>
    <t>账龄分析</t>
  </si>
  <si>
    <t>Sum of 未回款</t>
  </si>
  <si>
    <t>Count of 客户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</si>
</sst>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left" vertical="center" wrapText="1"/>
    </xf>
    <xf numFmtId="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48"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rgb="FFD9D9D9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rgb="FFD9D9D9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ze Zhang" refreshedDate="46024.888024074076" createdVersion="8" refreshedVersion="8" minRefreshableVersion="3" recordCount="472" xr:uid="{A0061E52-AB37-D346-8ABC-FAFB6A5CD62E}">
  <cacheSource type="worksheet">
    <worksheetSource name="Table1"/>
  </cacheSource>
  <cacheFields count="12">
    <cacheField name="合同号" numFmtId="0">
      <sharedItems/>
    </cacheField>
    <cacheField name="客户" numFmtId="0">
      <sharedItems count="256">
        <s v="新疆阿克苏青松建化公司"/>
        <s v="四会市骏马水泥有限公司"/>
        <s v="山东康达水泥有限公司"/>
        <s v="湖北金龙新材料股份有限公司"/>
        <s v="哈尔滨金山实业集团有限公司"/>
        <s v="南阳市天泰水泥有限公司"/>
        <s v="山东金塔王股份有限公司"/>
        <s v="普定明达水泥有限公司"/>
        <s v="江西玉山南方水泥有限公司"/>
        <s v="天瑞集团汝州水泥有限公司"/>
        <s v="河南省安阳湖波水泥有限责任公司"/>
        <s v="大唐华银金竹山火力发电分公司"/>
        <s v="江西泰和南方水泥有限公司"/>
        <s v="益阳市东方水泥有限公司"/>
        <s v="云南红塔滇西水泥股份有限公司"/>
        <s v="朝阳兰凌水泥有限公司"/>
        <s v="大同市云中有水泥限责任公司"/>
        <s v="库车天山水泥有限责任公司"/>
        <s v="湖北宜化集团楚星化工股份有限公司（更名为：湖北大江化工集团有限公司）"/>
        <s v="重庆拉法基水泥有限公司"/>
        <s v="四川泸定山盛水泥有限公司"/>
        <s v="河南隆鑫水泥有限责任公司"/>
        <s v="宁波科环新型建材股份有限公司"/>
        <s v="登电集团水泥有限公司"/>
        <s v="四川洪雅西南水泥有限公司"/>
        <s v="台泥(怀化)水泥有限公司（原名湖南金大地材料股份有限公司）"/>
        <s v="芒市西南水泥有限公司"/>
        <s v="湖南印山实业集团印山台水泥有限公司"/>
        <s v="莱芜市双盛机械制造有限公司"/>
        <s v="锦州三鸽水泥制造有限公司"/>
        <s v="安钢集团信阳钢铁有限责任公司"/>
        <s v="信阳豫信轧钢实业有限公司(安钢集团信阳钢铁)"/>
        <s v="张家港恒乐新型建筑材料有限公司（江苏沙钢）"/>
        <s v="铜陵上峰水泥股份有限公司"/>
        <s v="天瑞集团南召水泥有限公司"/>
        <s v="山西恒达能源集团有限公司"/>
        <s v="会东利森水泥有限公司"/>
        <s v="辽宁辽塔集团水泥有限公司（更改为辽阳天瑞辽塔水泥有限公司）"/>
        <s v="云南祥云飞龙再生科技股份有限公司"/>
        <s v="辽宁富山水泥有限公司"/>
        <s v="扎兰屯市龙北水泥有限公司"/>
        <s v="昭通昆钢嘉华水泥建材有限公司"/>
        <s v="河北承大建材有限公司"/>
        <s v="泰山中联水泥有限公司"/>
        <s v="西安柏通建筑安装工程有限公司（原名西安蓝田尧柏水泥有限公司)"/>
        <s v="云南永保特种水泥有限责任公司"/>
        <s v="福建省永安万年水泥有限公司"/>
        <s v="福建春驰集团国产实业水泥有限公司"/>
        <s v="逸盛大化石化有限公司"/>
        <s v="四川省二郎山喇叭河水泥有限公司"/>
        <s v="北京金隅琉水环保科技有限公司"/>
        <s v="江苏沙钢集团有限公司"/>
        <s v="河北新金轧材有限公司"/>
        <s v="昭通得云建材有限责任公司"/>
        <s v="将乐金牛水泥有限公司"/>
        <s v="江西永丰南方水泥有限公司"/>
        <s v="湖南省嘉禾县南岭水泥有限公司"/>
        <s v="智海企业集团榆次水泥有限公司"/>
        <s v="拉法基瑞安（红河）水泥有限公司（云南国资水泥红河有限公司）变更华新水泥（红河）有限公司"/>
        <s v="华润水泥（贵港）有限公司"/>
        <s v="长治县三元王庄华泰水泥有限公司"/>
        <s v="敬业钢铁有限公司"/>
        <s v="侯马市汇丰建材有限责任公司"/>
        <s v="河钢股份有限公司邯郸分公司"/>
        <s v="张家港宏昌钢板有限公司（江苏沙钢）"/>
        <s v="湖南耒阳南方水泥有限公司"/>
        <s v="湖南远大水泥有限公司（合同签订：株洲市兴安贸易有限公司）"/>
        <s v="四川省绵竹澳东水泥有限责任公司"/>
        <s v="云南中瑞（集团）建材有限公司（原名：云南省易门县中瑞（集团）建材有限公司）"/>
        <s v="玉溪新平永发新型建材有限公司（元江县永发水泥有限公司）"/>
        <s v="青海盐湖海纳化工有限公司"/>
        <s v="河北金隅鼎鑫水泥有限公司"/>
        <s v="辛集市澳森钢铁有限公司"/>
        <s v="承德金隅水泥有限责任公司"/>
        <s v="湖南常德南方水泥有限公司"/>
        <s v="青海海西化工建材股份有限公司"/>
        <s v="内乡宝天曼水泥有限公司"/>
        <s v="宿州泉兴相山水泥有限公司"/>
        <s v="葛洲坝石门特种水泥有限公司"/>
        <s v="襄汾县星原集团水泥建材有限公司"/>
        <s v="华新水泥（长阳）有限公司"/>
        <s v="华润水泥（永定）有限公司"/>
        <s v="贵州水晶有机化工（集团）有限公司苗岭建材分公司"/>
        <s v="彭水县茂田能源开发有限公司"/>
        <s v="通辽中联虹祥水泥有限公司"/>
        <s v="唐河泰隆水泥有限公司"/>
        <s v="贵州瑞溪水泥发展有限公司"/>
        <s v="茂名市威联建材有限公司"/>
        <s v="甘肃三易水泥有限责任公司"/>
        <s v="贵州资兆建材有限公司"/>
        <s v="贵州兴义西南水泥有限公司"/>
        <s v="重庆綦江西南水泥有限公司"/>
        <s v="陕西金龙水泥有限公司"/>
        <s v="贵州金久水泥有限公司"/>
        <s v="四川省广安腾飞华峰水泥有限公司（合同签定：广安腾飞集团有限公司）"/>
        <s v="四川泰昌建材集团有限公司"/>
        <s v="山东誉腾水泥集团有限公司朔州分公司（山阴炫昂建材有限公司）"/>
        <s v="山东崇正特种水泥有限公司"/>
        <s v="湖南张家界南方水泥有限公司"/>
        <s v="重庆天助水泥（集团）有限公司"/>
        <s v="吉林省天茂特种水泥有限公司"/>
        <s v="湖北楚星化工股份有限公司（更名为：湖北大江化工集团有限公司）"/>
        <s v="芜湖新兴铸管有限责任公司"/>
        <s v="重庆九鑫水泥（集团）有限公司"/>
        <s v="四川德阳创璟建材有限公司"/>
        <s v="元江县永发水泥有限公司"/>
        <s v="东方希望重庆水泥有限公司"/>
        <s v="湖南韶峰南方水泥有限公司"/>
        <s v="河北新金钢铁有限公司"/>
        <s v="内乡县万基水泥有限公司"/>
        <s v="贵州黔西中水发电有限公司"/>
        <s v="华新水泥重庆涪陵有限公司"/>
        <s v="湖北京兰水泥集团有限公司（永兴分公司）"/>
        <s v="葛洲坝兴山水泥有限公司"/>
        <s v="湖南金山水泥有限公司"/>
        <s v="焦作坚固水泥有限公司"/>
        <s v="汉中勉县尧柏水泥有限公司"/>
        <s v="喀什红旗水泥有限责任公司"/>
        <s v="四川利森建材集团有限公司罗江分公司"/>
        <s v="华润水泥（上思）有限公司"/>
        <s v="甘肃永固特种水泥有限公司"/>
        <s v="吐鲁番天山水泥有限责任公司"/>
        <s v="冀东海德堡（扶风）水泥有限公司"/>
        <s v="河南锦荣水泥有限公司"/>
        <s v="涿鹿金隅水泥有限公司"/>
        <s v="华新水泥（恩施）有限公司（湖北恒博机械科技有限公司）"/>
        <s v="怀宁上峰水泥有限公司"/>
        <s v="绥江县永固水泥有限责任公司"/>
        <s v="安钢集团附属企业有限责任公司"/>
        <s v="贵州尚鼎建设工程有限公司（施工地点：贵州资兆建材有限公司）"/>
        <s v="溆浦大盛建材有限责任公司（湖南省湘维有限公司建材车间）"/>
        <s v="重庆长寿西南水泥有限公司（原：重庆润江环保建材股份有限公司）"/>
        <s v="浙江上峰建材有限公司"/>
        <s v="靖州台泥水泥有限公司"/>
        <s v="河源市金杰环保建材有限公司"/>
        <s v="酒钢（集团）宏达建材有限责任公司（更名：嘉峪关祁连山水泥有限公司）"/>
        <s v="河源市金杰环保建材有限公司（合同签订单位：河南阿尔法工程材料有限公司）"/>
        <s v="湖南金山环保建材有限公司"/>
        <s v="辽宁山水工源水泥有限公司"/>
        <s v="内蒙古天皓水泥集团有限公司（原内蒙古天晧水泥有限公司）"/>
        <s v="黔南州宏安建材有限公司（原名：贵州长顺凯峰水泥有限责任公司）"/>
        <s v="宜州广驰水泥有限责任公司"/>
        <s v="华新水泥（武穴）有限公司"/>
        <s v="喀喇沁草原水泥有限责任公司（合同签订单位;安徽省阜南县神马机电设备安装有限公司)"/>
        <s v="日照钢铁有限公司"/>
        <s v="英德市英马水泥有限公司"/>
        <s v="江苏磊达股份有限公司（开票单位：东台磊达水泥有限公司）"/>
        <s v="白山山水水泥有限责任公司（合同签订单位：山东昌运机械有限公司）"/>
        <s v="中材安徽水泥有限公司"/>
        <s v="湖南华菱湘潭钢铁有限公司"/>
        <s v="青海发投碱业有限公司"/>
        <s v="海南逸盛石化有限公司"/>
        <s v="湖北京兰水泥集团有限公司（钱场分公司）"/>
        <s v="洛阳黄河同力水泥有限责任公司"/>
        <s v="甘肃京兰水泥有限公司"/>
        <s v="广州市珠江水泥有限公司"/>
        <s v="山西金隅冀东环保科技有限公司"/>
        <s v="安吉南方水泥有限公司"/>
        <s v="承德冀东水泥有限责任公司"/>
        <s v="贵州西能电力建设有限公司（施工地址：贵州泰元能源有限责任公司）"/>
        <s v="邢台金隅冀东水泥有限公司"/>
        <s v="宁夏瀛海天琛建材有限公司"/>
        <s v="贵州西电电力股份有限公司黔北发电厂"/>
        <s v="联峰钢铁（张家港）有限公司（江苏永钢）"/>
        <s v="陇南祁连山水泥有限公司"/>
        <s v="湖南骏泰新材料科技有限责任公司"/>
        <s v="重庆秀山西南水泥有限公司（原名：秀山三磊水泥有限公司）"/>
        <s v="新疆八一钢铁股份有限公司"/>
        <s v="内蒙古松塔水泥有限责任公司"/>
        <s v="华润水泥（平南）有限公司"/>
        <s v="江西安福南方水泥有限公司"/>
        <s v="葛洲坝荆门水泥有限公司（合同签订单位：唐山冀东发展机械设备制造有限公司）"/>
        <s v="临沂中联水泥有限公司"/>
        <s v="湖州丰盛新材料有限公司（原湖州李家巷南方水泥有限公司）"/>
        <s v="东明鑫利建材有限公司"/>
        <s v="广州泛亚聚酯有限公司"/>
        <s v="包头冀东水泥有限公司"/>
        <s v="江西亚东水泥有限公司"/>
        <s v="黄石成美建材有限公司"/>
        <s v="宁夏瀛海天祥建材有限公司"/>
        <s v="四川德胜集团水泥有限公司"/>
        <s v="宁夏滨河海利建材有限公司"/>
        <s v="新疆宜化化工有限公司"/>
        <s v="湖南良田水泥有限公司"/>
        <s v="贵州西能电力建设有限公司（施工地址：纳雍电厂二厂贵州泰元能源有限责任公司）"/>
        <s v="新洋丰农业科技股份有限公司"/>
        <s v="阳泉冀东水泥有限责任公司"/>
        <s v="四川省星船城水泥股份有限公司"/>
        <s v="山东鑫海科技股份有限公司"/>
        <s v="成县祁连山水泥有限公司"/>
        <s v="临沂鑫海新型材料有限公司"/>
        <s v="中材株洲水泥有限责任公司"/>
        <s v="江西赣锋锂业集团股份有限公司（马洪分公司）"/>
        <s v="山西强伟纸业有限公司"/>
        <s v="张家港市联泰科技有限公司（江苏永钢）"/>
        <s v="江西贵溪南方水泥有限公司"/>
        <s v="四川筠连西南水泥有限公司"/>
        <s v="广州市越堡水泥有限公司"/>
        <s v="新疆伊犁钢铁有限责任公司"/>
        <s v="山东泰西水泥有限公司"/>
        <s v="湘潭瑞通球团有限公司（属湘潭钢铁二级单位）"/>
        <s v="湖北能源集团鄂州发电有限公司"/>
        <s v="内蒙古亿利冀东水泥有限责任公司"/>
        <s v="尼勒克县瑞祥焦化有限责任公司（属伊伊犁钢铁分公司）"/>
        <s v="蕉岭县龙腾旋窑水泥有限公司"/>
        <s v="日钢营口中板有限公司"/>
        <s v="宁都县赣锋锂业有限公司"/>
        <s v="广西金鲤水泥有限公司"/>
        <s v="嘉峪关祁连山水泥有限公司"/>
        <s v="四川峨胜水泥集团股份有限公司"/>
        <s v="赞皇金隅水泥有限公司"/>
        <s v="天瑞新登郑州水泥有限公司"/>
        <s v="台泥（重庆）水泥有限公司"/>
        <s v="山东泰山钢铁集团有限公司"/>
        <s v="富蕴天山水泥有限责任公司"/>
        <s v="山西吉港冠宇水泥有限公司"/>
        <s v="国家电投集团山西铝业有限公司"/>
        <s v="云南澜沧三环建材有限公司"/>
        <s v="巴彦淖尔中联水泥有限公司"/>
        <s v="兆山集团诸暨水泥有限公司"/>
        <s v="福建青拓镍业有限公司"/>
        <s v="青海众信建筑安装有限公司"/>
        <s v="内蒙古伊东冀东水泥有限公司"/>
        <s v="中材亨达水泥有限公司"/>
        <s v="唐山中厚板材有限公司"/>
        <s v="福建青拓实业有限公司(合同签订单位：福建鼎信实业有限公司）"/>
        <s v="辽宁银盛水泥集团有限公司"/>
        <s v="湘潭瑞通球团有限公司"/>
        <s v="江苏永钢集团物资贸易有限公司"/>
        <s v="青海盐湖镁业有限公司"/>
        <s v="中盐内蒙古化工股份有限公司盐碱分公司"/>
        <s v="湖北宜化松滋肥业有限公司"/>
        <s v="黄冈亚东水泥有限公司"/>
        <s v="日钢私活不签合同（王先梅账户收款）"/>
        <s v="河南晋开化工投资控股集团有限责任公司"/>
        <s v="崇阳县昌华实业有限公司"/>
        <s v="莱芜钢铁集团银山型钢有限公司"/>
        <s v="新余市汇益信新型材料有限公司"/>
        <s v="萍乡萍钢安源钢铁有限公司"/>
        <s v="湖北双环科技股份有限公司"/>
        <s v="河南华润电力首阳山有限公司"/>
        <s v="新兴铸管股份有限公司"/>
        <s v="内蒙古宜化化工有限公司"/>
        <s v="中国阿拉伯化肥有限公司"/>
        <s v="中盐内蒙古建材有限公司"/>
        <s v="日照京华新型建材有限公司"/>
        <s v="江西玉山万年青水泥有限公司"/>
        <s v="江西晶昊盐化有限公司"/>
        <s v="内蒙古君正能源化工集团股份有限公司"/>
        <s v="四川川威集团成渝钒钛科技有限公司"/>
        <s v="池州恒鑫材料科技有限公司"/>
        <s v="内蒙古兴发科技有限公司"/>
        <s v="大同市云中水泥有限责任公司"/>
        <s v="阜阳皖润电力有限公司"/>
        <s v="广安昌兴水泥有限公司"/>
        <s v="山东圣川新材料科技股份有限公司"/>
      </sharedItems>
    </cacheField>
    <cacheField name="合同日期" numFmtId="164">
      <sharedItems containsSemiMixedTypes="0" containsNonDate="0" containsDate="1" containsString="0" minDate="2007-10-08T00:00:00" maxDate="2025-12-23T00:00:00"/>
    </cacheField>
    <cacheField name="完工日期" numFmtId="164">
      <sharedItems containsNonDate="0" containsDate="1" containsString="0" containsBlank="1" minDate="2008-01-06T00:00:00" maxDate="2025-12-31T00:00:00"/>
    </cacheField>
    <cacheField name="工期" numFmtId="1">
      <sharedItems containsMixedTypes="1" containsNumber="1" containsInteger="1" minValue="-34" maxValue="705"/>
    </cacheField>
    <cacheField name="开票日期" numFmtId="164">
      <sharedItems containsNonDate="0" containsDate="1" containsString="0" containsBlank="1" minDate="2008-09-26T00:00:00" maxDate="2025-10-01T00:00:00"/>
    </cacheField>
    <cacheField name="完工后开票" numFmtId="1">
      <sharedItems containsMixedTypes="1" containsNumber="1" containsInteger="1" minValue="-456" maxValue="1574" count="174">
        <s v=""/>
        <n v="0"/>
        <n v="11"/>
        <n v="-7"/>
        <n v="130"/>
        <n v="33"/>
        <n v="-185"/>
        <n v="92"/>
        <n v="96"/>
        <n v="79"/>
        <n v="159"/>
        <n v="42"/>
        <n v="44"/>
        <n v="91"/>
        <n v="31"/>
        <n v="27"/>
        <n v="29"/>
        <n v="45"/>
        <n v="149"/>
        <n v="17"/>
        <n v="25"/>
        <n v="8"/>
        <n v="66"/>
        <n v="204"/>
        <n v="262"/>
        <n v="3"/>
        <n v="18"/>
        <n v="43"/>
        <n v="78"/>
        <n v="112"/>
        <n v="175"/>
        <n v="53"/>
        <n v="5"/>
        <n v="121"/>
        <n v="7"/>
        <n v="-8"/>
        <n v="1030"/>
        <n v="22"/>
        <n v="1"/>
        <n v="4"/>
        <n v="308"/>
        <n v="454"/>
        <n v="51"/>
        <n v="1574"/>
        <n v="13"/>
        <n v="74"/>
        <n v="12"/>
        <n v="35"/>
        <n v="16"/>
        <n v="52"/>
        <n v="32"/>
        <n v="255"/>
        <n v="-32"/>
        <n v="10"/>
        <n v="64"/>
        <n v="-1"/>
        <n v="30"/>
        <n v="-3"/>
        <n v="242"/>
        <n v="798"/>
        <n v="150"/>
        <n v="40"/>
        <n v="-254"/>
        <n v="-14"/>
        <n v="28"/>
        <n v="106"/>
        <n v="21"/>
        <n v="2"/>
        <n v="126"/>
        <n v="38"/>
        <n v="19"/>
        <n v="50"/>
        <n v="251"/>
        <n v="36"/>
        <n v="75"/>
        <n v="754"/>
        <n v="233"/>
        <n v="59"/>
        <n v="719"/>
        <n v="-262"/>
        <n v="265"/>
        <n v="397"/>
        <n v="24"/>
        <n v="57"/>
        <n v="127"/>
        <n v="597"/>
        <n v="-174"/>
        <n v="132"/>
        <n v="125"/>
        <n v="107"/>
        <n v="15"/>
        <n v="61"/>
        <n v="351"/>
        <n v="418"/>
        <n v="440"/>
        <n v="144"/>
        <n v="56"/>
        <n v="489"/>
        <n v="103"/>
        <n v="599"/>
        <n v="114"/>
        <n v="81"/>
        <n v="253"/>
        <n v="676"/>
        <n v="839"/>
        <n v="68"/>
        <n v="456"/>
        <n v="157"/>
        <n v="398"/>
        <n v="34"/>
        <n v="280"/>
        <n v="436"/>
        <n v="-13"/>
        <n v="405"/>
        <n v="48"/>
        <n v="-72"/>
        <n v="105"/>
        <n v="170"/>
        <n v="372"/>
        <n v="113"/>
        <n v="286"/>
        <n v="20"/>
        <n v="220"/>
        <n v="202"/>
        <n v="161"/>
        <n v="84"/>
        <n v="631"/>
        <n v="820"/>
        <n v="60"/>
        <n v="86"/>
        <n v="427"/>
        <n v="393"/>
        <n v="554"/>
        <n v="58"/>
        <n v="99"/>
        <n v="-20"/>
        <n v="370"/>
        <n v="163"/>
        <n v="778"/>
        <n v="198"/>
        <n v="580"/>
        <n v="164"/>
        <n v="318"/>
        <n v="97"/>
        <n v="55"/>
        <n v="-167"/>
        <n v="49"/>
        <n v="65"/>
        <n v="171"/>
        <n v="41"/>
        <n v="-105"/>
        <n v="197"/>
        <n v="184"/>
        <n v="-2"/>
        <n v="521"/>
        <n v="206"/>
        <n v="377"/>
        <n v="160"/>
        <n v="-148"/>
        <n v="239"/>
        <n v="355"/>
        <n v="71"/>
        <n v="93"/>
        <n v="-456"/>
        <n v="138"/>
        <n v="256"/>
        <n v="168"/>
        <n v="69"/>
        <n v="63"/>
        <n v="-30"/>
        <n v="62"/>
        <n v="46"/>
        <n v="23"/>
        <n v="152"/>
      </sharedItems>
    </cacheField>
    <cacheField name="账龄基准日" numFmtId="164">
      <sharedItems containsSemiMixedTypes="0" containsNonDate="0" containsDate="1" containsString="0" minDate="2008-01-06T00:00:00" maxDate="2025-12-31T00:00:00"/>
    </cacheField>
    <cacheField name="账龄天数" numFmtId="1">
      <sharedItems containsSemiMixedTypes="0" containsString="0" containsNumber="1" containsInteger="1" minValue="3" maxValue="6571"/>
    </cacheField>
    <cacheField name="账龄桶" numFmtId="0">
      <sharedItems count="6">
        <s v="365+"/>
        <s v="181-365"/>
        <s v="91-180"/>
        <s v="61-90"/>
        <s v="31-60"/>
        <s v="0-30"/>
      </sharedItems>
    </cacheField>
    <cacheField name="未回款" numFmtId="4">
      <sharedItems containsSemiMixedTypes="0" containsString="0" containsNumber="1" minValue="3.79999999131542E-3" maxValue="3808371.22"/>
    </cacheField>
    <cacheField name="未开票金额" numFmtId="4">
      <sharedItems containsString="0" containsBlank="1" containsNumber="1" minValue="-1118400" maxValue="3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">
  <r>
    <s v="KMX071008-197"/>
    <x v="0"/>
    <d v="2007-10-08T00:00:00"/>
    <d v="2008-01-06T00:00:00"/>
    <n v="90"/>
    <m/>
    <x v="0"/>
    <d v="2008-01-06T00:00:00"/>
    <n v="6571"/>
    <x v="0"/>
    <n v="35460"/>
    <m/>
  </r>
  <r>
    <s v="KMX080909-077"/>
    <x v="1"/>
    <d v="2008-09-09T00:00:00"/>
    <d v="2008-09-26T00:00:00"/>
    <n v="17"/>
    <d v="2008-09-26T00:00:00"/>
    <x v="1"/>
    <d v="2008-09-26T00:00:00"/>
    <n v="6307"/>
    <x v="0"/>
    <n v="5900"/>
    <m/>
  </r>
  <r>
    <s v="KMX081010-085"/>
    <x v="2"/>
    <d v="2008-10-10T00:00:00"/>
    <d v="2008-10-28T00:00:00"/>
    <n v="18"/>
    <d v="2008-10-28T00:00:00"/>
    <x v="1"/>
    <d v="2008-10-28T00:00:00"/>
    <n v="6275"/>
    <x v="0"/>
    <n v="7500"/>
    <m/>
  </r>
  <r>
    <s v="KMX080807-176"/>
    <x v="3"/>
    <d v="2009-08-07T00:00:00"/>
    <d v="2009-11-05T00:00:00"/>
    <n v="90"/>
    <m/>
    <x v="0"/>
    <d v="2009-11-05T00:00:00"/>
    <n v="5902"/>
    <x v="0"/>
    <n v="26400"/>
    <m/>
  </r>
  <r>
    <s v="KMX091120-177"/>
    <x v="4"/>
    <d v="2009-11-20T00:00:00"/>
    <d v="2010-02-18T00:00:00"/>
    <n v="90"/>
    <m/>
    <x v="0"/>
    <d v="2010-02-18T00:00:00"/>
    <n v="5797"/>
    <x v="0"/>
    <n v="27000"/>
    <m/>
  </r>
  <r>
    <s v="KMX091123-151"/>
    <x v="5"/>
    <d v="2009-11-23T00:00:00"/>
    <d v="2009-12-23T00:00:00"/>
    <n v="30"/>
    <d v="2009-12-23T00:00:00"/>
    <x v="1"/>
    <d v="2009-12-23T00:00:00"/>
    <n v="5854"/>
    <x v="0"/>
    <n v="18000"/>
    <m/>
  </r>
  <r>
    <s v="KMX100612-029"/>
    <x v="1"/>
    <d v="2010-06-12T00:00:00"/>
    <d v="2010-09-10T00:00:00"/>
    <n v="90"/>
    <m/>
    <x v="0"/>
    <d v="2010-09-10T00:00:00"/>
    <n v="5593"/>
    <x v="0"/>
    <n v="2400"/>
    <m/>
  </r>
  <r>
    <s v="KMX101027-079"/>
    <x v="6"/>
    <d v="2010-10-27T00:00:00"/>
    <d v="2010-10-28T00:00:00"/>
    <n v="1"/>
    <d v="2010-10-28T00:00:00"/>
    <x v="1"/>
    <d v="2010-10-28T00:00:00"/>
    <n v="5545"/>
    <x v="0"/>
    <n v="6000"/>
    <m/>
  </r>
  <r>
    <s v="KMX101223-006"/>
    <x v="7"/>
    <d v="2010-12-23T00:00:00"/>
    <d v="2011-01-06T00:00:00"/>
    <n v="14"/>
    <d v="2011-01-06T00:00:00"/>
    <x v="1"/>
    <d v="2011-01-06T00:00:00"/>
    <n v="5475"/>
    <x v="0"/>
    <n v="740"/>
    <m/>
  </r>
  <r>
    <s v="KMX110106-090"/>
    <x v="8"/>
    <d v="2011-01-06T00:00:00"/>
    <d v="2011-01-20T00:00:00"/>
    <n v="14"/>
    <d v="2011-01-20T00:00:00"/>
    <x v="1"/>
    <d v="2011-01-20T00:00:00"/>
    <n v="5461"/>
    <x v="0"/>
    <n v="7800"/>
    <m/>
  </r>
  <r>
    <s v="KMX110209-162"/>
    <x v="9"/>
    <d v="2011-02-09T00:00:00"/>
    <d v="2011-07-08T00:00:00"/>
    <n v="149"/>
    <d v="2011-07-08T00:00:00"/>
    <x v="1"/>
    <d v="2011-07-08T00:00:00"/>
    <n v="5292"/>
    <x v="0"/>
    <n v="19000"/>
    <m/>
  </r>
  <r>
    <s v="KMX110530-153"/>
    <x v="5"/>
    <d v="2011-05-30T00:00:00"/>
    <d v="2011-09-06T00:00:00"/>
    <n v="99"/>
    <d v="2011-09-06T00:00:00"/>
    <x v="1"/>
    <d v="2011-09-06T00:00:00"/>
    <n v="5232"/>
    <x v="0"/>
    <n v="18000"/>
    <m/>
  </r>
  <r>
    <s v="KMX110818-258"/>
    <x v="10"/>
    <d v="2011-08-18T00:00:00"/>
    <d v="2012-11-21T00:00:00"/>
    <n v="461"/>
    <m/>
    <x v="0"/>
    <d v="2012-11-21T00:00:00"/>
    <n v="4790"/>
    <x v="0"/>
    <n v="46000"/>
    <m/>
  </r>
  <r>
    <s v="KMX110905-069"/>
    <x v="11"/>
    <d v="2011-09-05T00:00:00"/>
    <d v="2011-12-04T00:00:00"/>
    <n v="90"/>
    <m/>
    <x v="0"/>
    <d v="2011-12-04T00:00:00"/>
    <n v="5143"/>
    <x v="0"/>
    <n v="5100"/>
    <m/>
  </r>
  <r>
    <s v="KMX110922-076"/>
    <x v="12"/>
    <d v="2011-09-22T00:00:00"/>
    <d v="2011-12-21T00:00:00"/>
    <n v="90"/>
    <m/>
    <x v="0"/>
    <d v="2011-12-21T00:00:00"/>
    <n v="5126"/>
    <x v="0"/>
    <n v="5800"/>
    <m/>
  </r>
  <r>
    <s v="KMX111025-047"/>
    <x v="13"/>
    <d v="2011-10-25T00:00:00"/>
    <d v="2012-01-23T00:00:00"/>
    <n v="90"/>
    <m/>
    <x v="0"/>
    <d v="2012-01-23T00:00:00"/>
    <n v="5093"/>
    <x v="0"/>
    <n v="3400"/>
    <m/>
  </r>
  <r>
    <s v="KMX111025-244"/>
    <x v="14"/>
    <d v="2011-10-25T00:00:00"/>
    <d v="2012-01-23T00:00:00"/>
    <n v="90"/>
    <m/>
    <x v="0"/>
    <d v="2012-01-23T00:00:00"/>
    <n v="5093"/>
    <x v="0"/>
    <n v="37600"/>
    <m/>
  </r>
  <r>
    <s v="KMX111101-237-《1》"/>
    <x v="15"/>
    <d v="2011-11-30T00:00:00"/>
    <d v="2012-02-28T00:00:00"/>
    <n v="90"/>
    <m/>
    <x v="0"/>
    <d v="2012-02-28T00:00:00"/>
    <n v="5057"/>
    <x v="0"/>
    <n v="10000"/>
    <m/>
  </r>
  <r>
    <s v="KMX120116-022"/>
    <x v="5"/>
    <d v="2012-01-14T00:00:00"/>
    <d v="2012-02-24T00:00:00"/>
    <n v="41"/>
    <d v="2012-02-24T00:00:00"/>
    <x v="1"/>
    <d v="2012-02-24T00:00:00"/>
    <n v="5061"/>
    <x v="0"/>
    <n v="2800"/>
    <m/>
  </r>
  <r>
    <s v="KMX120408-061"/>
    <x v="15"/>
    <d v="2012-04-09T00:00:00"/>
    <d v="2012-07-08T00:00:00"/>
    <n v="90"/>
    <m/>
    <x v="0"/>
    <d v="2012-07-08T00:00:00"/>
    <n v="4926"/>
    <x v="0"/>
    <n v="800"/>
    <m/>
  </r>
  <r>
    <s v="KMX120429-071"/>
    <x v="16"/>
    <d v="2012-04-29T00:00:00"/>
    <d v="2012-07-28T00:00:00"/>
    <n v="90"/>
    <m/>
    <x v="0"/>
    <d v="2012-07-28T00:00:00"/>
    <n v="4906"/>
    <x v="0"/>
    <n v="36000"/>
    <m/>
  </r>
  <r>
    <s v="KMX120512-085"/>
    <x v="7"/>
    <d v="2012-05-12T00:00:00"/>
    <d v="2012-05-18T00:00:00"/>
    <n v="6"/>
    <d v="2012-05-18T00:00:00"/>
    <x v="1"/>
    <d v="2012-05-18T00:00:00"/>
    <n v="4977"/>
    <x v="0"/>
    <n v="2000"/>
    <m/>
  </r>
  <r>
    <s v="KMX120621-118"/>
    <x v="10"/>
    <d v="2012-07-04T00:00:00"/>
    <d v="2012-10-02T00:00:00"/>
    <n v="90"/>
    <m/>
    <x v="0"/>
    <d v="2012-10-02T00:00:00"/>
    <n v="4840"/>
    <x v="0"/>
    <n v="27800"/>
    <m/>
  </r>
  <r>
    <s v="KMX130224-048"/>
    <x v="17"/>
    <d v="2013-02-26T00:00:00"/>
    <d v="2013-05-17T00:00:00"/>
    <n v="80"/>
    <d v="2013-05-17T00:00:00"/>
    <x v="1"/>
    <d v="2013-05-17T00:00:00"/>
    <n v="4613"/>
    <x v="0"/>
    <n v="20000"/>
    <m/>
  </r>
  <r>
    <s v="KMX130224-050"/>
    <x v="9"/>
    <d v="2013-03-02T00:00:00"/>
    <d v="2013-11-13T00:00:00"/>
    <n v="256"/>
    <d v="2013-11-13T00:00:00"/>
    <x v="1"/>
    <d v="2013-11-13T00:00:00"/>
    <n v="4433"/>
    <x v="0"/>
    <n v="6500"/>
    <m/>
  </r>
  <r>
    <s v="KMX130305-056"/>
    <x v="18"/>
    <d v="2013-03-05T00:00:00"/>
    <d v="2013-05-16T00:00:00"/>
    <n v="72"/>
    <d v="2013-05-16T00:00:00"/>
    <x v="1"/>
    <d v="2013-05-16T00:00:00"/>
    <n v="4614"/>
    <x v="0"/>
    <n v="6160"/>
    <m/>
  </r>
  <r>
    <s v="KMX131205-255"/>
    <x v="19"/>
    <d v="2013-12-05T00:00:00"/>
    <d v="2014-05-05T00:00:00"/>
    <n v="151"/>
    <d v="2014-05-05T00:00:00"/>
    <x v="1"/>
    <d v="2014-05-05T00:00:00"/>
    <n v="4260"/>
    <x v="0"/>
    <n v="15800"/>
    <m/>
  </r>
  <r>
    <s v="KMX140111-011"/>
    <x v="20"/>
    <d v="2014-01-11T00:00:00"/>
    <d v="2014-05-15T00:00:00"/>
    <n v="124"/>
    <d v="2014-05-15T00:00:00"/>
    <x v="1"/>
    <d v="2014-05-15T00:00:00"/>
    <n v="4250"/>
    <x v="0"/>
    <n v="6514"/>
    <m/>
  </r>
  <r>
    <s v="KMX140122-028"/>
    <x v="21"/>
    <d v="2014-02-08T00:00:00"/>
    <d v="2014-07-17T00:00:00"/>
    <n v="159"/>
    <d v="2014-07-17T00:00:00"/>
    <x v="1"/>
    <d v="2014-07-17T00:00:00"/>
    <n v="4187"/>
    <x v="0"/>
    <n v="60000"/>
    <m/>
  </r>
  <r>
    <s v="KMX140327-066"/>
    <x v="22"/>
    <d v="2014-03-27T00:00:00"/>
    <d v="2014-06-11T00:00:00"/>
    <n v="76"/>
    <d v="2014-06-11T00:00:00"/>
    <x v="1"/>
    <d v="2014-06-11T00:00:00"/>
    <n v="4223"/>
    <x v="0"/>
    <n v="6000"/>
    <m/>
  </r>
  <r>
    <s v="KMX140422-084"/>
    <x v="23"/>
    <d v="2014-04-25T00:00:00"/>
    <d v="2014-07-24T00:00:00"/>
    <n v="90"/>
    <m/>
    <x v="0"/>
    <d v="2014-07-24T00:00:00"/>
    <n v="4180"/>
    <x v="0"/>
    <n v="100"/>
    <m/>
  </r>
  <r>
    <s v="KMX140518-098"/>
    <x v="20"/>
    <d v="2014-05-18T00:00:00"/>
    <d v="2014-08-16T00:00:00"/>
    <n v="90"/>
    <m/>
    <x v="0"/>
    <d v="2014-08-16T00:00:00"/>
    <n v="4157"/>
    <x v="0"/>
    <n v="600"/>
    <m/>
  </r>
  <r>
    <s v="KMX140815-169"/>
    <x v="24"/>
    <d v="2014-08-15T00:00:00"/>
    <d v="2014-10-24T00:00:00"/>
    <n v="70"/>
    <d v="2014-10-24T00:00:00"/>
    <x v="1"/>
    <d v="2014-10-24T00:00:00"/>
    <n v="4088"/>
    <x v="0"/>
    <n v="3660"/>
    <m/>
  </r>
  <r>
    <s v="KMX141117-220"/>
    <x v="20"/>
    <d v="2014-11-17T00:00:00"/>
    <d v="2014-11-18T00:00:00"/>
    <n v="1"/>
    <d v="2014-11-18T00:00:00"/>
    <x v="1"/>
    <d v="2014-11-18T00:00:00"/>
    <n v="4063"/>
    <x v="0"/>
    <n v="1280"/>
    <m/>
  </r>
  <r>
    <s v="KMX150127-030"/>
    <x v="25"/>
    <d v="2015-01-27T00:00:00"/>
    <d v="2015-01-27T00:00:00"/>
    <n v="0"/>
    <d v="2015-01-27T00:00:00"/>
    <x v="1"/>
    <d v="2015-01-27T00:00:00"/>
    <n v="3993"/>
    <x v="0"/>
    <n v="4000"/>
    <m/>
  </r>
  <r>
    <s v="KMX150202-034"/>
    <x v="26"/>
    <d v="2015-02-02T00:00:00"/>
    <d v="2015-02-28T00:00:00"/>
    <n v="26"/>
    <d v="2015-03-11T00:00:00"/>
    <x v="2"/>
    <d v="2015-03-11T00:00:00"/>
    <n v="3950"/>
    <x v="0"/>
    <n v="4800"/>
    <m/>
  </r>
  <r>
    <s v="KMX150321-076-XF"/>
    <x v="27"/>
    <d v="2015-03-21T00:00:00"/>
    <d v="2015-05-13T00:00:00"/>
    <n v="53"/>
    <d v="2015-05-13T00:00:00"/>
    <x v="1"/>
    <d v="2015-05-13T00:00:00"/>
    <n v="3887"/>
    <x v="0"/>
    <n v="14800"/>
    <m/>
  </r>
  <r>
    <s v="KMX150602-118-CL"/>
    <x v="28"/>
    <d v="2015-06-02T00:00:00"/>
    <d v="2015-08-26T00:00:00"/>
    <n v="85"/>
    <d v="2015-08-19T00:00:00"/>
    <x v="3"/>
    <d v="2015-08-19T00:00:00"/>
    <n v="3789"/>
    <x v="0"/>
    <n v="16000"/>
    <m/>
  </r>
  <r>
    <s v="KMX150901-167-XF"/>
    <x v="29"/>
    <d v="2015-09-01T00:00:00"/>
    <d v="2015-09-13T00:00:00"/>
    <n v="12"/>
    <d v="2016-01-21T00:00:00"/>
    <x v="4"/>
    <d v="2016-01-21T00:00:00"/>
    <n v="3634"/>
    <x v="0"/>
    <n v="100000"/>
    <m/>
  </r>
  <r>
    <s v="KMX160128-24-XF"/>
    <x v="30"/>
    <d v="2016-01-28T00:00:00"/>
    <d v="2016-04-27T00:00:00"/>
    <n v="90"/>
    <m/>
    <x v="0"/>
    <d v="2016-04-27T00:00:00"/>
    <n v="3537"/>
    <x v="0"/>
    <n v="120000"/>
    <n v="120000"/>
  </r>
  <r>
    <s v="KMX160222-50-XF"/>
    <x v="20"/>
    <d v="2016-02-22T00:00:00"/>
    <d v="2017-03-04T00:00:00"/>
    <n v="376"/>
    <d v="2017-04-06T00:00:00"/>
    <x v="5"/>
    <d v="2017-04-06T00:00:00"/>
    <n v="3193"/>
    <x v="0"/>
    <n v="22748.16"/>
    <m/>
  </r>
  <r>
    <s v="KMX160226-57-NM"/>
    <x v="30"/>
    <d v="2016-02-26T00:00:00"/>
    <d v="2016-07-12T00:00:00"/>
    <n v="137"/>
    <d v="2016-07-12T00:00:00"/>
    <x v="1"/>
    <d v="2016-07-12T00:00:00"/>
    <n v="3461"/>
    <x v="0"/>
    <n v="92000.45"/>
    <m/>
  </r>
  <r>
    <s v="KMX160507-91-XF"/>
    <x v="31"/>
    <d v="2016-05-07T00:00:00"/>
    <d v="2017-01-13T00:00:00"/>
    <n v="251"/>
    <d v="2016-07-12T00:00:00"/>
    <x v="6"/>
    <d v="2016-07-12T00:00:00"/>
    <n v="3461"/>
    <x v="0"/>
    <n v="10800"/>
    <m/>
  </r>
  <r>
    <s v="KMX160719-142-CL"/>
    <x v="32"/>
    <d v="2016-07-19T00:00:00"/>
    <d v="2017-09-13T00:00:00"/>
    <n v="421"/>
    <d v="2017-09-13T00:00:00"/>
    <x v="1"/>
    <d v="2017-09-13T00:00:00"/>
    <n v="3033"/>
    <x v="0"/>
    <n v="5000"/>
    <m/>
  </r>
  <r>
    <s v="KMX160824-171-XF"/>
    <x v="31"/>
    <d v="2016-08-24T00:00:00"/>
    <d v="2016-09-05T00:00:00"/>
    <n v="12"/>
    <d v="2016-12-06T00:00:00"/>
    <x v="7"/>
    <d v="2016-12-06T00:00:00"/>
    <n v="3314"/>
    <x v="0"/>
    <n v="39800"/>
    <m/>
  </r>
  <r>
    <s v="KMX160928-199-NM"/>
    <x v="30"/>
    <d v="2016-09-28T00:00:00"/>
    <d v="2016-11-20T00:00:00"/>
    <n v="53"/>
    <d v="2017-02-24T00:00:00"/>
    <x v="8"/>
    <d v="2017-02-24T00:00:00"/>
    <n v="3234"/>
    <x v="0"/>
    <n v="8000"/>
    <m/>
  </r>
  <r>
    <s v="KMX161103-218-NM"/>
    <x v="30"/>
    <d v="2016-11-03T00:00:00"/>
    <d v="2016-12-20T00:00:00"/>
    <n v="47"/>
    <d v="2017-03-09T00:00:00"/>
    <x v="9"/>
    <d v="2017-03-09T00:00:00"/>
    <n v="3221"/>
    <x v="0"/>
    <n v="28000"/>
    <m/>
  </r>
  <r>
    <s v="KMX161107-222-XF"/>
    <x v="33"/>
    <d v="2016-11-07T00:00:00"/>
    <d v="2016-11-09T00:00:00"/>
    <n v="2"/>
    <d v="2017-04-17T00:00:00"/>
    <x v="10"/>
    <d v="2017-04-17T00:00:00"/>
    <n v="3182"/>
    <x v="0"/>
    <n v="3200"/>
    <m/>
  </r>
  <r>
    <s v="KMX161201-232-JX"/>
    <x v="31"/>
    <d v="2016-12-01T00:00:00"/>
    <d v="2017-10-16T00:00:00"/>
    <n v="319"/>
    <d v="2017-11-27T00:00:00"/>
    <x v="11"/>
    <d v="2017-11-27T00:00:00"/>
    <n v="2958"/>
    <x v="0"/>
    <n v="80000"/>
    <m/>
  </r>
  <r>
    <s v="KMX161214-238-XF"/>
    <x v="34"/>
    <d v="2016-12-14T00:00:00"/>
    <d v="2017-06-13T00:00:00"/>
    <n v="181"/>
    <d v="2017-07-27T00:00:00"/>
    <x v="12"/>
    <d v="2017-07-27T00:00:00"/>
    <n v="3081"/>
    <x v="0"/>
    <n v="9000"/>
    <m/>
  </r>
  <r>
    <s v="KMX170109-002-XF"/>
    <x v="35"/>
    <d v="2017-01-09T00:00:00"/>
    <d v="2017-01-05T00:00:00"/>
    <n v="-4"/>
    <d v="2017-04-06T00:00:00"/>
    <x v="13"/>
    <d v="2017-04-06T00:00:00"/>
    <n v="3193"/>
    <x v="0"/>
    <n v="4460"/>
    <m/>
  </r>
  <r>
    <s v="KMX170124-024-XF"/>
    <x v="36"/>
    <d v="2017-01-24T00:00:00"/>
    <d v="2017-02-12T00:00:00"/>
    <n v="19"/>
    <d v="2017-03-15T00:00:00"/>
    <x v="14"/>
    <d v="2017-03-15T00:00:00"/>
    <n v="3215"/>
    <x v="0"/>
    <n v="4993.1400000000003"/>
    <m/>
  </r>
  <r>
    <s v="KMX170220-051-XF"/>
    <x v="37"/>
    <d v="2017-02-20T00:00:00"/>
    <d v="2017-03-30T00:00:00"/>
    <n v="38"/>
    <d v="2017-04-26T00:00:00"/>
    <x v="15"/>
    <d v="2017-04-26T00:00:00"/>
    <n v="3173"/>
    <x v="0"/>
    <n v="4150"/>
    <m/>
  </r>
  <r>
    <s v="KMX170304-061-XF"/>
    <x v="20"/>
    <d v="2017-03-04T00:00:00"/>
    <d v="2017-03-04T00:00:00"/>
    <n v="0"/>
    <d v="2017-04-06T00:00:00"/>
    <x v="5"/>
    <d v="2017-04-06T00:00:00"/>
    <n v="3193"/>
    <x v="0"/>
    <n v="43369.84"/>
    <m/>
  </r>
  <r>
    <s v="KMX170331-073-XF"/>
    <x v="33"/>
    <d v="2017-03-31T00:00:00"/>
    <d v="2017-04-07T00:00:00"/>
    <n v="7"/>
    <m/>
    <x v="0"/>
    <d v="2017-04-07T00:00:00"/>
    <n v="3192"/>
    <x v="0"/>
    <n v="43463.28"/>
    <n v="43463.28"/>
  </r>
  <r>
    <s v="KMX170410-080-XF"/>
    <x v="38"/>
    <d v="2017-04-10T00:00:00"/>
    <d v="2017-05-10T00:00:00"/>
    <n v="30"/>
    <d v="2017-06-08T00:00:00"/>
    <x v="16"/>
    <d v="2017-06-08T00:00:00"/>
    <n v="3130"/>
    <x v="0"/>
    <n v="10000"/>
    <m/>
  </r>
  <r>
    <s v="KMX170507-100-XF"/>
    <x v="39"/>
    <d v="2017-05-08T00:00:00"/>
    <d v="2017-05-22T00:00:00"/>
    <n v="14"/>
    <d v="2017-07-06T00:00:00"/>
    <x v="17"/>
    <d v="2017-07-06T00:00:00"/>
    <n v="3102"/>
    <x v="0"/>
    <n v="3000"/>
    <m/>
  </r>
  <r>
    <s v="KMX170619-136-XF"/>
    <x v="31"/>
    <d v="2017-06-19T00:00:00"/>
    <d v="2017-07-01T00:00:00"/>
    <n v="12"/>
    <d v="2017-11-27T00:00:00"/>
    <x v="18"/>
    <d v="2017-11-27T00:00:00"/>
    <n v="2958"/>
    <x v="0"/>
    <n v="9700"/>
    <m/>
  </r>
  <r>
    <s v="KMX170626-143-XF"/>
    <x v="15"/>
    <d v="2017-06-26T00:00:00"/>
    <d v="2017-07-03T00:00:00"/>
    <n v="7"/>
    <d v="2017-07-20T00:00:00"/>
    <x v="19"/>
    <d v="2017-07-20T00:00:00"/>
    <n v="3088"/>
    <x v="0"/>
    <n v="46900"/>
    <m/>
  </r>
  <r>
    <s v="KMX170722-165-XF"/>
    <x v="40"/>
    <d v="2017-07-22T00:00:00"/>
    <d v="2017-08-05T00:00:00"/>
    <n v="14"/>
    <d v="2017-08-30T00:00:00"/>
    <x v="20"/>
    <d v="2017-08-30T00:00:00"/>
    <n v="3047"/>
    <x v="0"/>
    <n v="20000"/>
    <m/>
  </r>
  <r>
    <s v="KMX170726-169-XF"/>
    <x v="20"/>
    <d v="2017-07-26T00:00:00"/>
    <d v="2017-08-01T00:00:00"/>
    <n v="6"/>
    <d v="2017-08-09T00:00:00"/>
    <x v="21"/>
    <d v="2017-08-09T00:00:00"/>
    <n v="3068"/>
    <x v="0"/>
    <n v="25488"/>
    <m/>
  </r>
  <r>
    <s v="KMX170829-201-XF"/>
    <x v="41"/>
    <d v="2017-08-29T00:00:00"/>
    <d v="2017-09-13T00:00:00"/>
    <n v="15"/>
    <d v="2017-11-18T00:00:00"/>
    <x v="22"/>
    <d v="2017-11-18T00:00:00"/>
    <n v="2967"/>
    <x v="0"/>
    <n v="69800"/>
    <n v="50000"/>
  </r>
  <r>
    <s v="KMX170919-221-XF"/>
    <x v="42"/>
    <d v="2017-09-20T00:00:00"/>
    <d v="2017-09-27T00:00:00"/>
    <n v="7"/>
    <d v="2018-04-19T00:00:00"/>
    <x v="23"/>
    <d v="2018-04-19T00:00:00"/>
    <n v="2815"/>
    <x v="0"/>
    <n v="55000"/>
    <m/>
  </r>
  <r>
    <s v="KMX171120-261-XF"/>
    <x v="43"/>
    <d v="2017-11-20T00:00:00"/>
    <d v="2018-01-11T00:00:00"/>
    <n v="52"/>
    <d v="2018-09-30T00:00:00"/>
    <x v="24"/>
    <d v="2018-09-30T00:00:00"/>
    <n v="2651"/>
    <x v="0"/>
    <n v="18251.2"/>
    <m/>
  </r>
  <r>
    <s v="KMX180117-018-XF"/>
    <x v="44"/>
    <d v="2018-01-17T00:00:00"/>
    <d v="2018-01-21T00:00:00"/>
    <n v="4"/>
    <d v="2018-04-23T00:00:00"/>
    <x v="7"/>
    <d v="2018-04-23T00:00:00"/>
    <n v="2811"/>
    <x v="0"/>
    <n v="1614"/>
    <m/>
  </r>
  <r>
    <s v="KMX180207-050-XF"/>
    <x v="31"/>
    <d v="2018-02-07T00:00:00"/>
    <d v="2018-03-07T00:00:00"/>
    <n v="28"/>
    <d v="2018-04-21T00:00:00"/>
    <x v="17"/>
    <d v="2018-04-21T00:00:00"/>
    <n v="2813"/>
    <x v="0"/>
    <n v="4500"/>
    <m/>
  </r>
  <r>
    <s v="KMX180224-077-XF"/>
    <x v="34"/>
    <d v="2018-02-24T00:00:00"/>
    <d v="2018-03-04T00:00:00"/>
    <n v="8"/>
    <d v="2018-04-17T00:00:00"/>
    <x v="12"/>
    <d v="2018-04-17T00:00:00"/>
    <n v="2817"/>
    <x v="0"/>
    <n v="4500"/>
    <m/>
  </r>
  <r>
    <s v="KMX180227-081-XF"/>
    <x v="45"/>
    <d v="2018-02-27T00:00:00"/>
    <d v="2018-03-19T00:00:00"/>
    <n v="20"/>
    <d v="2018-04-17T00:00:00"/>
    <x v="16"/>
    <d v="2018-04-17T00:00:00"/>
    <n v="2817"/>
    <x v="0"/>
    <n v="1005.24670000002"/>
    <m/>
  </r>
  <r>
    <s v="KMX180305-085-XF"/>
    <x v="46"/>
    <d v="2018-03-05T00:00:00"/>
    <d v="2018-03-22T00:00:00"/>
    <n v="17"/>
    <d v="2018-04-16T00:00:00"/>
    <x v="20"/>
    <d v="2018-04-16T00:00:00"/>
    <n v="2818"/>
    <x v="0"/>
    <n v="40425"/>
    <m/>
  </r>
  <r>
    <s v="KMX180419-126-XF"/>
    <x v="47"/>
    <d v="2018-04-19T00:00:00"/>
    <d v="2018-08-07T00:00:00"/>
    <n v="110"/>
    <d v="2018-08-10T00:00:00"/>
    <x v="25"/>
    <d v="2018-08-10T00:00:00"/>
    <n v="2702"/>
    <x v="0"/>
    <n v="12175"/>
    <m/>
  </r>
  <r>
    <s v="KMX180515-150-XF"/>
    <x v="48"/>
    <d v="2018-05-15T00:00:00"/>
    <d v="2018-06-04T00:00:00"/>
    <n v="20"/>
    <d v="2018-06-22T00:00:00"/>
    <x v="26"/>
    <d v="2018-06-22T00:00:00"/>
    <n v="2751"/>
    <x v="0"/>
    <n v="54000"/>
    <m/>
  </r>
  <r>
    <s v="KMX180525-163-XF"/>
    <x v="30"/>
    <d v="2018-05-25T00:00:00"/>
    <d v="2018-06-05T00:00:00"/>
    <n v="11"/>
    <d v="2018-07-18T00:00:00"/>
    <x v="27"/>
    <d v="2018-07-18T00:00:00"/>
    <n v="2725"/>
    <x v="0"/>
    <n v="18000"/>
    <m/>
  </r>
  <r>
    <s v="KMX180607-171-XF"/>
    <x v="33"/>
    <d v="2018-06-07T00:00:00"/>
    <d v="2018-06-12T00:00:00"/>
    <n v="5"/>
    <m/>
    <x v="0"/>
    <d v="2018-06-12T00:00:00"/>
    <n v="2761"/>
    <x v="0"/>
    <n v="14800"/>
    <n v="14800"/>
  </r>
  <r>
    <s v="KMX180626-197-XF"/>
    <x v="33"/>
    <d v="2018-06-26T00:00:00"/>
    <d v="2018-07-05T00:00:00"/>
    <n v="9"/>
    <m/>
    <x v="0"/>
    <d v="2018-07-05T00:00:00"/>
    <n v="2738"/>
    <x v="0"/>
    <n v="30000"/>
    <n v="30000"/>
  </r>
  <r>
    <s v="KMX180803-239-XF"/>
    <x v="49"/>
    <d v="2018-08-03T00:00:00"/>
    <d v="2019-01-14T00:00:00"/>
    <n v="164"/>
    <d v="2019-04-02T00:00:00"/>
    <x v="28"/>
    <d v="2019-04-02T00:00:00"/>
    <n v="2467"/>
    <x v="0"/>
    <n v="27"/>
    <m/>
  </r>
  <r>
    <s v="KMX180807-247-XF"/>
    <x v="50"/>
    <d v="2018-08-08T00:00:00"/>
    <d v="2018-08-12T00:00:00"/>
    <n v="4"/>
    <d v="2018-09-26T00:00:00"/>
    <x v="17"/>
    <d v="2018-09-26T00:00:00"/>
    <n v="2655"/>
    <x v="0"/>
    <n v="6600"/>
    <m/>
  </r>
  <r>
    <s v="KMX180815-256-XF"/>
    <x v="51"/>
    <d v="2018-08-15T00:00:00"/>
    <d v="2018-11-01T00:00:00"/>
    <n v="78"/>
    <d v="2019-02-21T00:00:00"/>
    <x v="29"/>
    <d v="2019-02-21T00:00:00"/>
    <n v="2507"/>
    <x v="0"/>
    <n v="5000"/>
    <m/>
  </r>
  <r>
    <s v="KMX180819-261-XF"/>
    <x v="52"/>
    <d v="2018-08-19T00:00:00"/>
    <d v="2018-09-28T00:00:00"/>
    <n v="40"/>
    <d v="2019-03-22T00:00:00"/>
    <x v="30"/>
    <d v="2019-03-22T00:00:00"/>
    <n v="2478"/>
    <x v="0"/>
    <n v="27090"/>
    <m/>
  </r>
  <r>
    <s v="KMX180827-271-XF"/>
    <x v="53"/>
    <d v="2018-08-27T00:00:00"/>
    <d v="2018-08-31T00:00:00"/>
    <n v="4"/>
    <d v="2018-10-23T00:00:00"/>
    <x v="31"/>
    <d v="2018-10-23T00:00:00"/>
    <n v="2628"/>
    <x v="0"/>
    <n v="10125"/>
    <m/>
  </r>
  <r>
    <s v="KMX181101-320-XF"/>
    <x v="48"/>
    <d v="2018-11-01T00:00:00"/>
    <d v="2018-12-20T00:00:00"/>
    <n v="49"/>
    <d v="2019-03-22T00:00:00"/>
    <x v="7"/>
    <d v="2019-03-22T00:00:00"/>
    <n v="2478"/>
    <x v="0"/>
    <n v="33000"/>
    <m/>
  </r>
  <r>
    <s v="KMX181112-325-XF"/>
    <x v="50"/>
    <d v="2018-11-12T00:00:00"/>
    <d v="2018-11-17T00:00:00"/>
    <n v="5"/>
    <d v="2018-12-18T00:00:00"/>
    <x v="14"/>
    <d v="2018-12-18T00:00:00"/>
    <n v="2572"/>
    <x v="0"/>
    <n v="3200"/>
    <m/>
  </r>
  <r>
    <s v="KMX181127-343-XF"/>
    <x v="54"/>
    <d v="2018-11-27T00:00:00"/>
    <d v="2018-12-03T00:00:00"/>
    <n v="6"/>
    <d v="2018-12-06T00:00:00"/>
    <x v="25"/>
    <d v="2018-12-06T00:00:00"/>
    <n v="2584"/>
    <x v="0"/>
    <n v="1176"/>
    <m/>
  </r>
  <r>
    <s v="KMX181207-356-XF"/>
    <x v="30"/>
    <d v="2018-12-07T00:00:00"/>
    <d v="2019-01-16T00:00:00"/>
    <n v="40"/>
    <d v="2019-01-19T00:00:00"/>
    <x v="25"/>
    <d v="2019-01-19T00:00:00"/>
    <n v="2540"/>
    <x v="0"/>
    <n v="5444"/>
    <m/>
  </r>
  <r>
    <s v="KMX181216-373-XF"/>
    <x v="50"/>
    <d v="2018-12-16T00:00:00"/>
    <d v="2018-12-17T00:00:00"/>
    <n v="1"/>
    <d v="2019-02-21T00:00:00"/>
    <x v="22"/>
    <d v="2019-02-21T00:00:00"/>
    <n v="2507"/>
    <x v="0"/>
    <n v="28000"/>
    <m/>
  </r>
  <r>
    <s v="KMX190103-004-XF"/>
    <x v="55"/>
    <d v="2019-01-03T00:00:00"/>
    <d v="2019-02-17T00:00:00"/>
    <n v="45"/>
    <d v="2019-02-22T00:00:00"/>
    <x v="32"/>
    <d v="2019-02-22T00:00:00"/>
    <n v="2506"/>
    <x v="0"/>
    <n v="1750"/>
    <n v="0"/>
  </r>
  <r>
    <s v="KMX190104-008-XF"/>
    <x v="30"/>
    <d v="2019-01-04T00:00:00"/>
    <d v="2019-07-30T00:00:00"/>
    <n v="207"/>
    <d v="2019-11-28T00:00:00"/>
    <x v="33"/>
    <d v="2019-11-28T00:00:00"/>
    <n v="2227"/>
    <x v="0"/>
    <n v="26190"/>
    <n v="0"/>
  </r>
  <r>
    <s v="KMX190108-015-XF"/>
    <x v="56"/>
    <d v="2019-01-08T00:00:00"/>
    <d v="2019-01-15T00:00:00"/>
    <n v="7"/>
    <d v="2019-01-22T00:00:00"/>
    <x v="34"/>
    <d v="2019-01-22T00:00:00"/>
    <n v="2537"/>
    <x v="0"/>
    <n v="6084"/>
    <n v="0"/>
  </r>
  <r>
    <s v="KMX190119-037-XF"/>
    <x v="57"/>
    <d v="2019-01-19T00:00:00"/>
    <d v="2019-02-24T00:00:00"/>
    <n v="36"/>
    <d v="2019-02-16T00:00:00"/>
    <x v="35"/>
    <d v="2019-02-16T00:00:00"/>
    <n v="2512"/>
    <x v="0"/>
    <n v="4500"/>
    <n v="0"/>
  </r>
  <r>
    <s v="KMX190130-058-XF"/>
    <x v="35"/>
    <d v="2019-01-30T00:00:00"/>
    <d v="2019-02-19T00:00:00"/>
    <n v="20"/>
    <d v="2019-02-27T00:00:00"/>
    <x v="21"/>
    <d v="2019-02-27T00:00:00"/>
    <n v="2501"/>
    <x v="0"/>
    <n v="9736"/>
    <n v="0"/>
  </r>
  <r>
    <s v="KMX190201-076-XF"/>
    <x v="58"/>
    <d v="2019-02-01T00:00:00"/>
    <d v="2019-01-25T00:00:00"/>
    <n v="-7"/>
    <d v="2021-11-20T00:00:00"/>
    <x v="36"/>
    <d v="2021-11-20T00:00:00"/>
    <n v="1504"/>
    <x v="0"/>
    <n v="70000"/>
    <n v="70000"/>
  </r>
  <r>
    <s v="KMX190220-096-XF"/>
    <x v="59"/>
    <d v="2019-02-20T00:00:00"/>
    <d v="2019-05-01T00:00:00"/>
    <n v="70"/>
    <d v="2019-05-30T00:00:00"/>
    <x v="16"/>
    <d v="2019-05-30T00:00:00"/>
    <n v="2409"/>
    <x v="0"/>
    <n v="2800.0177586207101"/>
    <n v="0"/>
  </r>
  <r>
    <s v="KMX190223-099-XF"/>
    <x v="60"/>
    <d v="2019-02-23T00:00:00"/>
    <d v="2019-02-28T00:00:00"/>
    <n v="5"/>
    <d v="2019-03-22T00:00:00"/>
    <x v="37"/>
    <d v="2019-03-22T00:00:00"/>
    <n v="2478"/>
    <x v="0"/>
    <n v="2572.92"/>
    <n v="0"/>
  </r>
  <r>
    <s v="KMX190227-107-XF"/>
    <x v="61"/>
    <d v="2019-02-27T00:00:00"/>
    <d v="2019-06-17T00:00:00"/>
    <n v="110"/>
    <d v="2019-06-17T00:00:00"/>
    <x v="1"/>
    <d v="2019-06-17T00:00:00"/>
    <n v="2391"/>
    <x v="0"/>
    <n v="2318.9699999999998"/>
    <n v="0"/>
  </r>
  <r>
    <s v="KMX190311-120-XF"/>
    <x v="34"/>
    <d v="2019-03-11T00:00:00"/>
    <d v="2019-03-18T00:00:00"/>
    <n v="7"/>
    <d v="2019-03-19T00:00:00"/>
    <x v="38"/>
    <d v="2019-03-19T00:00:00"/>
    <n v="2481"/>
    <x v="0"/>
    <n v="1150"/>
    <n v="0"/>
  </r>
  <r>
    <s v="KMX190312-122-XF"/>
    <x v="62"/>
    <d v="2019-03-12T00:00:00"/>
    <d v="2019-03-17T00:00:00"/>
    <n v="5"/>
    <d v="2019-03-21T00:00:00"/>
    <x v="39"/>
    <d v="2019-03-21T00:00:00"/>
    <n v="2479"/>
    <x v="0"/>
    <n v="1040"/>
    <n v="0"/>
  </r>
  <r>
    <s v="KMX190321-137-XF"/>
    <x v="63"/>
    <d v="2019-03-21T00:00:00"/>
    <d v="2019-03-19T00:00:00"/>
    <n v="-2"/>
    <d v="2020-01-21T00:00:00"/>
    <x v="40"/>
    <d v="2020-01-21T00:00:00"/>
    <n v="2173"/>
    <x v="0"/>
    <n v="23740"/>
    <n v="0"/>
  </r>
  <r>
    <s v="KMX190325-144-XF"/>
    <x v="64"/>
    <d v="2019-03-25T00:00:00"/>
    <d v="2020-05-20T00:00:00"/>
    <n v="422"/>
    <d v="2021-08-17T00:00:00"/>
    <x v="41"/>
    <d v="2021-08-17T00:00:00"/>
    <n v="1599"/>
    <x v="0"/>
    <n v="27590.898275860101"/>
    <n v="0"/>
  </r>
  <r>
    <s v="KMX190428-179-XF"/>
    <x v="56"/>
    <d v="2019-04-28T00:00:00"/>
    <d v="2019-05-02T00:00:00"/>
    <n v="4"/>
    <d v="2019-06-22T00:00:00"/>
    <x v="42"/>
    <d v="2019-06-22T00:00:00"/>
    <n v="2386"/>
    <x v="0"/>
    <n v="10060"/>
    <n v="0"/>
  </r>
  <r>
    <s v="KMX190524-205-XF"/>
    <x v="65"/>
    <d v="2019-05-24T00:00:00"/>
    <d v="2019-06-07T00:00:00"/>
    <n v="14"/>
    <d v="2023-09-28T00:00:00"/>
    <x v="43"/>
    <d v="2023-09-28T00:00:00"/>
    <n v="827"/>
    <x v="0"/>
    <n v="1056.2"/>
    <n v="1056.2"/>
  </r>
  <r>
    <s v="KMX190614-226-XF"/>
    <x v="57"/>
    <d v="2019-06-14T00:00:00"/>
    <d v="2019-06-22T00:00:00"/>
    <n v="8"/>
    <d v="2019-06-26T00:00:00"/>
    <x v="39"/>
    <d v="2019-06-26T00:00:00"/>
    <n v="2382"/>
    <x v="0"/>
    <n v="1750"/>
    <n v="0"/>
  </r>
  <r>
    <s v="KMX190622-234-XF"/>
    <x v="66"/>
    <d v="2019-06-22T00:00:00"/>
    <d v="2019-06-28T00:00:00"/>
    <n v="6"/>
    <d v="2019-07-11T00:00:00"/>
    <x v="44"/>
    <d v="2019-07-11T00:00:00"/>
    <n v="2367"/>
    <x v="0"/>
    <n v="7000"/>
    <n v="0"/>
  </r>
  <r>
    <s v="KMX190629-242-XF"/>
    <x v="37"/>
    <d v="2019-06-29T00:00:00"/>
    <d v="2019-07-13T00:00:00"/>
    <n v="14"/>
    <d v="2019-09-25T00:00:00"/>
    <x v="45"/>
    <d v="2019-09-25T00:00:00"/>
    <n v="2291"/>
    <x v="0"/>
    <n v="750"/>
    <n v="0"/>
  </r>
  <r>
    <s v="KMX190701-244-XF"/>
    <x v="67"/>
    <d v="2019-07-01T00:00:00"/>
    <d v="2019-07-24T00:00:00"/>
    <n v="23"/>
    <d v="2019-08-05T00:00:00"/>
    <x v="46"/>
    <d v="2019-08-05T00:00:00"/>
    <n v="2342"/>
    <x v="0"/>
    <n v="5936.5"/>
    <n v="0"/>
  </r>
  <r>
    <s v="KMX190703-246-XF"/>
    <x v="36"/>
    <d v="2019-07-03T00:00:00"/>
    <d v="2019-07-17T00:00:00"/>
    <n v="14"/>
    <d v="2019-08-21T00:00:00"/>
    <x v="47"/>
    <d v="2019-08-21T00:00:00"/>
    <n v="2326"/>
    <x v="0"/>
    <n v="5012"/>
    <n v="0"/>
  </r>
  <r>
    <s v="KMX190711-256-XF"/>
    <x v="68"/>
    <d v="2019-07-11T00:00:00"/>
    <d v="2019-07-14T00:00:00"/>
    <n v="3"/>
    <d v="2019-07-30T00:00:00"/>
    <x v="48"/>
    <d v="2019-07-30T00:00:00"/>
    <n v="2348"/>
    <x v="0"/>
    <n v="4300"/>
    <n v="0"/>
  </r>
  <r>
    <s v="KMX190805-289-XF"/>
    <x v="69"/>
    <d v="2019-08-05T00:00:00"/>
    <d v="2019-08-30T00:00:00"/>
    <n v="25"/>
    <d v="2019-10-21T00:00:00"/>
    <x v="49"/>
    <d v="2019-10-21T00:00:00"/>
    <n v="2265"/>
    <x v="0"/>
    <n v="78343.78"/>
    <n v="0"/>
  </r>
  <r>
    <s v="KMX190820-310-XF"/>
    <x v="70"/>
    <d v="2019-08-20T00:00:00"/>
    <d v="2019-09-11T00:00:00"/>
    <n v="22"/>
    <d v="2019-09-15T00:00:00"/>
    <x v="39"/>
    <d v="2019-09-15T00:00:00"/>
    <n v="2301"/>
    <x v="0"/>
    <n v="70000"/>
    <n v="0"/>
  </r>
  <r>
    <s v="KMX190820-312-XF"/>
    <x v="71"/>
    <d v="2019-08-20T00:00:00"/>
    <d v="2019-08-24T00:00:00"/>
    <n v="4"/>
    <d v="2019-09-25T00:00:00"/>
    <x v="50"/>
    <d v="2019-09-25T00:00:00"/>
    <n v="2291"/>
    <x v="0"/>
    <n v="8988"/>
    <n v="0"/>
  </r>
  <r>
    <s v="KMX190823-316-XF"/>
    <x v="48"/>
    <d v="2019-08-23T00:00:00"/>
    <d v="2019-12-20T00:00:00"/>
    <n v="119"/>
    <d v="2020-08-31T00:00:00"/>
    <x v="51"/>
    <d v="2020-08-31T00:00:00"/>
    <n v="1950"/>
    <x v="0"/>
    <n v="201600"/>
    <n v="0"/>
  </r>
  <r>
    <s v="KMX190922-344-XF"/>
    <x v="30"/>
    <d v="2019-09-22T00:00:00"/>
    <d v="2019-12-31T00:00:00"/>
    <n v="100"/>
    <d v="2019-11-29T00:00:00"/>
    <x v="52"/>
    <d v="2019-11-29T00:00:00"/>
    <n v="2226"/>
    <x v="0"/>
    <n v="17150"/>
    <n v="0"/>
  </r>
  <r>
    <s v="KMX190922-345-XF"/>
    <x v="50"/>
    <d v="2019-09-22T00:00:00"/>
    <d v="2019-09-29T00:00:00"/>
    <n v="7"/>
    <d v="2019-10-09T00:00:00"/>
    <x v="53"/>
    <d v="2019-10-09T00:00:00"/>
    <n v="2277"/>
    <x v="0"/>
    <n v="9000"/>
    <n v="0"/>
  </r>
  <r>
    <s v="KMX190928-353-XF"/>
    <x v="72"/>
    <d v="2019-09-28T00:00:00"/>
    <d v="2019-10-17T00:00:00"/>
    <n v="19"/>
    <d v="2019-12-20T00:00:00"/>
    <x v="54"/>
    <d v="2019-12-20T00:00:00"/>
    <n v="2205"/>
    <x v="0"/>
    <n v="12000"/>
    <n v="0"/>
  </r>
  <r>
    <s v="KMX191018-377-XF"/>
    <x v="35"/>
    <d v="2019-10-18T00:00:00"/>
    <d v="2019-10-25T00:00:00"/>
    <n v="7"/>
    <d v="2019-10-29T00:00:00"/>
    <x v="39"/>
    <d v="2019-10-29T00:00:00"/>
    <n v="2257"/>
    <x v="0"/>
    <n v="4864"/>
    <n v="0"/>
  </r>
  <r>
    <s v="KMX200109-011-XF"/>
    <x v="73"/>
    <d v="2020-01-09T00:00:00"/>
    <d v="2020-01-15T00:00:00"/>
    <n v="6"/>
    <m/>
    <x v="0"/>
    <d v="2020-01-15T00:00:00"/>
    <n v="2179"/>
    <x v="0"/>
    <n v="38000"/>
    <n v="38000"/>
  </r>
  <r>
    <s v="KMX200120-036-XF"/>
    <x v="74"/>
    <d v="2020-01-20T00:00:00"/>
    <d v="2021-03-20T00:00:00"/>
    <n v="425"/>
    <d v="2021-03-19T00:00:00"/>
    <x v="55"/>
    <d v="2021-03-19T00:00:00"/>
    <n v="1750"/>
    <x v="0"/>
    <n v="28600"/>
    <n v="0"/>
  </r>
  <r>
    <s v="KMX200318-052-XF"/>
    <x v="75"/>
    <d v="2020-03-18T00:00:00"/>
    <d v="2020-05-26T00:00:00"/>
    <n v="69"/>
    <d v="2020-06-25T00:00:00"/>
    <x v="56"/>
    <d v="2020-06-25T00:00:00"/>
    <n v="2017"/>
    <x v="0"/>
    <n v="153000"/>
    <n v="0"/>
  </r>
  <r>
    <s v="KMX200417-068-XF"/>
    <x v="76"/>
    <d v="2020-04-17T00:00:00"/>
    <d v="2020-05-10T00:00:00"/>
    <n v="23"/>
    <d v="2020-05-07T00:00:00"/>
    <x v="57"/>
    <d v="2020-05-07T00:00:00"/>
    <n v="2066"/>
    <x v="0"/>
    <n v="4300"/>
    <n v="0"/>
  </r>
  <r>
    <s v="KMX200601-105-XF"/>
    <x v="77"/>
    <d v="2020-06-01T00:00:00"/>
    <d v="2020-06-06T00:00:00"/>
    <n v="5"/>
    <d v="2021-02-03T00:00:00"/>
    <x v="58"/>
    <d v="2021-02-03T00:00:00"/>
    <n v="1794"/>
    <x v="0"/>
    <n v="137376"/>
    <n v="0"/>
  </r>
  <r>
    <s v="KMX200608-109-XF"/>
    <x v="78"/>
    <d v="2020-06-08T00:00:00"/>
    <d v="2021-01-19T00:00:00"/>
    <n v="225"/>
    <d v="2023-03-28T00:00:00"/>
    <x v="59"/>
    <d v="2023-03-28T00:00:00"/>
    <n v="1011"/>
    <x v="0"/>
    <n v="15436.8"/>
    <n v="23836.799999999999"/>
  </r>
  <r>
    <s v="KMX200625-123-XF"/>
    <x v="79"/>
    <d v="2020-06-25T00:00:00"/>
    <d v="2020-06-28T00:00:00"/>
    <n v="3"/>
    <d v="2020-11-25T00:00:00"/>
    <x v="60"/>
    <d v="2020-11-25T00:00:00"/>
    <n v="1864"/>
    <x v="0"/>
    <n v="840"/>
    <n v="0"/>
  </r>
  <r>
    <s v="KMX200711-138-XF"/>
    <x v="80"/>
    <d v="2020-07-11T00:00:00"/>
    <d v="2020-07-19T00:00:00"/>
    <n v="8"/>
    <d v="2020-08-28T00:00:00"/>
    <x v="61"/>
    <d v="2020-08-28T00:00:00"/>
    <n v="1953"/>
    <x v="0"/>
    <n v="5120"/>
    <n v="0"/>
  </r>
  <r>
    <s v="KMX200725-161-XF"/>
    <x v="76"/>
    <d v="2020-07-25T00:00:00"/>
    <d v="2022-06-30T00:00:00"/>
    <n v="705"/>
    <d v="2021-10-19T00:00:00"/>
    <x v="62"/>
    <d v="2021-10-19T00:00:00"/>
    <n v="1536"/>
    <x v="0"/>
    <n v="4300"/>
    <n v="0"/>
  </r>
  <r>
    <s v="KMX200807-180-XF"/>
    <x v="81"/>
    <d v="2020-08-07T00:00:00"/>
    <d v="2021-01-14T00:00:00"/>
    <n v="160"/>
    <m/>
    <x v="0"/>
    <d v="2021-01-14T00:00:00"/>
    <n v="1814"/>
    <x v="0"/>
    <n v="23693"/>
    <n v="-3757"/>
  </r>
  <r>
    <s v="KMX200905-215-XF"/>
    <x v="18"/>
    <d v="2020-09-05T00:00:00"/>
    <d v="2020-09-28T00:00:00"/>
    <n v="23"/>
    <d v="2020-10-29T00:00:00"/>
    <x v="14"/>
    <d v="2020-10-29T00:00:00"/>
    <n v="1891"/>
    <x v="0"/>
    <n v="2000"/>
    <n v="0"/>
  </r>
  <r>
    <s v="KMX200924-236-XF"/>
    <x v="82"/>
    <d v="2020-09-24T00:00:00"/>
    <d v="2020-11-02T00:00:00"/>
    <n v="39"/>
    <d v="2020-11-13T00:00:00"/>
    <x v="2"/>
    <d v="2020-11-13T00:00:00"/>
    <n v="1876"/>
    <x v="0"/>
    <n v="69000"/>
    <n v="0"/>
  </r>
  <r>
    <s v="KMX201003-243-XF"/>
    <x v="83"/>
    <d v="2020-10-03T00:00:00"/>
    <d v="2020-10-21T00:00:00"/>
    <n v="18"/>
    <d v="2020-12-11T00:00:00"/>
    <x v="42"/>
    <d v="2020-12-11T00:00:00"/>
    <n v="1848"/>
    <x v="0"/>
    <n v="94500"/>
    <n v="0"/>
  </r>
  <r>
    <s v="KMX201014-253-XF"/>
    <x v="84"/>
    <d v="2020-10-14T00:00:00"/>
    <d v="2020-10-19T00:00:00"/>
    <n v="5"/>
    <d v="2020-11-13T00:00:00"/>
    <x v="20"/>
    <d v="2020-11-13T00:00:00"/>
    <n v="1876"/>
    <x v="0"/>
    <n v="1250"/>
    <n v="0"/>
  </r>
  <r>
    <s v="KMX201018-255-XF"/>
    <x v="85"/>
    <d v="2020-10-18T00:00:00"/>
    <d v="2021-03-10T00:00:00"/>
    <n v="143"/>
    <d v="2021-02-24T00:00:00"/>
    <x v="63"/>
    <d v="2021-02-24T00:00:00"/>
    <n v="1773"/>
    <x v="0"/>
    <n v="15500"/>
    <n v="0"/>
  </r>
  <r>
    <s v="KMX201023-268-XF"/>
    <x v="86"/>
    <d v="2020-10-24T00:00:00"/>
    <d v="2020-09-28T00:00:00"/>
    <n v="-26"/>
    <d v="2020-10-26T00:00:00"/>
    <x v="64"/>
    <d v="2020-10-26T00:00:00"/>
    <n v="1894"/>
    <x v="0"/>
    <n v="1939.34"/>
    <n v="0"/>
  </r>
  <r>
    <s v="KMX201028-277-XF"/>
    <x v="48"/>
    <d v="2020-10-28T00:00:00"/>
    <d v="2020-11-19T00:00:00"/>
    <n v="22"/>
    <d v="2021-03-05T00:00:00"/>
    <x v="65"/>
    <d v="2021-03-05T00:00:00"/>
    <n v="1764"/>
    <x v="0"/>
    <n v="9250"/>
    <n v="0"/>
  </r>
  <r>
    <s v="KMX201122-313-XF"/>
    <x v="82"/>
    <d v="2020-11-22T00:00:00"/>
    <d v="2020-11-24T00:00:00"/>
    <n v="2"/>
    <d v="2020-12-15T00:00:00"/>
    <x v="66"/>
    <d v="2020-12-15T00:00:00"/>
    <n v="1844"/>
    <x v="0"/>
    <n v="20000"/>
    <n v="0"/>
  </r>
  <r>
    <s v="KMX201201-320-XF"/>
    <x v="87"/>
    <d v="2020-12-01T00:00:00"/>
    <d v="2021-04-27T00:00:00"/>
    <n v="147"/>
    <d v="2021-05-26T00:00:00"/>
    <x v="16"/>
    <d v="2021-05-26T00:00:00"/>
    <n v="1682"/>
    <x v="0"/>
    <n v="1750"/>
    <n v="0"/>
  </r>
  <r>
    <s v="KMX201221-356-XF"/>
    <x v="88"/>
    <d v="2020-12-21T00:00:00"/>
    <d v="2021-03-01T00:00:00"/>
    <n v="70"/>
    <d v="2021-03-03T00:00:00"/>
    <x v="67"/>
    <d v="2021-03-03T00:00:00"/>
    <n v="1766"/>
    <x v="0"/>
    <n v="41621"/>
    <n v="0"/>
  </r>
  <r>
    <s v="KMX201223-358-XF"/>
    <x v="37"/>
    <d v="2020-12-23T00:00:00"/>
    <d v="2021-01-20T00:00:00"/>
    <n v="28"/>
    <d v="2021-05-26T00:00:00"/>
    <x v="68"/>
    <d v="2021-05-26T00:00:00"/>
    <n v="1682"/>
    <x v="0"/>
    <n v="6000"/>
    <n v="0"/>
  </r>
  <r>
    <s v="KMX201227-364-XF"/>
    <x v="89"/>
    <d v="2020-12-27T00:00:00"/>
    <d v="2021-01-07T00:00:00"/>
    <n v="11"/>
    <d v="2021-01-19T00:00:00"/>
    <x v="46"/>
    <d v="2021-01-19T00:00:00"/>
    <n v="1809"/>
    <x v="0"/>
    <n v="3511.56"/>
    <n v="0"/>
  </r>
  <r>
    <s v="KMX201230-369-XF"/>
    <x v="30"/>
    <d v="2020-12-30T00:00:00"/>
    <d v="2021-01-25T00:00:00"/>
    <n v="26"/>
    <d v="2021-03-30T00:00:00"/>
    <x v="54"/>
    <d v="2021-03-30T00:00:00"/>
    <n v="1739"/>
    <x v="0"/>
    <n v="14800"/>
    <n v="0"/>
  </r>
  <r>
    <s v="KMX210110-011-XF"/>
    <x v="90"/>
    <d v="2021-01-10T00:00:00"/>
    <d v="2021-02-08T00:00:00"/>
    <n v="29"/>
    <d v="2021-03-18T00:00:00"/>
    <x v="69"/>
    <d v="2021-03-18T00:00:00"/>
    <n v="1751"/>
    <x v="0"/>
    <n v="4.0000000008149099E-3"/>
    <n v="0"/>
  </r>
  <r>
    <s v="KMX210113-014-XF"/>
    <x v="58"/>
    <d v="2021-01-13T00:00:00"/>
    <d v="2021-02-02T00:00:00"/>
    <n v="20"/>
    <d v="2021-04-21T00:00:00"/>
    <x v="28"/>
    <d v="2021-04-21T00:00:00"/>
    <n v="1717"/>
    <x v="0"/>
    <n v="15000"/>
    <n v="0"/>
  </r>
  <r>
    <s v="KMX210130-060-XF"/>
    <x v="91"/>
    <d v="2021-01-30T00:00:00"/>
    <d v="2021-05-15T00:00:00"/>
    <n v="105"/>
    <d v="2021-06-29T00:00:00"/>
    <x v="17"/>
    <d v="2021-06-29T00:00:00"/>
    <n v="1648"/>
    <x v="0"/>
    <n v="3.79999999131542E-3"/>
    <n v="0"/>
  </r>
  <r>
    <s v="KMX210201-062-XF"/>
    <x v="92"/>
    <d v="2021-02-01T00:00:00"/>
    <d v="2021-02-02T00:00:00"/>
    <n v="1"/>
    <d v="2021-02-21T00:00:00"/>
    <x v="70"/>
    <d v="2021-02-21T00:00:00"/>
    <n v="1776"/>
    <x v="0"/>
    <n v="1750"/>
    <n v="0"/>
  </r>
  <r>
    <s v="KMX210201-065-XF"/>
    <x v="55"/>
    <d v="2021-02-01T00:00:00"/>
    <d v="2021-03-08T00:00:00"/>
    <n v="35"/>
    <d v="2021-04-06T00:00:00"/>
    <x v="16"/>
    <d v="2021-04-06T00:00:00"/>
    <n v="1732"/>
    <x v="0"/>
    <n v="1200"/>
    <n v="0"/>
  </r>
  <r>
    <s v="KMX210201-068-XF"/>
    <x v="93"/>
    <d v="2021-02-01T00:00:00"/>
    <d v="2021-07-19T00:00:00"/>
    <n v="168"/>
    <d v="2021-09-07T00:00:00"/>
    <x v="71"/>
    <d v="2021-09-07T00:00:00"/>
    <n v="1578"/>
    <x v="0"/>
    <n v="7263.2860000000001"/>
    <n v="0"/>
  </r>
  <r>
    <s v="KMX210201-076-XF"/>
    <x v="94"/>
    <d v="2021-02-01T00:00:00"/>
    <d v="2021-03-21T00:00:00"/>
    <n v="48"/>
    <d v="2021-03-18T00:00:00"/>
    <x v="57"/>
    <d v="2021-03-18T00:00:00"/>
    <n v="1751"/>
    <x v="0"/>
    <n v="152125"/>
    <n v="0"/>
  </r>
  <r>
    <s v="KMX210206-092-XF"/>
    <x v="95"/>
    <d v="2021-02-06T00:00:00"/>
    <d v="2021-03-16T00:00:00"/>
    <n v="38"/>
    <d v="2021-11-22T00:00:00"/>
    <x v="72"/>
    <d v="2021-11-22T00:00:00"/>
    <n v="1502"/>
    <x v="0"/>
    <n v="3.8295999984256902E-3"/>
    <n v="0"/>
  </r>
  <r>
    <s v="KMX210208-095-XF"/>
    <x v="96"/>
    <d v="2021-02-08T00:00:00"/>
    <d v="2021-03-18T00:00:00"/>
    <n v="38"/>
    <d v="2021-04-23T00:00:00"/>
    <x v="73"/>
    <d v="2021-04-23T00:00:00"/>
    <n v="1715"/>
    <x v="0"/>
    <n v="20000"/>
    <n v="0"/>
  </r>
  <r>
    <s v="KMX210224-110-XF"/>
    <x v="97"/>
    <d v="2021-02-24T00:00:00"/>
    <d v="2021-03-10T00:00:00"/>
    <n v="14"/>
    <d v="2021-05-24T00:00:00"/>
    <x v="74"/>
    <d v="2021-05-24T00:00:00"/>
    <n v="1684"/>
    <x v="0"/>
    <n v="2485"/>
    <n v="0"/>
  </r>
  <r>
    <s v="KMX210301-115-XF"/>
    <x v="78"/>
    <d v="2021-03-01T00:00:00"/>
    <d v="2021-03-04T00:00:00"/>
    <n v="3"/>
    <d v="2023-03-28T00:00:00"/>
    <x v="75"/>
    <d v="2023-03-28T00:00:00"/>
    <n v="1011"/>
    <x v="0"/>
    <n v="1200"/>
    <n v="0"/>
  </r>
  <r>
    <s v="KMX210302-118-XF"/>
    <x v="35"/>
    <d v="2021-03-02T00:00:00"/>
    <d v="2021-04-14T00:00:00"/>
    <n v="43"/>
    <d v="2021-12-03T00:00:00"/>
    <x v="76"/>
    <d v="2021-12-03T00:00:00"/>
    <n v="1491"/>
    <x v="0"/>
    <n v="70790"/>
    <n v="0"/>
  </r>
  <r>
    <s v="KMX210304-122-XF"/>
    <x v="98"/>
    <d v="2021-03-04T00:00:00"/>
    <d v="2021-03-18T00:00:00"/>
    <n v="14"/>
    <m/>
    <x v="0"/>
    <d v="2021-03-18T00:00:00"/>
    <n v="1751"/>
    <x v="0"/>
    <n v="73530"/>
    <n v="73530"/>
  </r>
  <r>
    <s v="KMX210306-124-XF"/>
    <x v="99"/>
    <d v="2021-03-06T00:00:00"/>
    <d v="2021-03-20T00:00:00"/>
    <n v="14"/>
    <d v="2021-05-18T00:00:00"/>
    <x v="77"/>
    <d v="2021-05-18T00:00:00"/>
    <n v="1690"/>
    <x v="0"/>
    <n v="2176"/>
    <n v="0"/>
  </r>
  <r>
    <s v="KMX210308-126-XF"/>
    <x v="100"/>
    <d v="2021-03-08T00:00:00"/>
    <d v="2021-04-03T00:00:00"/>
    <n v="26"/>
    <d v="2021-04-21T00:00:00"/>
    <x v="26"/>
    <d v="2021-04-21T00:00:00"/>
    <n v="1717"/>
    <x v="0"/>
    <n v="50000"/>
    <n v="0"/>
  </r>
  <r>
    <s v="KMX210312-133-XF"/>
    <x v="101"/>
    <d v="2021-03-12T00:00:00"/>
    <d v="2021-03-16T00:00:00"/>
    <n v="4"/>
    <d v="2021-04-01T00:00:00"/>
    <x v="48"/>
    <d v="2021-04-01T00:00:00"/>
    <n v="1737"/>
    <x v="0"/>
    <n v="18000"/>
    <n v="0"/>
  </r>
  <r>
    <s v="KMX210403-165-XF"/>
    <x v="78"/>
    <d v="2021-04-03T00:00:00"/>
    <d v="2021-04-08T00:00:00"/>
    <n v="5"/>
    <d v="2023-03-28T00:00:00"/>
    <x v="78"/>
    <d v="2023-03-28T00:00:00"/>
    <n v="1011"/>
    <x v="0"/>
    <n v="1200"/>
    <n v="0"/>
  </r>
  <r>
    <s v="KMX210410-170-XF"/>
    <x v="75"/>
    <d v="2021-04-10T00:00:00"/>
    <d v="2022-04-18T00:00:00"/>
    <n v="373"/>
    <d v="2021-07-30T00:00:00"/>
    <x v="79"/>
    <d v="2021-07-30T00:00:00"/>
    <n v="1617"/>
    <x v="0"/>
    <n v="217662.4"/>
    <n v="0"/>
  </r>
  <r>
    <s v="KMX210426-185-XF"/>
    <x v="23"/>
    <d v="2021-04-26T00:00:00"/>
    <d v="2021-06-02T00:00:00"/>
    <n v="37"/>
    <d v="2022-02-22T00:00:00"/>
    <x v="80"/>
    <d v="2022-02-22T00:00:00"/>
    <n v="1410"/>
    <x v="0"/>
    <n v="71816"/>
    <n v="0"/>
  </r>
  <r>
    <s v="KMX210515-202-XF"/>
    <x v="102"/>
    <d v="2021-05-15T00:00:00"/>
    <d v="2022-06-25T00:00:00"/>
    <n v="406"/>
    <d v="2023-07-27T00:00:00"/>
    <x v="81"/>
    <d v="2023-07-27T00:00:00"/>
    <n v="890"/>
    <x v="0"/>
    <n v="15600"/>
    <n v="15600"/>
  </r>
  <r>
    <s v="KMX210518-203-XF"/>
    <x v="84"/>
    <d v="2021-05-18T00:00:00"/>
    <d v="2021-05-25T00:00:00"/>
    <n v="7"/>
    <d v="2021-06-02T00:00:00"/>
    <x v="21"/>
    <d v="2021-06-02T00:00:00"/>
    <n v="1675"/>
    <x v="0"/>
    <n v="1750"/>
    <n v="0"/>
  </r>
  <r>
    <s v="KMX210526-208-XF"/>
    <x v="103"/>
    <d v="2021-05-26T00:00:00"/>
    <d v="2021-06-01T00:00:00"/>
    <n v="6"/>
    <d v="2021-07-15T00:00:00"/>
    <x v="12"/>
    <d v="2021-07-15T00:00:00"/>
    <n v="1632"/>
    <x v="0"/>
    <n v="328"/>
    <n v="0"/>
  </r>
  <r>
    <s v="KMX210620-242-XF"/>
    <x v="37"/>
    <d v="2021-06-20T00:00:00"/>
    <d v="2021-06-28T00:00:00"/>
    <n v="8"/>
    <d v="2021-07-29T00:00:00"/>
    <x v="14"/>
    <d v="2021-07-29T00:00:00"/>
    <n v="1618"/>
    <x v="0"/>
    <n v="17250"/>
    <n v="0"/>
  </r>
  <r>
    <s v="KMX210623-247-XF"/>
    <x v="104"/>
    <d v="2021-06-23T00:00:00"/>
    <d v="2021-06-30T00:00:00"/>
    <n v="7"/>
    <d v="2021-07-24T00:00:00"/>
    <x v="82"/>
    <d v="2021-07-24T00:00:00"/>
    <n v="1623"/>
    <x v="0"/>
    <n v="39264"/>
    <n v="0"/>
  </r>
  <r>
    <s v="KMX210627-251-XF"/>
    <x v="79"/>
    <d v="2021-06-25T00:00:00"/>
    <d v="2021-06-30T00:00:00"/>
    <n v="5"/>
    <d v="2021-08-11T00:00:00"/>
    <x v="11"/>
    <d v="2021-08-11T00:00:00"/>
    <n v="1605"/>
    <x v="0"/>
    <n v="1000"/>
    <n v="0"/>
  </r>
  <r>
    <s v="KMX210708-265-XF"/>
    <x v="63"/>
    <d v="2021-07-08T00:00:00"/>
    <d v="2021-07-22T00:00:00"/>
    <n v="14"/>
    <d v="2021-09-17T00:00:00"/>
    <x v="83"/>
    <d v="2021-09-17T00:00:00"/>
    <n v="1568"/>
    <x v="0"/>
    <n v="31080"/>
    <n v="0"/>
  </r>
  <r>
    <s v="KMX210709-267-XF"/>
    <x v="55"/>
    <d v="2021-07-09T00:00:00"/>
    <d v="2021-07-21T00:00:00"/>
    <n v="12"/>
    <d v="2021-08-19T00:00:00"/>
    <x v="16"/>
    <d v="2021-08-19T00:00:00"/>
    <n v="1597"/>
    <x v="0"/>
    <n v="1040"/>
    <n v="0"/>
  </r>
  <r>
    <s v="KMX210713-272-XF"/>
    <x v="105"/>
    <d v="2021-07-13T00:00:00"/>
    <d v="2021-07-20T00:00:00"/>
    <n v="7"/>
    <d v="2021-11-24T00:00:00"/>
    <x v="84"/>
    <d v="2021-11-24T00:00:00"/>
    <n v="1500"/>
    <x v="0"/>
    <n v="3.9999999935389496E-3"/>
    <n v="0"/>
  </r>
  <r>
    <s v="KMX210715-276-XF"/>
    <x v="106"/>
    <d v="2021-07-15T00:00:00"/>
    <d v="2021-09-25T00:00:00"/>
    <n v="72"/>
    <d v="2023-05-15T00:00:00"/>
    <x v="85"/>
    <d v="2023-05-15T00:00:00"/>
    <n v="963"/>
    <x v="0"/>
    <n v="34965"/>
    <n v="35400"/>
  </r>
  <r>
    <s v="KMX210719-278-XF"/>
    <x v="107"/>
    <d v="2021-07-19T00:00:00"/>
    <d v="2021-07-28T00:00:00"/>
    <n v="9"/>
    <m/>
    <x v="0"/>
    <d v="2021-07-28T00:00:00"/>
    <n v="1619"/>
    <x v="0"/>
    <n v="172800"/>
    <n v="172800"/>
  </r>
  <r>
    <s v="KMX210719-280-XF"/>
    <x v="108"/>
    <d v="2021-07-19T00:00:00"/>
    <d v="2022-03-17T00:00:00"/>
    <n v="241"/>
    <d v="2021-09-24T00:00:00"/>
    <x v="86"/>
    <d v="2021-09-24T00:00:00"/>
    <n v="1561"/>
    <x v="0"/>
    <n v="3607"/>
    <n v="0"/>
  </r>
  <r>
    <s v="KMX210720-281-XF"/>
    <x v="109"/>
    <d v="2021-07-20T00:00:00"/>
    <d v="2021-08-04T00:00:00"/>
    <n v="15"/>
    <d v="2021-12-14T00:00:00"/>
    <x v="87"/>
    <d v="2021-12-14T00:00:00"/>
    <n v="1480"/>
    <x v="0"/>
    <n v="58000"/>
    <n v="0"/>
  </r>
  <r>
    <s v="KMX210810-310-XF"/>
    <x v="110"/>
    <d v="2021-08-10T00:00:00"/>
    <d v="2021-09-01T00:00:00"/>
    <n v="22"/>
    <d v="2022-01-04T00:00:00"/>
    <x v="88"/>
    <d v="2022-01-04T00:00:00"/>
    <n v="1459"/>
    <x v="0"/>
    <n v="24000"/>
    <n v="0"/>
  </r>
  <r>
    <s v="KMX210823-324-XF"/>
    <x v="111"/>
    <d v="2021-08-23T00:00:00"/>
    <d v="2021-08-28T00:00:00"/>
    <n v="5"/>
    <d v="2021-12-13T00:00:00"/>
    <x v="89"/>
    <d v="2021-12-13T00:00:00"/>
    <n v="1481"/>
    <x v="0"/>
    <n v="62000"/>
    <n v="0"/>
  </r>
  <r>
    <s v="KMX210828-331-XF"/>
    <x v="112"/>
    <d v="2021-08-28T00:00:00"/>
    <d v="2021-12-07T00:00:00"/>
    <n v="101"/>
    <d v="2022-01-12T00:00:00"/>
    <x v="73"/>
    <d v="2022-01-12T00:00:00"/>
    <n v="1451"/>
    <x v="0"/>
    <n v="11744.44"/>
    <n v="0"/>
  </r>
  <r>
    <s v="KMX210830-332-XF"/>
    <x v="99"/>
    <d v="2021-08-30T00:00:00"/>
    <d v="2021-09-02T00:00:00"/>
    <n v="3"/>
    <d v="2021-09-17T00:00:00"/>
    <x v="90"/>
    <d v="2021-09-17T00:00:00"/>
    <n v="1568"/>
    <x v="0"/>
    <n v="1200"/>
    <n v="0"/>
  </r>
  <r>
    <s v="KMX210914-355-XF"/>
    <x v="112"/>
    <d v="2021-09-14T00:00:00"/>
    <d v="2021-12-07T00:00:00"/>
    <n v="84"/>
    <d v="2022-01-12T00:00:00"/>
    <x v="73"/>
    <d v="2022-01-12T00:00:00"/>
    <n v="1451"/>
    <x v="0"/>
    <n v="918.16000000000304"/>
    <n v="0"/>
  </r>
  <r>
    <s v="KMX210921-363-XF"/>
    <x v="91"/>
    <d v="2021-09-21T00:00:00"/>
    <d v="2021-12-27T00:00:00"/>
    <n v="97"/>
    <d v="2022-02-26T00:00:00"/>
    <x v="91"/>
    <d v="2022-02-26T00:00:00"/>
    <n v="1406"/>
    <x v="0"/>
    <n v="2565.2044999999998"/>
    <n v="0"/>
  </r>
  <r>
    <s v="KMX210929-369-XF"/>
    <x v="113"/>
    <d v="2021-09-29T00:00:00"/>
    <d v="2022-06-17T00:00:00"/>
    <n v="261"/>
    <m/>
    <x v="0"/>
    <d v="2022-06-17T00:00:00"/>
    <n v="1295"/>
    <x v="0"/>
    <n v="4500"/>
    <n v="0"/>
  </r>
  <r>
    <s v="KMX211019-388-XF"/>
    <x v="114"/>
    <d v="2021-10-19T00:00:00"/>
    <d v="2021-10-28T00:00:00"/>
    <n v="9"/>
    <d v="2021-11-08T00:00:00"/>
    <x v="2"/>
    <d v="2021-11-08T00:00:00"/>
    <n v="1516"/>
    <x v="0"/>
    <n v="1497.5"/>
    <n v="0"/>
  </r>
  <r>
    <s v="KMX211020-391-XF"/>
    <x v="115"/>
    <d v="2021-10-20T00:00:00"/>
    <d v="2022-05-02T00:00:00"/>
    <n v="194"/>
    <d v="2023-04-18T00:00:00"/>
    <x v="92"/>
    <d v="2023-04-18T00:00:00"/>
    <n v="990"/>
    <x v="0"/>
    <n v="120000"/>
    <n v="0"/>
  </r>
  <r>
    <s v="KMX211022-395-XF"/>
    <x v="116"/>
    <d v="2021-10-22T00:00:00"/>
    <d v="2022-10-20T00:00:00"/>
    <n v="363"/>
    <d v="2023-12-12T00:00:00"/>
    <x v="93"/>
    <d v="2023-12-12T00:00:00"/>
    <n v="752"/>
    <x v="0"/>
    <n v="12236"/>
    <n v="0"/>
  </r>
  <r>
    <s v="KMX211028-410-XF"/>
    <x v="117"/>
    <d v="2021-10-28T00:00:00"/>
    <d v="2023-06-30T00:00:00"/>
    <n v="610"/>
    <d v="2024-09-12T00:00:00"/>
    <x v="94"/>
    <d v="2024-09-12T00:00:00"/>
    <n v="477"/>
    <x v="0"/>
    <n v="50000"/>
    <n v="0"/>
  </r>
  <r>
    <s v="KMX211104-427-XF"/>
    <x v="118"/>
    <d v="2021-11-04T00:00:00"/>
    <d v="2021-11-20T00:00:00"/>
    <n v="16"/>
    <d v="2022-04-13T00:00:00"/>
    <x v="95"/>
    <d v="2022-04-13T00:00:00"/>
    <n v="1360"/>
    <x v="0"/>
    <n v="14098.772999999999"/>
    <n v="0"/>
  </r>
  <r>
    <s v="KMX211106-429-XF"/>
    <x v="119"/>
    <d v="2021-11-06T00:00:00"/>
    <d v="2021-12-02T00:00:00"/>
    <n v="26"/>
    <m/>
    <x v="0"/>
    <d v="2021-12-02T00:00:00"/>
    <n v="1492"/>
    <x v="0"/>
    <n v="68000"/>
    <n v="68000"/>
  </r>
  <r>
    <s v="KMX211115-442-XF"/>
    <x v="120"/>
    <d v="2021-11-15T00:00:00"/>
    <d v="2021-11-16T00:00:00"/>
    <n v="1"/>
    <d v="2022-01-11T00:00:00"/>
    <x v="96"/>
    <d v="2022-01-11T00:00:00"/>
    <n v="1452"/>
    <x v="0"/>
    <n v="3070"/>
    <n v="0"/>
  </r>
  <r>
    <s v="KMX211115-443-XF"/>
    <x v="120"/>
    <d v="2021-11-15T00:00:00"/>
    <d v="2021-12-02T00:00:00"/>
    <n v="17"/>
    <d v="2022-01-11T00:00:00"/>
    <x v="61"/>
    <d v="2022-01-11T00:00:00"/>
    <n v="1452"/>
    <x v="0"/>
    <n v="34800"/>
    <n v="0"/>
  </r>
  <r>
    <s v="KMX211117-448-XF"/>
    <x v="88"/>
    <d v="2021-11-17T00:00:00"/>
    <d v="2021-11-28T00:00:00"/>
    <n v="11"/>
    <d v="2021-12-29T00:00:00"/>
    <x v="14"/>
    <d v="2021-12-29T00:00:00"/>
    <n v="1465"/>
    <x v="0"/>
    <n v="56000"/>
    <n v="0"/>
  </r>
  <r>
    <s v="KMX211120-455-XF"/>
    <x v="108"/>
    <d v="2021-11-20T00:00:00"/>
    <d v="2021-12-22T00:00:00"/>
    <n v="32"/>
    <d v="2022-02-10T00:00:00"/>
    <x v="71"/>
    <d v="2022-02-10T00:00:00"/>
    <n v="1422"/>
    <x v="0"/>
    <n v="4100"/>
    <n v="0"/>
  </r>
  <r>
    <s v="KMX211124-459-XF"/>
    <x v="106"/>
    <d v="2021-11-24T00:00:00"/>
    <d v="2021-12-01T00:00:00"/>
    <n v="7"/>
    <d v="2023-04-04T00:00:00"/>
    <x v="97"/>
    <d v="2023-04-04T00:00:00"/>
    <n v="1004"/>
    <x v="0"/>
    <n v="750"/>
    <n v="0"/>
  </r>
  <r>
    <s v="KMX211129-465-XF"/>
    <x v="62"/>
    <d v="2021-11-29T00:00:00"/>
    <d v="2021-12-31T00:00:00"/>
    <n v="32"/>
    <d v="2022-04-13T00:00:00"/>
    <x v="98"/>
    <d v="2022-04-13T00:00:00"/>
    <n v="1360"/>
    <x v="0"/>
    <n v="4050"/>
    <n v="0"/>
  </r>
  <r>
    <s v="KMX211202-472-XF"/>
    <x v="121"/>
    <d v="2021-12-02T00:00:00"/>
    <d v="2022-03-17T00:00:00"/>
    <n v="105"/>
    <d v="2023-11-06T00:00:00"/>
    <x v="99"/>
    <d v="2023-11-06T00:00:00"/>
    <n v="788"/>
    <x v="0"/>
    <n v="1881"/>
    <n v="0"/>
  </r>
  <r>
    <s v="KMX211202-473-XF"/>
    <x v="100"/>
    <d v="2021-12-02T00:00:00"/>
    <d v="2021-12-14T00:00:00"/>
    <n v="12"/>
    <d v="2021-12-16T00:00:00"/>
    <x v="67"/>
    <d v="2021-12-16T00:00:00"/>
    <n v="1478"/>
    <x v="0"/>
    <n v="14765"/>
    <n v="0"/>
  </r>
  <r>
    <s v="KMX211204-478-XF"/>
    <x v="122"/>
    <d v="2021-12-04T00:00:00"/>
    <d v="2022-01-11T00:00:00"/>
    <n v="38"/>
    <d v="2022-05-05T00:00:00"/>
    <x v="100"/>
    <d v="2022-05-05T00:00:00"/>
    <n v="1338"/>
    <x v="0"/>
    <n v="14500"/>
    <n v="0"/>
  </r>
  <r>
    <s v="KMX211205-479-XF"/>
    <x v="49"/>
    <d v="2021-12-05T00:00:00"/>
    <d v="2021-12-12T00:00:00"/>
    <n v="7"/>
    <d v="2022-03-03T00:00:00"/>
    <x v="101"/>
    <d v="2022-03-03T00:00:00"/>
    <n v="1401"/>
    <x v="0"/>
    <n v="2312.98"/>
    <n v="0"/>
  </r>
  <r>
    <s v="KMX211211-488-XF"/>
    <x v="123"/>
    <d v="2021-12-11T00:00:00"/>
    <d v="2022-03-13T00:00:00"/>
    <n v="92"/>
    <d v="2022-11-21T00:00:00"/>
    <x v="102"/>
    <d v="2022-11-21T00:00:00"/>
    <n v="1138"/>
    <x v="0"/>
    <n v="43000"/>
    <n v="0"/>
  </r>
  <r>
    <s v="KMX211211-489-XF"/>
    <x v="124"/>
    <d v="2021-12-11T00:00:00"/>
    <d v="2022-03-12T00:00:00"/>
    <n v="91"/>
    <d v="2024-01-17T00:00:00"/>
    <x v="103"/>
    <d v="2024-01-17T00:00:00"/>
    <n v="716"/>
    <x v="0"/>
    <n v="35000"/>
    <n v="0"/>
  </r>
  <r>
    <s v="KMX211216-497-XF"/>
    <x v="125"/>
    <d v="2021-12-16T00:00:00"/>
    <d v="2022-01-22T00:00:00"/>
    <n v="37"/>
    <d v="2024-05-10T00:00:00"/>
    <x v="104"/>
    <d v="2024-05-10T00:00:00"/>
    <n v="602"/>
    <x v="0"/>
    <n v="21659.18"/>
    <n v="0"/>
  </r>
  <r>
    <s v="KMX211218-502-XF"/>
    <x v="126"/>
    <d v="2021-12-18T00:00:00"/>
    <d v="2022-01-01T00:00:00"/>
    <n v="14"/>
    <d v="2022-05-11T00:00:00"/>
    <x v="4"/>
    <d v="2022-05-11T00:00:00"/>
    <n v="1332"/>
    <x v="0"/>
    <n v="1276.4749999999999"/>
    <n v="0"/>
  </r>
  <r>
    <s v="KMX211223-511-XF"/>
    <x v="127"/>
    <d v="2021-12-23T00:00:00"/>
    <d v="2022-02-17T00:00:00"/>
    <n v="56"/>
    <d v="2022-03-08T00:00:00"/>
    <x v="70"/>
    <d v="2022-03-08T00:00:00"/>
    <n v="1396"/>
    <x v="0"/>
    <n v="86540"/>
    <n v="0"/>
  </r>
  <r>
    <s v="KMX211223-512-XF"/>
    <x v="69"/>
    <d v="2021-12-23T00:00:00"/>
    <d v="2021-12-30T00:00:00"/>
    <n v="7"/>
    <d v="2022-03-08T00:00:00"/>
    <x v="105"/>
    <d v="2022-03-08T00:00:00"/>
    <n v="1396"/>
    <x v="0"/>
    <n v="30843.200000000001"/>
    <n v="0"/>
  </r>
  <r>
    <s v="KMX211227-514-XF"/>
    <x v="106"/>
    <d v="2021-12-27T00:00:00"/>
    <d v="2022-01-03T00:00:00"/>
    <n v="7"/>
    <d v="2023-04-04T00:00:00"/>
    <x v="106"/>
    <d v="2023-04-04T00:00:00"/>
    <n v="1004"/>
    <x v="0"/>
    <n v="1500"/>
    <n v="0"/>
  </r>
  <r>
    <s v="KMX211228-517-XF"/>
    <x v="128"/>
    <d v="2021-12-28T00:00:00"/>
    <d v="2022-01-07T00:00:00"/>
    <n v="10"/>
    <d v="2022-06-13T00:00:00"/>
    <x v="107"/>
    <d v="2022-06-13T00:00:00"/>
    <n v="1299"/>
    <x v="0"/>
    <n v="28250"/>
    <n v="0"/>
  </r>
  <r>
    <s v="KMX220108-011-XF"/>
    <x v="52"/>
    <d v="2022-01-08T00:00:00"/>
    <d v="2022-03-16T00:00:00"/>
    <n v="67"/>
    <d v="2023-04-18T00:00:00"/>
    <x v="108"/>
    <d v="2023-04-18T00:00:00"/>
    <n v="990"/>
    <x v="0"/>
    <n v="12900"/>
    <n v="0"/>
  </r>
  <r>
    <s v="KMX220110-014-XF"/>
    <x v="129"/>
    <d v="2022-01-10T00:00:00"/>
    <d v="2022-05-21T00:00:00"/>
    <n v="131"/>
    <d v="2022-06-24T00:00:00"/>
    <x v="109"/>
    <d v="2022-06-24T00:00:00"/>
    <n v="1288"/>
    <x v="0"/>
    <n v="6547.95999999999"/>
    <n v="0"/>
  </r>
  <r>
    <s v="KMX220111-016-XF"/>
    <x v="78"/>
    <d v="2022-01-11T00:00:00"/>
    <d v="2022-06-21T00:00:00"/>
    <n v="161"/>
    <d v="2023-03-28T00:00:00"/>
    <x v="110"/>
    <d v="2023-03-28T00:00:00"/>
    <n v="1011"/>
    <x v="0"/>
    <n v="6000"/>
    <n v="0"/>
  </r>
  <r>
    <s v="KMX220111-020-XF"/>
    <x v="33"/>
    <d v="2022-01-11T00:00:00"/>
    <d v="2022-01-12T00:00:00"/>
    <n v="1"/>
    <m/>
    <x v="0"/>
    <d v="2022-01-12T00:00:00"/>
    <n v="1451"/>
    <x v="0"/>
    <n v="30000"/>
    <n v="30000"/>
  </r>
  <r>
    <s v="KMX220112-021-XF"/>
    <x v="130"/>
    <d v="2022-01-11T00:00:00"/>
    <d v="2022-02-19T00:00:00"/>
    <n v="39"/>
    <d v="2022-03-23T00:00:00"/>
    <x v="50"/>
    <d v="2022-03-23T00:00:00"/>
    <n v="1381"/>
    <x v="0"/>
    <n v="5455"/>
    <n v="0"/>
  </r>
  <r>
    <s v="KMX220112-022-XF"/>
    <x v="131"/>
    <d v="2022-01-12T00:00:00"/>
    <d v="2022-03-07T00:00:00"/>
    <n v="54"/>
    <d v="2022-04-26T00:00:00"/>
    <x v="71"/>
    <d v="2022-04-26T00:00:00"/>
    <n v="1347"/>
    <x v="0"/>
    <n v="17016.580000000002"/>
    <n v="0"/>
  </r>
  <r>
    <s v="KMX220112-024-XF"/>
    <x v="33"/>
    <d v="2022-01-12T00:00:00"/>
    <d v="2022-01-27T00:00:00"/>
    <n v="15"/>
    <m/>
    <x v="0"/>
    <d v="2022-01-27T00:00:00"/>
    <n v="1436"/>
    <x v="0"/>
    <n v="39075"/>
    <n v="39075"/>
  </r>
  <r>
    <s v="KMX220117-030-XF"/>
    <x v="35"/>
    <d v="2022-01-17T00:00:00"/>
    <d v="2022-03-09T00:00:00"/>
    <n v="51"/>
    <d v="2023-05-19T00:00:00"/>
    <x v="111"/>
    <d v="2023-05-19T00:00:00"/>
    <n v="959"/>
    <x v="0"/>
    <n v="65346"/>
    <n v="0"/>
  </r>
  <r>
    <s v="KMX220119-045-XF"/>
    <x v="132"/>
    <d v="2022-01-19T00:00:00"/>
    <d v="2022-05-17T00:00:00"/>
    <n v="118"/>
    <d v="2022-05-04T00:00:00"/>
    <x v="112"/>
    <d v="2022-05-04T00:00:00"/>
    <n v="1339"/>
    <x v="0"/>
    <n v="17460"/>
    <n v="0"/>
  </r>
  <r>
    <s v="KMX220119-050-XF"/>
    <x v="133"/>
    <d v="2022-01-19T00:00:00"/>
    <d v="2022-02-24T00:00:00"/>
    <n v="36"/>
    <d v="2022-03-28T00:00:00"/>
    <x v="50"/>
    <d v="2022-03-28T00:00:00"/>
    <n v="1376"/>
    <x v="0"/>
    <n v="2542.5"/>
    <n v="0"/>
  </r>
  <r>
    <s v="KMX220119-051-XF"/>
    <x v="134"/>
    <d v="2022-01-19T00:00:00"/>
    <d v="2022-04-11T00:00:00"/>
    <n v="82"/>
    <d v="2022-08-15T00:00:00"/>
    <x v="68"/>
    <d v="2022-08-15T00:00:00"/>
    <n v="1236"/>
    <x v="0"/>
    <n v="196213.49"/>
    <n v="0"/>
  </r>
  <r>
    <s v="KMX220121-057-XF"/>
    <x v="106"/>
    <d v="2022-01-21T00:00:00"/>
    <d v="2022-02-23T00:00:00"/>
    <n v="33"/>
    <d v="2023-04-04T00:00:00"/>
    <x v="113"/>
    <d v="2023-04-04T00:00:00"/>
    <n v="1004"/>
    <x v="0"/>
    <n v="6600"/>
    <n v="0"/>
  </r>
  <r>
    <s v="KMX220124-059-XF"/>
    <x v="135"/>
    <d v="2022-01-24T00:00:00"/>
    <d v="2022-03-25T00:00:00"/>
    <n v="60"/>
    <d v="2022-04-28T00:00:00"/>
    <x v="109"/>
    <d v="2022-04-28T00:00:00"/>
    <n v="1345"/>
    <x v="0"/>
    <n v="27400"/>
    <n v="0"/>
  </r>
  <r>
    <s v="KMX220205-068-XF"/>
    <x v="119"/>
    <d v="2022-02-05T00:00:00"/>
    <d v="2022-02-19T00:00:00"/>
    <n v="14"/>
    <d v="2022-04-02T00:00:00"/>
    <x v="11"/>
    <d v="2022-04-02T00:00:00"/>
    <n v="1371"/>
    <x v="0"/>
    <n v="24000"/>
    <n v="0"/>
  </r>
  <r>
    <s v="KMX220206-072-XF"/>
    <x v="36"/>
    <d v="2022-02-06T00:00:00"/>
    <d v="2022-03-01T00:00:00"/>
    <n v="23"/>
    <d v="2022-03-16T00:00:00"/>
    <x v="90"/>
    <d v="2022-03-16T00:00:00"/>
    <n v="1388"/>
    <x v="0"/>
    <n v="6812.54"/>
    <n v="0"/>
  </r>
  <r>
    <s v="KMX220207-073-XF"/>
    <x v="130"/>
    <d v="2022-02-07T00:00:00"/>
    <d v="2022-02-23T00:00:00"/>
    <n v="16"/>
    <d v="2022-03-23T00:00:00"/>
    <x v="64"/>
    <d v="2022-03-23T00:00:00"/>
    <n v="1381"/>
    <x v="0"/>
    <n v="3120"/>
    <n v="0"/>
  </r>
  <r>
    <s v="KMX220207-074-XF"/>
    <x v="81"/>
    <d v="2022-02-07T00:00:00"/>
    <d v="2022-02-19T00:00:00"/>
    <n v="12"/>
    <m/>
    <x v="0"/>
    <d v="2022-02-19T00:00:00"/>
    <n v="1413"/>
    <x v="0"/>
    <n v="216000"/>
    <n v="216000"/>
  </r>
  <r>
    <s v="KMX220209-080-XF"/>
    <x v="84"/>
    <d v="2022-02-09T00:00:00"/>
    <d v="2022-03-02T00:00:00"/>
    <n v="21"/>
    <d v="2022-04-19T00:00:00"/>
    <x v="114"/>
    <d v="2022-04-19T00:00:00"/>
    <n v="1354"/>
    <x v="0"/>
    <n v="2000"/>
    <n v="0"/>
  </r>
  <r>
    <s v="KMX220214-088-XF"/>
    <x v="136"/>
    <d v="2022-02-14T00:00:00"/>
    <d v="2022-05-02T00:00:00"/>
    <n v="77"/>
    <m/>
    <x v="0"/>
    <d v="2022-05-02T00:00:00"/>
    <n v="1341"/>
    <x v="0"/>
    <n v="72000"/>
    <n v="72000"/>
  </r>
  <r>
    <s v="KMX220217-097-XF"/>
    <x v="137"/>
    <d v="2022-02-17T00:00:00"/>
    <d v="2022-05-18T00:00:00"/>
    <n v="90"/>
    <d v="2022-03-07T00:00:00"/>
    <x v="115"/>
    <d v="2022-03-07T00:00:00"/>
    <n v="1397"/>
    <x v="0"/>
    <n v="6477.8499999999804"/>
    <n v="0"/>
  </r>
  <r>
    <s v="KMX220223-112-XF"/>
    <x v="135"/>
    <d v="2022-02-23T00:00:00"/>
    <d v="2022-03-04T00:00:00"/>
    <n v="9"/>
    <d v="2022-06-17T00:00:00"/>
    <x v="116"/>
    <d v="2022-06-17T00:00:00"/>
    <n v="1295"/>
    <x v="0"/>
    <n v="37756"/>
    <n v="0"/>
  </r>
  <r>
    <s v="KMX220225-115-XF"/>
    <x v="138"/>
    <d v="2022-02-25T00:00:00"/>
    <d v="2022-03-01T00:00:00"/>
    <n v="4"/>
    <d v="2022-08-18T00:00:00"/>
    <x v="117"/>
    <d v="2022-08-18T00:00:00"/>
    <n v="1233"/>
    <x v="0"/>
    <n v="13875.71"/>
    <n v="0"/>
  </r>
  <r>
    <s v="KMX220301-122-XF"/>
    <x v="139"/>
    <d v="2022-03-01T00:00:00"/>
    <d v="2022-03-16T00:00:00"/>
    <n v="15"/>
    <d v="2023-03-23T00:00:00"/>
    <x v="118"/>
    <d v="2023-03-23T00:00:00"/>
    <n v="1016"/>
    <x v="0"/>
    <n v="10000"/>
    <n v="10000"/>
  </r>
  <r>
    <s v="KMX220306-129-XF"/>
    <x v="140"/>
    <d v="2022-03-06T00:00:00"/>
    <d v="2022-03-11T00:00:00"/>
    <n v="5"/>
    <d v="2022-03-16T00:00:00"/>
    <x v="32"/>
    <d v="2022-03-16T00:00:00"/>
    <n v="1388"/>
    <x v="0"/>
    <n v="7079"/>
    <n v="0"/>
  </r>
  <r>
    <s v="KMX220307-132-XF"/>
    <x v="141"/>
    <d v="2022-03-07T00:00:00"/>
    <d v="2022-05-12T00:00:00"/>
    <n v="66"/>
    <d v="2022-09-02T00:00:00"/>
    <x v="119"/>
    <d v="2022-09-02T00:00:00"/>
    <n v="1218"/>
    <x v="0"/>
    <n v="60570"/>
    <n v="0"/>
  </r>
  <r>
    <s v="KMX220318-144-XF"/>
    <x v="142"/>
    <d v="2022-03-18T00:00:00"/>
    <d v="2022-03-28T00:00:00"/>
    <n v="10"/>
    <m/>
    <x v="0"/>
    <d v="2022-03-28T00:00:00"/>
    <n v="1376"/>
    <x v="0"/>
    <n v="24000"/>
    <n v="24000"/>
  </r>
  <r>
    <s v="KMX220322-146-XF"/>
    <x v="120"/>
    <d v="2022-03-22T00:00:00"/>
    <d v="2022-04-02T00:00:00"/>
    <n v="11"/>
    <d v="2022-05-16T00:00:00"/>
    <x v="12"/>
    <d v="2022-05-16T00:00:00"/>
    <n v="1327"/>
    <x v="0"/>
    <n v="24569"/>
    <n v="0"/>
  </r>
  <r>
    <s v="KMX220327-152-XF"/>
    <x v="143"/>
    <d v="2022-03-27T00:00:00"/>
    <d v="2022-04-17T00:00:00"/>
    <n v="21"/>
    <m/>
    <x v="0"/>
    <d v="2022-04-17T00:00:00"/>
    <n v="1356"/>
    <x v="0"/>
    <n v="38000"/>
    <n v="38000"/>
  </r>
  <r>
    <s v="KMX220329-153-XF"/>
    <x v="144"/>
    <d v="2022-03-29T00:00:00"/>
    <d v="2022-04-30T00:00:00"/>
    <n v="32"/>
    <d v="2023-02-10T00:00:00"/>
    <x v="120"/>
    <d v="2023-02-10T00:00:00"/>
    <n v="1057"/>
    <x v="0"/>
    <n v="3250"/>
    <n v="-60000"/>
  </r>
  <r>
    <s v="KMX220330-155-XF"/>
    <x v="126"/>
    <d v="2022-03-30T00:00:00"/>
    <d v="2022-04-21T00:00:00"/>
    <n v="22"/>
    <d v="2022-05-11T00:00:00"/>
    <x v="121"/>
    <d v="2022-05-11T00:00:00"/>
    <n v="1332"/>
    <x v="0"/>
    <n v="2027.7850000000001"/>
    <n v="0"/>
  </r>
  <r>
    <s v="KMX220401-157-XF"/>
    <x v="110"/>
    <d v="2022-04-01T00:00:00"/>
    <d v="2022-07-19T00:00:00"/>
    <n v="109"/>
    <d v="2023-02-24T00:00:00"/>
    <x v="122"/>
    <d v="2023-02-24T00:00:00"/>
    <n v="1043"/>
    <x v="0"/>
    <n v="105600"/>
    <n v="80000"/>
  </r>
  <r>
    <s v="KMX220408-160-XF"/>
    <x v="145"/>
    <d v="2022-04-08T00:00:00"/>
    <d v="2022-05-06T00:00:00"/>
    <n v="28"/>
    <d v="2022-05-11T00:00:00"/>
    <x v="32"/>
    <d v="2022-05-11T00:00:00"/>
    <n v="1332"/>
    <x v="0"/>
    <n v="1350"/>
    <n v="0"/>
  </r>
  <r>
    <s v="KMX220416-166-XF"/>
    <x v="146"/>
    <d v="2022-04-16T00:00:00"/>
    <d v="2022-05-05T00:00:00"/>
    <n v="19"/>
    <d v="2022-06-08T00:00:00"/>
    <x v="109"/>
    <d v="2022-06-08T00:00:00"/>
    <n v="1304"/>
    <x v="0"/>
    <n v="4368.16"/>
    <n v="0"/>
  </r>
  <r>
    <s v="KMX220417-168-XF"/>
    <x v="78"/>
    <d v="2022-04-17T00:00:00"/>
    <d v="2022-05-12T00:00:00"/>
    <n v="25"/>
    <m/>
    <x v="0"/>
    <d v="2022-05-12T00:00:00"/>
    <n v="1331"/>
    <x v="0"/>
    <n v="37913.199999999997"/>
    <n v="37913.199999999997"/>
  </r>
  <r>
    <s v="KMX220423-177-XF"/>
    <x v="147"/>
    <d v="2022-04-23T00:00:00"/>
    <d v="2022-05-18T00:00:00"/>
    <n v="25"/>
    <d v="2022-07-23T00:00:00"/>
    <x v="22"/>
    <d v="2022-07-23T00:00:00"/>
    <n v="1259"/>
    <x v="0"/>
    <n v="50000"/>
    <n v="0"/>
  </r>
  <r>
    <s v="KMX220423-178-XF"/>
    <x v="129"/>
    <d v="2022-04-23T00:00:00"/>
    <d v="2022-05-22T00:00:00"/>
    <n v="29"/>
    <d v="2022-06-24T00:00:00"/>
    <x v="5"/>
    <d v="2022-06-24T00:00:00"/>
    <n v="1288"/>
    <x v="0"/>
    <n v="6500"/>
    <n v="0"/>
  </r>
  <r>
    <s v="KMX220427-181-XF"/>
    <x v="148"/>
    <d v="2022-04-27T00:00:00"/>
    <d v="2022-05-03T00:00:00"/>
    <n v="6"/>
    <d v="2022-11-21T00:00:00"/>
    <x v="123"/>
    <d v="2022-11-21T00:00:00"/>
    <n v="1138"/>
    <x v="0"/>
    <n v="6"/>
    <n v="0"/>
  </r>
  <r>
    <s v="KMX220428-182-XF"/>
    <x v="149"/>
    <d v="2022-04-28T00:00:00"/>
    <d v="2022-10-09T00:00:00"/>
    <n v="164"/>
    <m/>
    <x v="0"/>
    <d v="2022-10-09T00:00:00"/>
    <n v="1181"/>
    <x v="0"/>
    <n v="13000"/>
    <n v="13000"/>
  </r>
  <r>
    <s v="KMX220504-184-XF"/>
    <x v="150"/>
    <d v="2022-05-04T00:00:00"/>
    <d v="2022-06-02T00:00:00"/>
    <n v="29"/>
    <d v="2022-11-10T00:00:00"/>
    <x v="124"/>
    <d v="2022-11-10T00:00:00"/>
    <n v="1149"/>
    <x v="0"/>
    <n v="2"/>
    <n v="0"/>
  </r>
  <r>
    <s v="KMX220504-185-XF"/>
    <x v="151"/>
    <d v="2022-05-04T00:00:00"/>
    <d v="2022-07-08T00:00:00"/>
    <n v="65"/>
    <d v="2022-09-30T00:00:00"/>
    <x v="125"/>
    <d v="2022-09-30T00:00:00"/>
    <n v="1190"/>
    <x v="0"/>
    <n v="12900"/>
    <n v="0"/>
  </r>
  <r>
    <s v="KMX220506-188-XF"/>
    <x v="152"/>
    <d v="2022-05-06T00:00:00"/>
    <d v="2022-05-24T00:00:00"/>
    <n v="18"/>
    <m/>
    <x v="0"/>
    <d v="2022-05-24T00:00:00"/>
    <n v="1319"/>
    <x v="0"/>
    <n v="253725"/>
    <n v="253725"/>
  </r>
  <r>
    <s v="KMX220510-190-XF"/>
    <x v="50"/>
    <d v="2022-05-10T00:00:00"/>
    <d v="2022-12-19T00:00:00"/>
    <n v="223"/>
    <d v="2024-09-10T00:00:00"/>
    <x v="126"/>
    <d v="2024-09-10T00:00:00"/>
    <n v="479"/>
    <x v="0"/>
    <n v="24000"/>
    <n v="0"/>
  </r>
  <r>
    <s v="KMX220514-199-XF"/>
    <x v="153"/>
    <d v="2022-05-14T00:00:00"/>
    <d v="2022-07-15T00:00:00"/>
    <n v="62"/>
    <d v="2024-10-12T00:00:00"/>
    <x v="127"/>
    <d v="2024-10-12T00:00:00"/>
    <n v="447"/>
    <x v="0"/>
    <n v="82399.600000000006"/>
    <n v="0"/>
  </r>
  <r>
    <s v="KMX220514-200-XF"/>
    <x v="132"/>
    <d v="2022-05-14T00:00:00"/>
    <d v="2022-05-22T00:00:00"/>
    <n v="8"/>
    <d v="2022-07-21T00:00:00"/>
    <x v="128"/>
    <d v="2022-07-21T00:00:00"/>
    <n v="1261"/>
    <x v="0"/>
    <n v="8000"/>
    <n v="0"/>
  </r>
  <r>
    <s v="KMX220516-205-XF"/>
    <x v="154"/>
    <d v="2022-05-16T00:00:00"/>
    <d v="2022-09-21T00:00:00"/>
    <n v="128"/>
    <d v="2022-09-21T00:00:00"/>
    <x v="1"/>
    <d v="2022-09-21T00:00:00"/>
    <n v="1199"/>
    <x v="0"/>
    <n v="62272.8100000001"/>
    <n v="0"/>
  </r>
  <r>
    <s v="KMX220519-213-XF"/>
    <x v="114"/>
    <d v="2022-05-19T00:00:00"/>
    <d v="2022-05-31T00:00:00"/>
    <n v="12"/>
    <d v="2022-07-20T00:00:00"/>
    <x v="71"/>
    <d v="2022-07-20T00:00:00"/>
    <n v="1262"/>
    <x v="0"/>
    <n v="29830"/>
    <n v="0"/>
  </r>
  <r>
    <s v="KMX220527-223-XF"/>
    <x v="151"/>
    <d v="2022-05-27T00:00:00"/>
    <d v="2022-06-05T00:00:00"/>
    <n v="9"/>
    <d v="2022-10-08T00:00:00"/>
    <x v="88"/>
    <d v="2022-10-08T00:00:00"/>
    <n v="1182"/>
    <x v="0"/>
    <n v="49800"/>
    <n v="0"/>
  </r>
  <r>
    <s v="KMX220610-237-XF"/>
    <x v="75"/>
    <d v="2022-06-10T00:00:00"/>
    <d v="2022-06-16T00:00:00"/>
    <n v="6"/>
    <d v="2022-06-28T00:00:00"/>
    <x v="46"/>
    <d v="2022-06-28T00:00:00"/>
    <n v="1284"/>
    <x v="0"/>
    <n v="7800"/>
    <n v="0"/>
  </r>
  <r>
    <s v="KMX220615-244-XF"/>
    <x v="155"/>
    <d v="2022-06-15T00:00:00"/>
    <d v="2022-07-19T00:00:00"/>
    <n v="34"/>
    <d v="2022-10-13T00:00:00"/>
    <x v="129"/>
    <d v="2022-10-13T00:00:00"/>
    <n v="1177"/>
    <x v="0"/>
    <n v="8800"/>
    <n v="0"/>
  </r>
  <r>
    <s v="KMX220615-245-XF"/>
    <x v="156"/>
    <d v="2022-06-15T00:00:00"/>
    <d v="2023-08-24T00:00:00"/>
    <n v="435"/>
    <m/>
    <x v="0"/>
    <d v="2023-08-24T00:00:00"/>
    <n v="862"/>
    <x v="0"/>
    <n v="3950"/>
    <n v="0"/>
  </r>
  <r>
    <s v="KMX220616-248-XF"/>
    <x v="113"/>
    <d v="2022-06-16T00:00:00"/>
    <d v="2022-06-17T00:00:00"/>
    <n v="1"/>
    <m/>
    <x v="0"/>
    <d v="2022-06-17T00:00:00"/>
    <n v="1295"/>
    <x v="0"/>
    <n v="3000"/>
    <n v="3000"/>
  </r>
  <r>
    <s v="KMX220623-254-XF"/>
    <x v="157"/>
    <d v="2022-06-23T00:00:00"/>
    <d v="2022-06-23T00:00:00"/>
    <n v="0"/>
    <d v="2023-08-24T00:00:00"/>
    <x v="130"/>
    <d v="2023-08-24T00:00:00"/>
    <n v="862"/>
    <x v="0"/>
    <n v="8280"/>
    <n v="0"/>
  </r>
  <r>
    <s v="KMX220703-265-XF"/>
    <x v="75"/>
    <d v="2022-07-03T00:00:00"/>
    <d v="2022-07-10T00:00:00"/>
    <n v="7"/>
    <d v="2022-07-23T00:00:00"/>
    <x v="44"/>
    <d v="2022-07-23T00:00:00"/>
    <n v="1259"/>
    <x v="0"/>
    <n v="36748.800000000003"/>
    <n v="0"/>
  </r>
  <r>
    <s v="KMX220704-267-XF"/>
    <x v="158"/>
    <d v="2022-07-04T00:00:00"/>
    <d v="2022-07-06T00:00:00"/>
    <n v="2"/>
    <d v="2023-08-03T00:00:00"/>
    <x v="131"/>
    <d v="2023-08-03T00:00:00"/>
    <n v="883"/>
    <x v="0"/>
    <n v="300"/>
    <n v="0"/>
  </r>
  <r>
    <s v="KMX220705-271-XF"/>
    <x v="159"/>
    <d v="2022-07-05T00:00:00"/>
    <d v="2022-07-10T00:00:00"/>
    <n v="5"/>
    <d v="2024-01-15T00:00:00"/>
    <x v="132"/>
    <d v="2024-01-15T00:00:00"/>
    <n v="718"/>
    <x v="0"/>
    <n v="6400"/>
    <n v="0"/>
  </r>
  <r>
    <s v="KMX220713-283-XF"/>
    <x v="160"/>
    <d v="2022-07-13T00:00:00"/>
    <d v="2022-07-20T00:00:00"/>
    <n v="7"/>
    <d v="2022-09-16T00:00:00"/>
    <x v="133"/>
    <d v="2022-09-16T00:00:00"/>
    <n v="1204"/>
    <x v="0"/>
    <n v="3600"/>
    <n v="0"/>
  </r>
  <r>
    <s v="KMX220719-286-XF"/>
    <x v="112"/>
    <d v="2022-07-19T00:00:00"/>
    <d v="2022-07-24T00:00:00"/>
    <n v="5"/>
    <d v="2022-10-31T00:00:00"/>
    <x v="134"/>
    <d v="2022-10-31T00:00:00"/>
    <n v="1159"/>
    <x v="0"/>
    <n v="13436.8"/>
    <n v="0"/>
  </r>
  <r>
    <s v="KMX220720-288-XF"/>
    <x v="75"/>
    <d v="2022-07-20T00:00:00"/>
    <d v="2022-08-11T00:00:00"/>
    <n v="22"/>
    <d v="2022-10-10T00:00:00"/>
    <x v="128"/>
    <d v="2022-10-10T00:00:00"/>
    <n v="1180"/>
    <x v="0"/>
    <n v="236072"/>
    <n v="0"/>
  </r>
  <r>
    <s v="KMX220729-298-XF"/>
    <x v="161"/>
    <d v="2022-07-29T00:00:00"/>
    <d v="2022-08-22T00:00:00"/>
    <n v="24"/>
    <d v="2022-08-02T00:00:00"/>
    <x v="135"/>
    <d v="2022-08-02T00:00:00"/>
    <n v="1249"/>
    <x v="0"/>
    <n v="25000"/>
    <n v="0"/>
  </r>
  <r>
    <s v="KMX220803-306-XF"/>
    <x v="162"/>
    <d v="2022-08-03T00:00:00"/>
    <d v="2022-08-21T00:00:00"/>
    <n v="18"/>
    <d v="2023-08-26T00:00:00"/>
    <x v="136"/>
    <d v="2023-08-26T00:00:00"/>
    <n v="860"/>
    <x v="0"/>
    <n v="4000"/>
    <n v="0"/>
  </r>
  <r>
    <s v="KMX220720-289-XF"/>
    <x v="163"/>
    <d v="2022-08-06T00:00:00"/>
    <d v="2022-08-06T00:00:00"/>
    <n v="0"/>
    <d v="2023-01-16T00:00:00"/>
    <x v="137"/>
    <d v="2023-01-16T00:00:00"/>
    <n v="1082"/>
    <x v="0"/>
    <n v="18800"/>
    <n v="0"/>
  </r>
  <r>
    <s v="KMX220711-281-XF"/>
    <x v="148"/>
    <d v="2022-08-09T00:00:00"/>
    <d v="2022-08-09T00:00:00"/>
    <n v="0"/>
    <m/>
    <x v="0"/>
    <d v="2022-08-09T00:00:00"/>
    <n v="1242"/>
    <x v="0"/>
    <n v="154761.60000000001"/>
    <n v="154761.60000000001"/>
  </r>
  <r>
    <s v="KMX220809-313-XF"/>
    <x v="93"/>
    <d v="2022-08-09T00:00:00"/>
    <d v="2022-11-03T00:00:00"/>
    <n v="86"/>
    <m/>
    <x v="0"/>
    <d v="2022-11-03T00:00:00"/>
    <n v="1156"/>
    <x v="0"/>
    <n v="194000"/>
    <n v="194000"/>
  </r>
  <r>
    <s v="KMX220801-299-XF"/>
    <x v="164"/>
    <d v="2022-08-11T00:00:00"/>
    <d v="2022-08-04T00:00:00"/>
    <n v="-7"/>
    <m/>
    <x v="0"/>
    <d v="2022-08-04T00:00:00"/>
    <n v="1247"/>
    <x v="0"/>
    <n v="9200"/>
    <n v="9200"/>
  </r>
  <r>
    <s v="KMX220815-320-XF"/>
    <x v="63"/>
    <d v="2022-08-15T00:00:00"/>
    <d v="2022-09-12T00:00:00"/>
    <n v="28"/>
    <d v="2024-10-29T00:00:00"/>
    <x v="138"/>
    <d v="2024-10-29T00:00:00"/>
    <n v="430"/>
    <x v="0"/>
    <n v="139510"/>
    <n v="0"/>
  </r>
  <r>
    <s v="KMX220827-334-XF"/>
    <x v="30"/>
    <d v="2022-08-27T00:00:00"/>
    <d v="2022-09-30T00:00:00"/>
    <n v="34"/>
    <d v="2022-11-22T00:00:00"/>
    <x v="31"/>
    <d v="2022-11-22T00:00:00"/>
    <n v="1137"/>
    <x v="0"/>
    <n v="33200"/>
    <n v="0"/>
  </r>
  <r>
    <s v="KMX220907-348-XF"/>
    <x v="132"/>
    <d v="2022-09-07T00:00:00"/>
    <d v="2022-09-11T00:00:00"/>
    <n v="4"/>
    <d v="2023-03-28T00:00:00"/>
    <x v="139"/>
    <d v="2023-03-28T00:00:00"/>
    <n v="1011"/>
    <x v="0"/>
    <n v="8000"/>
    <n v="0"/>
  </r>
  <r>
    <s v="KMX221011-370-XF"/>
    <x v="130"/>
    <d v="2022-10-11T00:00:00"/>
    <d v="2022-10-29T00:00:00"/>
    <n v="18"/>
    <d v="2022-11-22T00:00:00"/>
    <x v="82"/>
    <d v="2022-11-22T00:00:00"/>
    <n v="1137"/>
    <x v="0"/>
    <n v="6080"/>
    <n v="0"/>
  </r>
  <r>
    <s v="KMX221012-373-XF"/>
    <x v="165"/>
    <d v="2022-10-12T00:00:00"/>
    <d v="2022-10-25T00:00:00"/>
    <n v="13"/>
    <m/>
    <x v="0"/>
    <d v="2022-10-25T00:00:00"/>
    <n v="1165"/>
    <x v="0"/>
    <n v="120000"/>
    <n v="120000"/>
  </r>
  <r>
    <s v="KMX221029-389-XF"/>
    <x v="120"/>
    <d v="2022-10-29T00:00:00"/>
    <d v="2022-11-21T00:00:00"/>
    <n v="23"/>
    <d v="2022-12-16T00:00:00"/>
    <x v="20"/>
    <d v="2022-12-16T00:00:00"/>
    <n v="1113"/>
    <x v="0"/>
    <n v="83500"/>
    <n v="0"/>
  </r>
  <r>
    <s v="KMX221104-394-XF"/>
    <x v="166"/>
    <d v="2022-11-04T00:00:00"/>
    <d v="2022-11-15T00:00:00"/>
    <n v="11"/>
    <d v="2022-12-13T00:00:00"/>
    <x v="64"/>
    <d v="2022-12-13T00:00:00"/>
    <n v="1116"/>
    <x v="0"/>
    <n v="4596.2700000000004"/>
    <n v="0"/>
  </r>
  <r>
    <s v="KMX221107-397-XF"/>
    <x v="167"/>
    <d v="2022-11-07T00:00:00"/>
    <d v="2023-03-31T00:00:00"/>
    <n v="144"/>
    <m/>
    <x v="0"/>
    <d v="2023-03-31T00:00:00"/>
    <n v="1008"/>
    <x v="0"/>
    <n v="24200"/>
    <n v="0"/>
  </r>
  <r>
    <s v="KMX221108-399-XF"/>
    <x v="150"/>
    <d v="2022-11-08T00:00:00"/>
    <d v="2022-12-05T00:00:00"/>
    <n v="27"/>
    <d v="2022-12-05T00:00:00"/>
    <x v="1"/>
    <d v="2022-12-05T00:00:00"/>
    <n v="1124"/>
    <x v="0"/>
    <n v="92.910000000032596"/>
    <n v="0"/>
  </r>
  <r>
    <s v="KMX221110-401-XF"/>
    <x v="168"/>
    <d v="2022-11-10T00:00:00"/>
    <d v="2023-05-25T00:00:00"/>
    <n v="196"/>
    <m/>
    <x v="0"/>
    <d v="2023-05-25T00:00:00"/>
    <n v="953"/>
    <x v="0"/>
    <n v="380000"/>
    <n v="380000"/>
  </r>
  <r>
    <s v="KMX221114-406-XF"/>
    <x v="152"/>
    <d v="2022-11-14T00:00:00"/>
    <d v="2022-11-23T00:00:00"/>
    <n v="9"/>
    <m/>
    <x v="0"/>
    <d v="2022-11-23T00:00:00"/>
    <n v="1136"/>
    <x v="0"/>
    <n v="206550"/>
    <n v="206550"/>
  </r>
  <r>
    <s v="KMX221202-423-XF"/>
    <x v="169"/>
    <d v="2022-12-02T00:00:00"/>
    <d v="2023-02-28T00:00:00"/>
    <n v="88"/>
    <d v="2024-09-30T00:00:00"/>
    <x v="140"/>
    <d v="2024-09-30T00:00:00"/>
    <n v="459"/>
    <x v="0"/>
    <n v="21280"/>
    <n v="0"/>
  </r>
  <r>
    <s v="KMX221202-424-XF"/>
    <x v="170"/>
    <d v="2022-12-02T00:00:00"/>
    <d v="2023-01-17T00:00:00"/>
    <n v="46"/>
    <d v="2023-06-30T00:00:00"/>
    <x v="141"/>
    <d v="2023-06-30T00:00:00"/>
    <n v="917"/>
    <x v="0"/>
    <n v="3700"/>
    <n v="0"/>
  </r>
  <r>
    <s v="KMX221212-436-XF"/>
    <x v="106"/>
    <d v="2022-12-12T00:00:00"/>
    <d v="2022-12-23T00:00:00"/>
    <n v="11"/>
    <d v="2023-11-06T00:00:00"/>
    <x v="142"/>
    <d v="2023-11-06T00:00:00"/>
    <n v="788"/>
    <x v="0"/>
    <n v="3500"/>
    <n v="0"/>
  </r>
  <r>
    <s v="KMX221213-437-XF"/>
    <x v="151"/>
    <d v="2022-12-13T00:00:00"/>
    <d v="2022-12-27T00:00:00"/>
    <n v="14"/>
    <d v="2023-04-03T00:00:00"/>
    <x v="143"/>
    <d v="2023-04-03T00:00:00"/>
    <n v="1005"/>
    <x v="0"/>
    <n v="8000"/>
    <n v="0"/>
  </r>
  <r>
    <s v="KMX221221-444-XF"/>
    <x v="168"/>
    <d v="2022-12-21T00:00:00"/>
    <m/>
    <s v=""/>
    <m/>
    <x v="0"/>
    <d v="2022-12-21T00:00:00"/>
    <n v="1108"/>
    <x v="0"/>
    <n v="200000"/>
    <m/>
  </r>
  <r>
    <s v="KMX221227-447-XF"/>
    <x v="160"/>
    <d v="2022-12-27T00:00:00"/>
    <d v="2023-01-03T00:00:00"/>
    <n v="7"/>
    <d v="2023-06-16T00:00:00"/>
    <x v="141"/>
    <d v="2023-06-16T00:00:00"/>
    <n v="931"/>
    <x v="0"/>
    <n v="3000"/>
    <n v="0"/>
  </r>
  <r>
    <s v="KMX221228-449-XF"/>
    <x v="171"/>
    <d v="2022-12-28T00:00:00"/>
    <d v="2023-01-19T00:00:00"/>
    <n v="22"/>
    <d v="2023-03-15T00:00:00"/>
    <x v="144"/>
    <d v="2023-03-15T00:00:00"/>
    <n v="1024"/>
    <x v="0"/>
    <n v="4950"/>
    <n v="0"/>
  </r>
  <r>
    <s v="KMX230103-007-XF"/>
    <x v="160"/>
    <d v="2023-01-03T00:00:00"/>
    <d v="2024-02-27T00:00:00"/>
    <n v="420"/>
    <d v="2023-09-13T00:00:00"/>
    <x v="145"/>
    <d v="2023-09-13T00:00:00"/>
    <n v="842"/>
    <x v="0"/>
    <n v="3.9823008992243602E-3"/>
    <n v="-7292.03"/>
  </r>
  <r>
    <s v="KMX230103-008-XF"/>
    <x v="103"/>
    <d v="2023-01-03T00:00:00"/>
    <d v="2023-01-16T00:00:00"/>
    <n v="13"/>
    <d v="2023-02-16T00:00:00"/>
    <x v="14"/>
    <d v="2023-02-16T00:00:00"/>
    <n v="1051"/>
    <x v="0"/>
    <n v="2646"/>
    <n v="0"/>
  </r>
  <r>
    <s v="KMX230105-012-XF"/>
    <x v="172"/>
    <d v="2023-01-05T00:00:00"/>
    <d v="2023-02-20T00:00:00"/>
    <n v="46"/>
    <d v="2023-04-10T00:00:00"/>
    <x v="146"/>
    <d v="2023-04-10T00:00:00"/>
    <n v="998"/>
    <x v="0"/>
    <n v="227.5"/>
    <n v="0"/>
  </r>
  <r>
    <s v="KMX230112-020-XF"/>
    <x v="173"/>
    <d v="2023-01-12T00:00:00"/>
    <d v="2023-01-29T00:00:00"/>
    <n v="17"/>
    <d v="2023-02-22T00:00:00"/>
    <x v="82"/>
    <d v="2023-02-22T00:00:00"/>
    <n v="1045"/>
    <x v="0"/>
    <n v="2400"/>
    <n v="0"/>
  </r>
  <r>
    <s v="KMX230114-023-XF"/>
    <x v="174"/>
    <d v="2023-01-14T00:00:00"/>
    <d v="2023-02-07T00:00:00"/>
    <n v="24"/>
    <m/>
    <x v="0"/>
    <d v="2023-02-07T00:00:00"/>
    <n v="1060"/>
    <x v="0"/>
    <n v="14000"/>
    <m/>
  </r>
  <r>
    <s v="KMX230126-031-XF"/>
    <x v="175"/>
    <d v="2023-01-26T00:00:00"/>
    <d v="2023-01-31T00:00:00"/>
    <n v="5"/>
    <d v="2023-04-06T00:00:00"/>
    <x v="147"/>
    <d v="2023-04-06T00:00:00"/>
    <n v="1002"/>
    <x v="0"/>
    <n v="2120"/>
    <n v="0"/>
  </r>
  <r>
    <s v="KMX230128-033-XF"/>
    <x v="171"/>
    <d v="2023-01-28T00:00:00"/>
    <d v="2023-02-09T00:00:00"/>
    <n v="12"/>
    <d v="2023-03-15T00:00:00"/>
    <x v="109"/>
    <d v="2023-03-15T00:00:00"/>
    <n v="1024"/>
    <x v="0"/>
    <n v="4950"/>
    <n v="0"/>
  </r>
  <r>
    <s v="KMX230203-040-XF"/>
    <x v="137"/>
    <d v="2023-02-03T00:00:00"/>
    <d v="2023-02-27T00:00:00"/>
    <n v="24"/>
    <d v="2023-04-24T00:00:00"/>
    <x v="96"/>
    <d v="2023-04-24T00:00:00"/>
    <n v="984"/>
    <x v="0"/>
    <n v="193280"/>
    <n v="0"/>
  </r>
  <r>
    <s v="KMX230203-042-XF"/>
    <x v="176"/>
    <d v="2023-02-03T00:00:00"/>
    <d v="2023-04-30T00:00:00"/>
    <n v="86"/>
    <d v="2023-10-18T00:00:00"/>
    <x v="148"/>
    <d v="2023-10-18T00:00:00"/>
    <n v="807"/>
    <x v="0"/>
    <n v="52601.77"/>
    <n v="0"/>
  </r>
  <r>
    <s v="KMX230207-046-XF"/>
    <x v="177"/>
    <d v="2023-02-07T00:00:00"/>
    <d v="2023-02-23T00:00:00"/>
    <n v="16"/>
    <d v="2023-04-06T00:00:00"/>
    <x v="11"/>
    <d v="2023-04-06T00:00:00"/>
    <n v="1002"/>
    <x v="0"/>
    <n v="34465"/>
    <n v="0"/>
  </r>
  <r>
    <s v="KMX230218-054-XF"/>
    <x v="9"/>
    <d v="2023-02-18T00:00:00"/>
    <d v="2023-05-01T00:00:00"/>
    <n v="72"/>
    <m/>
    <x v="0"/>
    <d v="2023-05-01T00:00:00"/>
    <n v="977"/>
    <x v="0"/>
    <n v="14215.5"/>
    <n v="14215.5"/>
  </r>
  <r>
    <s v="KMX230221-057-XF"/>
    <x v="178"/>
    <d v="2023-02-21T00:00:00"/>
    <m/>
    <s v=""/>
    <m/>
    <x v="0"/>
    <d v="2023-02-21T00:00:00"/>
    <n v="1046"/>
    <x v="0"/>
    <n v="48000"/>
    <n v="0"/>
  </r>
  <r>
    <s v="KMX230223-058-XF"/>
    <x v="179"/>
    <d v="2023-02-28T00:00:00"/>
    <d v="2023-02-28T00:00:00"/>
    <n v="0"/>
    <d v="2023-04-10T00:00:00"/>
    <x v="149"/>
    <d v="2023-04-10T00:00:00"/>
    <n v="998"/>
    <x v="0"/>
    <n v="10000"/>
    <n v="0"/>
  </r>
  <r>
    <s v="KMX230301-064-XF"/>
    <x v="180"/>
    <d v="2023-03-01T00:00:00"/>
    <d v="2023-03-12T00:00:00"/>
    <n v="11"/>
    <d v="2023-04-06T00:00:00"/>
    <x v="20"/>
    <d v="2023-04-06T00:00:00"/>
    <n v="1002"/>
    <x v="0"/>
    <n v="4.0000000008149099E-3"/>
    <n v="0"/>
  </r>
  <r>
    <s v="KMX230302-066-XF"/>
    <x v="181"/>
    <d v="2023-03-02T00:00:00"/>
    <d v="2023-03-11T00:00:00"/>
    <n v="9"/>
    <d v="2023-03-15T00:00:00"/>
    <x v="39"/>
    <d v="2023-03-15T00:00:00"/>
    <n v="1024"/>
    <x v="0"/>
    <n v="1000"/>
    <n v="0"/>
  </r>
  <r>
    <s v="KMX230306-070-XF"/>
    <x v="182"/>
    <d v="2023-03-06T00:00:00"/>
    <d v="2023-08-27T00:00:00"/>
    <n v="174"/>
    <d v="2023-10-27T00:00:00"/>
    <x v="91"/>
    <d v="2023-10-27T00:00:00"/>
    <n v="798"/>
    <x v="0"/>
    <n v="21600"/>
    <n v="0"/>
  </r>
  <r>
    <s v="KMX230306-071-XF"/>
    <x v="182"/>
    <d v="2023-03-06T00:00:00"/>
    <d v="2023-09-09T00:00:00"/>
    <n v="187"/>
    <d v="2023-10-27T00:00:00"/>
    <x v="114"/>
    <d v="2023-10-27T00:00:00"/>
    <n v="798"/>
    <x v="0"/>
    <n v="26800"/>
    <n v="0"/>
  </r>
  <r>
    <s v="KMX230313-077-XF"/>
    <x v="166"/>
    <d v="2023-03-13T00:00:00"/>
    <d v="2023-03-17T00:00:00"/>
    <n v="4"/>
    <d v="2023-04-04T00:00:00"/>
    <x v="26"/>
    <d v="2023-04-04T00:00:00"/>
    <n v="1004"/>
    <x v="0"/>
    <n v="10651.6"/>
    <n v="0"/>
  </r>
  <r>
    <s v="KMX230323-088-XF"/>
    <x v="183"/>
    <d v="2023-03-23T00:00:00"/>
    <d v="2023-03-25T00:00:00"/>
    <n v="2"/>
    <d v="2023-08-31T00:00:00"/>
    <x v="10"/>
    <d v="2023-08-31T00:00:00"/>
    <n v="855"/>
    <x v="0"/>
    <n v="5000"/>
    <n v="-72000"/>
  </r>
  <r>
    <s v="KMX230403-097-XF"/>
    <x v="106"/>
    <d v="2023-04-03T00:00:00"/>
    <d v="2023-04-23T00:00:00"/>
    <n v="20"/>
    <d v="2023-05-15T00:00:00"/>
    <x v="37"/>
    <d v="2023-05-15T00:00:00"/>
    <n v="963"/>
    <x v="0"/>
    <n v="4500"/>
    <n v="0"/>
  </r>
  <r>
    <s v="KMX230403-098-XF"/>
    <x v="144"/>
    <d v="2023-04-03T00:00:00"/>
    <d v="2024-03-27T00:00:00"/>
    <n v="359"/>
    <d v="2023-12-13T00:00:00"/>
    <x v="150"/>
    <d v="2023-12-13T00:00:00"/>
    <n v="751"/>
    <x v="0"/>
    <n v="58140"/>
    <n v="-17628"/>
  </r>
  <r>
    <s v="KMX230406-099-XF"/>
    <x v="184"/>
    <d v="2023-04-06T00:00:00"/>
    <d v="2023-07-02T00:00:00"/>
    <n v="87"/>
    <d v="2024-01-15T00:00:00"/>
    <x v="151"/>
    <d v="2024-01-15T00:00:00"/>
    <n v="718"/>
    <x v="0"/>
    <n v="9520"/>
    <n v="0"/>
  </r>
  <r>
    <s v="KMX230412-104-XF"/>
    <x v="176"/>
    <d v="2023-04-12T00:00:00"/>
    <d v="2023-04-17T00:00:00"/>
    <n v="5"/>
    <d v="2023-10-18T00:00:00"/>
    <x v="152"/>
    <d v="2023-10-18T00:00:00"/>
    <n v="807"/>
    <x v="0"/>
    <n v="78000"/>
    <n v="42000"/>
  </r>
  <r>
    <s v="KMX230414-108-XF"/>
    <x v="141"/>
    <d v="2023-04-14T00:00:00"/>
    <d v="2023-04-25T00:00:00"/>
    <n v="11"/>
    <d v="2023-08-15T00:00:00"/>
    <x v="29"/>
    <d v="2023-08-15T00:00:00"/>
    <n v="871"/>
    <x v="0"/>
    <n v="57000"/>
    <n v="0"/>
  </r>
  <r>
    <s v="KMX230419-120-XF"/>
    <x v="30"/>
    <d v="2023-04-19T00:00:00"/>
    <d v="2023-06-30T00:00:00"/>
    <n v="72"/>
    <d v="2023-06-28T00:00:00"/>
    <x v="153"/>
    <d v="2023-06-28T00:00:00"/>
    <n v="919"/>
    <x v="0"/>
    <n v="28000"/>
    <n v="0"/>
  </r>
  <r>
    <s v="KMX230425-125-XF"/>
    <x v="103"/>
    <d v="2023-04-25T00:00:00"/>
    <d v="2023-05-05T00:00:00"/>
    <n v="10"/>
    <d v="2023-05-24T00:00:00"/>
    <x v="70"/>
    <d v="2023-05-24T00:00:00"/>
    <n v="954"/>
    <x v="0"/>
    <n v="2473.5"/>
    <n v="0"/>
  </r>
  <r>
    <s v="KMX230425-126-XF"/>
    <x v="153"/>
    <d v="2023-04-25T00:00:00"/>
    <d v="2023-05-10T00:00:00"/>
    <n v="15"/>
    <d v="2024-10-12T00:00:00"/>
    <x v="154"/>
    <d v="2024-10-12T00:00:00"/>
    <n v="447"/>
    <x v="0"/>
    <n v="11187"/>
    <n v="0"/>
  </r>
  <r>
    <s v="KMX230505-135-XF"/>
    <x v="176"/>
    <d v="2023-05-05T00:00:00"/>
    <d v="2023-05-12T00:00:00"/>
    <n v="7"/>
    <m/>
    <x v="0"/>
    <d v="2023-05-12T00:00:00"/>
    <n v="966"/>
    <x v="0"/>
    <n v="50000"/>
    <n v="50000"/>
  </r>
  <r>
    <s v="KMX230508-136-XF"/>
    <x v="153"/>
    <d v="2023-05-08T00:00:00"/>
    <d v="2023-05-10T00:00:00"/>
    <n v="2"/>
    <m/>
    <x v="0"/>
    <d v="2023-05-10T00:00:00"/>
    <n v="968"/>
    <x v="0"/>
    <n v="18000"/>
    <n v="18000"/>
  </r>
  <r>
    <s v="KMX230510-137-XF"/>
    <x v="185"/>
    <d v="2023-05-10T00:00:00"/>
    <d v="2023-06-14T00:00:00"/>
    <n v="35"/>
    <d v="2023-09-19T00:00:00"/>
    <x v="143"/>
    <d v="2023-09-19T00:00:00"/>
    <n v="836"/>
    <x v="0"/>
    <n v="200"/>
    <n v="0"/>
  </r>
  <r>
    <s v="KMX230512-140-XF"/>
    <x v="106"/>
    <d v="2023-05-12T00:00:00"/>
    <d v="2023-05-21T00:00:00"/>
    <n v="9"/>
    <d v="2023-12-13T00:00:00"/>
    <x v="155"/>
    <d v="2023-12-13T00:00:00"/>
    <n v="751"/>
    <x v="0"/>
    <n v="2150"/>
    <n v="0"/>
  </r>
  <r>
    <s v="KMX230605-152-XF"/>
    <x v="144"/>
    <d v="2023-06-05T00:00:00"/>
    <d v="2023-09-06T00:00:00"/>
    <n v="93"/>
    <d v="2023-10-10T00:00:00"/>
    <x v="109"/>
    <d v="2023-10-10T00:00:00"/>
    <n v="815"/>
    <x v="0"/>
    <n v="27400"/>
    <n v="0"/>
  </r>
  <r>
    <s v="KMX230609-156-XF"/>
    <x v="163"/>
    <d v="2023-06-09T00:00:00"/>
    <d v="2023-08-25T00:00:00"/>
    <n v="77"/>
    <d v="2023-09-07T00:00:00"/>
    <x v="44"/>
    <d v="2023-09-07T00:00:00"/>
    <n v="848"/>
    <x v="0"/>
    <n v="21800"/>
    <n v="0"/>
  </r>
  <r>
    <s v="KMX230612-159-XF"/>
    <x v="177"/>
    <d v="2023-06-12T00:00:00"/>
    <d v="2024-06-10T00:00:00"/>
    <n v="364"/>
    <m/>
    <x v="0"/>
    <d v="2024-06-10T00:00:00"/>
    <n v="571"/>
    <x v="0"/>
    <n v="151764.1"/>
    <n v="0"/>
  </r>
  <r>
    <s v="KMX230629-172-XF"/>
    <x v="186"/>
    <d v="2023-06-29T00:00:00"/>
    <d v="2023-07-28T00:00:00"/>
    <n v="29"/>
    <d v="2023-08-26T00:00:00"/>
    <x v="16"/>
    <d v="2023-08-26T00:00:00"/>
    <n v="860"/>
    <x v="0"/>
    <n v="5000"/>
    <n v="0"/>
  </r>
  <r>
    <s v="KMX230703-174-XF"/>
    <x v="103"/>
    <d v="2023-07-03T00:00:00"/>
    <d v="2023-07-13T00:00:00"/>
    <n v="10"/>
    <d v="2023-08-15T00:00:00"/>
    <x v="5"/>
    <d v="2023-08-15T00:00:00"/>
    <n v="871"/>
    <x v="0"/>
    <n v="65417.5"/>
    <n v="0"/>
  </r>
  <r>
    <s v="KMX230703-175-XF"/>
    <x v="172"/>
    <d v="2023-07-03T00:00:00"/>
    <d v="2023-07-12T00:00:00"/>
    <n v="9"/>
    <d v="2023-08-23T00:00:00"/>
    <x v="11"/>
    <d v="2023-08-23T00:00:00"/>
    <n v="863"/>
    <x v="0"/>
    <n v="2020"/>
    <n v="0"/>
  </r>
  <r>
    <s v="KMX230709-178-XF"/>
    <x v="9"/>
    <d v="2023-07-09T00:00:00"/>
    <d v="2023-11-16T00:00:00"/>
    <n v="130"/>
    <d v="2024-11-27T00:00:00"/>
    <x v="156"/>
    <d v="2024-11-27T00:00:00"/>
    <n v="401"/>
    <x v="0"/>
    <n v="29631.45"/>
    <n v="-0.1"/>
  </r>
  <r>
    <s v="KMX230728-189-XF"/>
    <x v="187"/>
    <d v="2023-07-28T00:00:00"/>
    <d v="2023-08-08T00:00:00"/>
    <n v="11"/>
    <d v="2023-09-18T00:00:00"/>
    <x v="149"/>
    <d v="2023-09-18T00:00:00"/>
    <n v="837"/>
    <x v="0"/>
    <n v="3945.2"/>
    <n v="0"/>
  </r>
  <r>
    <s v="KMX230729-190-XF"/>
    <x v="188"/>
    <d v="2023-07-29T00:00:00"/>
    <d v="2023-08-07T00:00:00"/>
    <n v="9"/>
    <d v="2023-10-11T00:00:00"/>
    <x v="147"/>
    <d v="2023-10-11T00:00:00"/>
    <n v="814"/>
    <x v="0"/>
    <n v="22000"/>
    <n v="0"/>
  </r>
  <r>
    <s v="KMX230803-197-XF"/>
    <x v="112"/>
    <d v="2023-08-03T00:00:00"/>
    <d v="2023-10-17T00:00:00"/>
    <n v="75"/>
    <d v="2023-10-30T00:00:00"/>
    <x v="44"/>
    <d v="2023-10-30T00:00:00"/>
    <n v="795"/>
    <x v="0"/>
    <n v="1970.6799999999901"/>
    <n v="0"/>
  </r>
  <r>
    <s v="KMX230809-206-XF"/>
    <x v="105"/>
    <d v="2023-08-09T00:00:00"/>
    <d v="2024-02-24T00:00:00"/>
    <n v="199"/>
    <d v="2024-08-02T00:00:00"/>
    <x v="157"/>
    <d v="2024-08-02T00:00:00"/>
    <n v="518"/>
    <x v="0"/>
    <n v="1064.8039999999901"/>
    <n v="0"/>
  </r>
  <r>
    <s v="KMX230827-212-XF"/>
    <x v="189"/>
    <d v="2023-08-27T00:00:00"/>
    <d v="2023-09-16T00:00:00"/>
    <n v="20"/>
    <m/>
    <x v="0"/>
    <d v="2023-09-16T00:00:00"/>
    <n v="839"/>
    <x v="0"/>
    <n v="60000"/>
    <n v="60000"/>
  </r>
  <r>
    <s v="KMX230908-220-XF"/>
    <x v="190"/>
    <d v="2023-09-08T00:00:00"/>
    <d v="2024-03-07T00:00:00"/>
    <n v="181"/>
    <d v="2023-10-11T00:00:00"/>
    <x v="158"/>
    <d v="2023-10-11T00:00:00"/>
    <n v="814"/>
    <x v="0"/>
    <n v="16000"/>
    <n v="0"/>
  </r>
  <r>
    <s v="KMX230914-223-XF"/>
    <x v="191"/>
    <d v="2023-09-14T00:00:00"/>
    <d v="2023-09-20T00:00:00"/>
    <n v="6"/>
    <d v="2024-05-16T00:00:00"/>
    <x v="159"/>
    <d v="2024-05-16T00:00:00"/>
    <n v="596"/>
    <x v="0"/>
    <n v="2000"/>
    <n v="0"/>
  </r>
  <r>
    <s v="KMX230915-225-XF"/>
    <x v="110"/>
    <d v="2023-09-15T00:00:00"/>
    <d v="2023-11-26T00:00:00"/>
    <n v="72"/>
    <d v="2024-11-15T00:00:00"/>
    <x v="160"/>
    <d v="2024-11-15T00:00:00"/>
    <n v="413"/>
    <x v="0"/>
    <n v="962550"/>
    <n v="0"/>
  </r>
  <r>
    <s v="KMX230919-227-XF"/>
    <x v="192"/>
    <d v="2023-09-19T00:00:00"/>
    <d v="2023-11-29T00:00:00"/>
    <n v="71"/>
    <m/>
    <x v="0"/>
    <d v="2023-11-29T00:00:00"/>
    <n v="765"/>
    <x v="0"/>
    <n v="55730"/>
    <n v="0"/>
  </r>
  <r>
    <s v="KMX230922-231-XF"/>
    <x v="150"/>
    <d v="2023-09-22T00:00:00"/>
    <d v="2023-12-13T00:00:00"/>
    <n v="82"/>
    <d v="2023-12-13T00:00:00"/>
    <x v="1"/>
    <d v="2023-12-13T00:00:00"/>
    <n v="751"/>
    <x v="0"/>
    <n v="1.89999999990687"/>
    <n v="0"/>
  </r>
  <r>
    <s v="KMX231003-232-XF"/>
    <x v="166"/>
    <d v="2023-10-03T00:00:00"/>
    <d v="2023-10-08T00:00:00"/>
    <n v="5"/>
    <d v="2023-12-18T00:00:00"/>
    <x v="161"/>
    <d v="2023-12-18T00:00:00"/>
    <n v="746"/>
    <x v="0"/>
    <n v="4557.134"/>
    <n v="0"/>
  </r>
  <r>
    <s v="KMX231013-236-XF"/>
    <x v="193"/>
    <d v="2023-10-13T00:00:00"/>
    <d v="2023-11-09T00:00:00"/>
    <n v="27"/>
    <m/>
    <x v="0"/>
    <d v="2023-11-09T00:00:00"/>
    <n v="785"/>
    <x v="0"/>
    <n v="84000"/>
    <n v="37400"/>
  </r>
  <r>
    <s v="KMX231014-238-XF"/>
    <x v="170"/>
    <d v="2023-10-14T00:00:00"/>
    <d v="2023-10-23T00:00:00"/>
    <n v="9"/>
    <d v="2024-01-24T00:00:00"/>
    <x v="162"/>
    <d v="2024-01-24T00:00:00"/>
    <n v="709"/>
    <x v="0"/>
    <n v="21264.65"/>
    <n v="0"/>
  </r>
  <r>
    <s v="KMX231018-239-XF"/>
    <x v="194"/>
    <d v="2023-10-18T00:00:00"/>
    <d v="2024-06-02T00:00:00"/>
    <n v="228"/>
    <m/>
    <x v="0"/>
    <d v="2024-06-02T00:00:00"/>
    <n v="579"/>
    <x v="0"/>
    <n v="130000"/>
    <n v="25419"/>
  </r>
  <r>
    <s v="KMX231023-240-XF"/>
    <x v="195"/>
    <d v="2023-10-23T00:00:00"/>
    <d v="2023-10-27T00:00:00"/>
    <n v="4"/>
    <d v="2024-08-02T00:00:00"/>
    <x v="110"/>
    <d v="2024-08-02T00:00:00"/>
    <n v="518"/>
    <x v="0"/>
    <n v="16000"/>
    <n v="0"/>
  </r>
  <r>
    <s v="KMX231029-242-XF"/>
    <x v="196"/>
    <d v="2023-10-29T00:00:00"/>
    <d v="2023-11-07T00:00:00"/>
    <n v="9"/>
    <d v="2023-12-20T00:00:00"/>
    <x v="27"/>
    <d v="2023-12-20T00:00:00"/>
    <n v="744"/>
    <x v="0"/>
    <n v="3650"/>
    <n v="0"/>
  </r>
  <r>
    <s v="KMX231106-247-XF"/>
    <x v="197"/>
    <d v="2023-11-06T00:00:00"/>
    <d v="2023-12-05T00:00:00"/>
    <n v="29"/>
    <d v="2023-12-08T00:00:00"/>
    <x v="25"/>
    <d v="2023-12-08T00:00:00"/>
    <n v="756"/>
    <x v="0"/>
    <n v="5500"/>
    <n v="0"/>
  </r>
  <r>
    <s v="KMX231117-250-XF"/>
    <x v="198"/>
    <d v="2023-11-17T00:00:00"/>
    <d v="2024-01-15T00:00:00"/>
    <n v="59"/>
    <m/>
    <x v="0"/>
    <d v="2024-01-15T00:00:00"/>
    <n v="718"/>
    <x v="0"/>
    <n v="22036"/>
    <n v="0"/>
  </r>
  <r>
    <s v="KMX231127-259-XF"/>
    <x v="199"/>
    <d v="2023-11-27T00:00:00"/>
    <d v="2024-01-18T00:00:00"/>
    <n v="52"/>
    <d v="2024-03-22T00:00:00"/>
    <x v="54"/>
    <d v="2024-03-22T00:00:00"/>
    <n v="651"/>
    <x v="0"/>
    <n v="15573"/>
    <n v="0"/>
  </r>
  <r>
    <s v="KMX231127-260-XF"/>
    <x v="150"/>
    <d v="2023-11-27T00:00:00"/>
    <d v="2025-06-25T00:00:00"/>
    <n v="576"/>
    <m/>
    <x v="0"/>
    <d v="2025-06-25T00:00:00"/>
    <n v="191"/>
    <x v="1"/>
    <n v="18508.400000000001"/>
    <n v="0"/>
  </r>
  <r>
    <s v="KMX231205-263-XF"/>
    <x v="9"/>
    <d v="2023-12-05T00:00:00"/>
    <m/>
    <s v=""/>
    <m/>
    <x v="0"/>
    <d v="2023-12-05T00:00:00"/>
    <n v="759"/>
    <x v="0"/>
    <n v="46327"/>
    <n v="0"/>
  </r>
  <r>
    <s v="KMX231208-265-XF"/>
    <x v="150"/>
    <d v="2023-12-08T00:00:00"/>
    <m/>
    <s v=""/>
    <d v="2024-09-24T00:00:00"/>
    <x v="0"/>
    <d v="2024-09-24T00:00:00"/>
    <n v="465"/>
    <x v="0"/>
    <n v="22593"/>
    <n v="0"/>
  </r>
  <r>
    <s v="KMX231208-266-XF"/>
    <x v="200"/>
    <d v="2023-12-08T00:00:00"/>
    <m/>
    <s v=""/>
    <d v="2023-12-14T00:00:00"/>
    <x v="0"/>
    <d v="2023-12-14T00:00:00"/>
    <n v="750"/>
    <x v="0"/>
    <n v="5450"/>
    <n v="0"/>
  </r>
  <r>
    <s v="KMX231208-267-XF"/>
    <x v="200"/>
    <d v="2023-12-08T00:00:00"/>
    <d v="2025-03-14T00:00:00"/>
    <n v="462"/>
    <d v="2023-12-14T00:00:00"/>
    <x v="163"/>
    <d v="2023-12-14T00:00:00"/>
    <n v="750"/>
    <x v="0"/>
    <n v="4255"/>
    <n v="0"/>
  </r>
  <r>
    <s v="KMX231208-268-XF"/>
    <x v="151"/>
    <d v="2023-12-08T00:00:00"/>
    <d v="2024-01-17T00:00:00"/>
    <n v="40"/>
    <d v="2024-06-03T00:00:00"/>
    <x v="164"/>
    <d v="2024-06-03T00:00:00"/>
    <n v="578"/>
    <x v="0"/>
    <n v="5900"/>
    <n v="0"/>
  </r>
  <r>
    <s v="KMX231209-270-XF"/>
    <x v="106"/>
    <d v="2023-12-09T00:00:00"/>
    <d v="2024-01-06T00:00:00"/>
    <n v="28"/>
    <d v="2024-01-26T00:00:00"/>
    <x v="121"/>
    <d v="2024-01-26T00:00:00"/>
    <n v="707"/>
    <x v="0"/>
    <n v="11895"/>
    <n v="11895"/>
  </r>
  <r>
    <s v="KMX231222-277-XF"/>
    <x v="201"/>
    <d v="2023-12-22T00:00:00"/>
    <d v="2024-01-12T00:00:00"/>
    <n v="21"/>
    <m/>
    <x v="0"/>
    <d v="2024-01-12T00:00:00"/>
    <n v="721"/>
    <x v="0"/>
    <n v="21936"/>
    <n v="18000"/>
  </r>
  <r>
    <s v="KMX231226-278-XF"/>
    <x v="202"/>
    <d v="2023-12-26T00:00:00"/>
    <d v="2024-01-02T00:00:00"/>
    <n v="7"/>
    <d v="2024-04-10T00:00:00"/>
    <x v="134"/>
    <d v="2024-04-10T00:00:00"/>
    <n v="632"/>
    <x v="0"/>
    <n v="4900"/>
    <n v="0"/>
  </r>
  <r>
    <s v="KMX240105-007-XF"/>
    <x v="203"/>
    <d v="2024-01-05T00:00:00"/>
    <d v="2024-02-04T00:00:00"/>
    <n v="30"/>
    <d v="2024-10-17T00:00:00"/>
    <x v="165"/>
    <d v="2024-10-17T00:00:00"/>
    <n v="442"/>
    <x v="0"/>
    <n v="374223.11"/>
    <n v="374223.11"/>
  </r>
  <r>
    <s v="KMX240109-010-XF"/>
    <x v="150"/>
    <d v="2024-01-09T00:00:00"/>
    <d v="2024-07-16T00:00:00"/>
    <n v="189"/>
    <d v="2024-08-12T00:00:00"/>
    <x v="15"/>
    <d v="2024-08-12T00:00:00"/>
    <n v="508"/>
    <x v="0"/>
    <n v="112136.9"/>
    <n v="6041"/>
  </r>
  <r>
    <s v="KMX240110-011-XF"/>
    <x v="204"/>
    <d v="2024-01-10T00:00:00"/>
    <d v="2024-03-03T00:00:00"/>
    <n v="53"/>
    <d v="2024-04-25T00:00:00"/>
    <x v="31"/>
    <d v="2024-04-25T00:00:00"/>
    <n v="617"/>
    <x v="0"/>
    <n v="29800"/>
    <n v="0"/>
  </r>
  <r>
    <s v="KMX240112-012-XF"/>
    <x v="152"/>
    <d v="2024-01-12T00:00:00"/>
    <d v="2024-03-01T00:00:00"/>
    <n v="49"/>
    <d v="2024-08-16T00:00:00"/>
    <x v="166"/>
    <d v="2024-08-16T00:00:00"/>
    <n v="504"/>
    <x v="0"/>
    <n v="15573.19"/>
    <n v="0"/>
  </r>
  <r>
    <s v="KMX240115-014-XF"/>
    <x v="150"/>
    <d v="2024-01-15T00:00:00"/>
    <d v="2024-05-15T00:00:00"/>
    <n v="121"/>
    <d v="2024-07-23T00:00:00"/>
    <x v="167"/>
    <d v="2024-07-23T00:00:00"/>
    <n v="528"/>
    <x v="0"/>
    <n v="4179"/>
    <n v="0"/>
  </r>
  <r>
    <s v="KMX240117-015-XF"/>
    <x v="205"/>
    <d v="2024-01-17T00:00:00"/>
    <m/>
    <s v=""/>
    <m/>
    <x v="0"/>
    <d v="2024-01-17T00:00:00"/>
    <n v="716"/>
    <x v="0"/>
    <n v="22501.799999999901"/>
    <n v="0"/>
  </r>
  <r>
    <s v="KMX240118-016-XF"/>
    <x v="150"/>
    <d v="2024-01-18T00:00:00"/>
    <d v="2024-05-15T00:00:00"/>
    <n v="118"/>
    <d v="2024-07-12T00:00:00"/>
    <x v="133"/>
    <d v="2024-07-12T00:00:00"/>
    <n v="539"/>
    <x v="0"/>
    <n v="2393.8700000000099"/>
    <n v="0"/>
  </r>
  <r>
    <s v="KMX240118-017-XF"/>
    <x v="206"/>
    <d v="2024-01-18T00:00:00"/>
    <m/>
    <s v=""/>
    <m/>
    <x v="0"/>
    <d v="2024-01-18T00:00:00"/>
    <n v="715"/>
    <x v="0"/>
    <n v="188000"/>
    <m/>
  </r>
  <r>
    <s v="KMX240121-018-XF"/>
    <x v="207"/>
    <d v="2024-01-21T00:00:00"/>
    <m/>
    <s v=""/>
    <m/>
    <x v="0"/>
    <d v="2024-01-21T00:00:00"/>
    <n v="712"/>
    <x v="0"/>
    <n v="42000"/>
    <n v="42000"/>
  </r>
  <r>
    <s v="KMX240122-019-XF"/>
    <x v="150"/>
    <d v="2024-01-22T00:00:00"/>
    <d v="2024-11-06T00:00:00"/>
    <n v="289"/>
    <d v="2024-12-29T00:00:00"/>
    <x v="31"/>
    <d v="2024-12-29T00:00:00"/>
    <n v="369"/>
    <x v="0"/>
    <n v="345934.6"/>
    <n v="0"/>
  </r>
  <r>
    <s v="KMX240129-023-XF"/>
    <x v="150"/>
    <d v="2024-01-29T00:00:00"/>
    <d v="2024-09-24T00:00:00"/>
    <n v="239"/>
    <d v="2024-11-13T00:00:00"/>
    <x v="71"/>
    <d v="2024-11-13T00:00:00"/>
    <n v="415"/>
    <x v="0"/>
    <n v="50"/>
    <n v="0"/>
  </r>
  <r>
    <s v="KMX240130-027-XF"/>
    <x v="150"/>
    <d v="2024-01-30T00:00:00"/>
    <d v="2024-08-22T00:00:00"/>
    <n v="205"/>
    <d v="2024-10-24T00:00:00"/>
    <x v="168"/>
    <d v="2024-10-24T00:00:00"/>
    <n v="435"/>
    <x v="0"/>
    <n v="141.80000000004699"/>
    <n v="0"/>
  </r>
  <r>
    <s v="KMX240130-028-XF"/>
    <x v="208"/>
    <d v="2024-01-30T00:00:00"/>
    <d v="2024-04-04T00:00:00"/>
    <n v="65"/>
    <d v="2024-03-21T00:00:00"/>
    <x v="63"/>
    <d v="2024-03-21T00:00:00"/>
    <n v="652"/>
    <x v="0"/>
    <n v="34844"/>
    <n v="0"/>
  </r>
  <r>
    <s v="KMX240201-030-XF"/>
    <x v="209"/>
    <d v="2024-02-01T00:00:00"/>
    <m/>
    <s v=""/>
    <m/>
    <x v="0"/>
    <d v="2024-02-01T00:00:00"/>
    <n v="701"/>
    <x v="0"/>
    <n v="48000"/>
    <n v="0"/>
  </r>
  <r>
    <s v="KMX240215-032-XF"/>
    <x v="210"/>
    <d v="2024-02-15T00:00:00"/>
    <d v="2024-03-19T00:00:00"/>
    <n v="33"/>
    <d v="2024-04-10T00:00:00"/>
    <x v="37"/>
    <d v="2024-04-10T00:00:00"/>
    <n v="632"/>
    <x v="0"/>
    <n v="18500"/>
    <n v="0"/>
  </r>
  <r>
    <s v="KMX240218-035-XF"/>
    <x v="198"/>
    <d v="2024-02-18T00:00:00"/>
    <d v="2024-07-17T00:00:00"/>
    <n v="150"/>
    <d v="2024-06-17T00:00:00"/>
    <x v="169"/>
    <d v="2024-06-17T00:00:00"/>
    <n v="564"/>
    <x v="0"/>
    <n v="243000"/>
    <n v="243000"/>
  </r>
  <r>
    <s v="KMX240220-038-XF"/>
    <x v="150"/>
    <d v="2024-02-20T00:00:00"/>
    <d v="2024-05-25T00:00:00"/>
    <n v="95"/>
    <d v="2024-07-09T00:00:00"/>
    <x v="17"/>
    <d v="2024-07-09T00:00:00"/>
    <n v="542"/>
    <x v="0"/>
    <n v="38373.699999999997"/>
    <n v="0"/>
  </r>
  <r>
    <s v="KMX240229-042-XF"/>
    <x v="150"/>
    <d v="2024-02-29T00:00:00"/>
    <d v="2024-07-09T00:00:00"/>
    <n v="131"/>
    <d v="2024-07-12T00:00:00"/>
    <x v="25"/>
    <d v="2024-07-12T00:00:00"/>
    <n v="539"/>
    <x v="0"/>
    <n v="50851.5"/>
    <n v="0"/>
  </r>
  <r>
    <s v="KMX240229-043-XF"/>
    <x v="211"/>
    <d v="2024-02-29T00:00:00"/>
    <d v="2024-03-08T00:00:00"/>
    <n v="8"/>
    <d v="2024-04-12T00:00:00"/>
    <x v="47"/>
    <d v="2024-04-12T00:00:00"/>
    <n v="630"/>
    <x v="0"/>
    <n v="38000"/>
    <n v="0"/>
  </r>
  <r>
    <s v="KMX240313-048-XF"/>
    <x v="150"/>
    <d v="2024-03-13T00:00:00"/>
    <d v="2024-07-24T00:00:00"/>
    <n v="133"/>
    <m/>
    <x v="0"/>
    <d v="2024-07-24T00:00:00"/>
    <n v="527"/>
    <x v="0"/>
    <n v="181816"/>
    <n v="0"/>
  </r>
  <r>
    <s v="KMX240326-050-XF"/>
    <x v="212"/>
    <d v="2024-03-26T00:00:00"/>
    <d v="2024-04-01T00:00:00"/>
    <n v="6"/>
    <d v="2024-05-30T00:00:00"/>
    <x v="77"/>
    <d v="2024-05-30T00:00:00"/>
    <n v="582"/>
    <x v="0"/>
    <n v="5424"/>
    <n v="0"/>
  </r>
  <r>
    <s v="KMX240328-051-XF"/>
    <x v="213"/>
    <d v="2024-03-28T00:00:00"/>
    <d v="2024-08-23T00:00:00"/>
    <n v="148"/>
    <d v="2024-09-27T00:00:00"/>
    <x v="47"/>
    <d v="2024-09-27T00:00:00"/>
    <n v="462"/>
    <x v="0"/>
    <n v="300000"/>
    <m/>
  </r>
  <r>
    <s v="KMX240408-052-XF"/>
    <x v="150"/>
    <d v="2024-04-08T00:00:00"/>
    <m/>
    <s v=""/>
    <d v="2024-11-04T00:00:00"/>
    <x v="0"/>
    <d v="2024-11-04T00:00:00"/>
    <n v="424"/>
    <x v="0"/>
    <n v="43484.259999999798"/>
    <m/>
  </r>
  <r>
    <s v="KMX240425-058-XF"/>
    <x v="176"/>
    <d v="2024-04-25T00:00:00"/>
    <d v="2024-05-22T00:00:00"/>
    <n v="27"/>
    <m/>
    <x v="0"/>
    <d v="2024-05-22T00:00:00"/>
    <n v="590"/>
    <x v="0"/>
    <n v="33900"/>
    <n v="33900"/>
  </r>
  <r>
    <s v="KMX240430-060-XF"/>
    <x v="177"/>
    <d v="2024-04-30T00:00:00"/>
    <d v="2024-04-30T00:00:00"/>
    <n v="0"/>
    <d v="2024-07-01T00:00:00"/>
    <x v="170"/>
    <d v="2024-07-01T00:00:00"/>
    <n v="550"/>
    <x v="0"/>
    <n v="3250"/>
    <n v="0"/>
  </r>
  <r>
    <s v="KMX240507-063-XF"/>
    <x v="144"/>
    <d v="2024-05-07T00:00:00"/>
    <d v="2024-05-16T00:00:00"/>
    <n v="9"/>
    <m/>
    <x v="0"/>
    <d v="2024-05-16T00:00:00"/>
    <n v="596"/>
    <x v="0"/>
    <n v="1323500"/>
    <n v="-1031600.51"/>
  </r>
  <r>
    <s v="KMX240508-064-XF"/>
    <x v="150"/>
    <d v="2024-05-08T00:00:00"/>
    <d v="2024-05-15T00:00:00"/>
    <n v="7"/>
    <d v="2024-07-22T00:00:00"/>
    <x v="105"/>
    <d v="2024-07-22T00:00:00"/>
    <n v="529"/>
    <x v="0"/>
    <n v="21822.400000000001"/>
    <m/>
  </r>
  <r>
    <s v="KMX240524-070-XF"/>
    <x v="144"/>
    <d v="2024-05-24T00:00:00"/>
    <m/>
    <s v=""/>
    <d v="2024-12-10T00:00:00"/>
    <x v="0"/>
    <d v="2024-12-10T00:00:00"/>
    <n v="388"/>
    <x v="0"/>
    <n v="874000"/>
    <m/>
  </r>
  <r>
    <s v="KMX240604-071-XF"/>
    <x v="214"/>
    <d v="2024-06-04T00:00:00"/>
    <d v="2024-06-29T00:00:00"/>
    <n v="25"/>
    <m/>
    <x v="0"/>
    <d v="2024-06-29T00:00:00"/>
    <n v="552"/>
    <x v="0"/>
    <n v="320000"/>
    <n v="0"/>
  </r>
  <r>
    <s v="KMX240611-072-XF"/>
    <x v="215"/>
    <d v="2024-06-11T00:00:00"/>
    <d v="2024-06-19T00:00:00"/>
    <n v="8"/>
    <d v="2024-07-04T00:00:00"/>
    <x v="90"/>
    <d v="2024-07-04T00:00:00"/>
    <n v="547"/>
    <x v="0"/>
    <n v="1850"/>
    <n v="0"/>
  </r>
  <r>
    <s v="KMX240621-073-XF"/>
    <x v="216"/>
    <d v="2024-06-21T00:00:00"/>
    <m/>
    <s v=""/>
    <m/>
    <x v="0"/>
    <d v="2024-06-21T00:00:00"/>
    <n v="560"/>
    <x v="0"/>
    <n v="10500"/>
    <n v="0"/>
  </r>
  <r>
    <s v="KMX240625-075-XF"/>
    <x v="150"/>
    <d v="2024-06-25T00:00:00"/>
    <d v="2024-12-10T00:00:00"/>
    <n v="168"/>
    <m/>
    <x v="0"/>
    <d v="2024-12-10T00:00:00"/>
    <n v="388"/>
    <x v="0"/>
    <n v="37"/>
    <n v="0"/>
  </r>
  <r>
    <s v="KMX240701-076-XF"/>
    <x v="192"/>
    <d v="2024-07-01T00:00:00"/>
    <m/>
    <s v=""/>
    <m/>
    <x v="0"/>
    <d v="2024-07-01T00:00:00"/>
    <n v="550"/>
    <x v="0"/>
    <n v="477000"/>
    <n v="0"/>
  </r>
  <r>
    <s v="KMX240705-079-XF"/>
    <x v="217"/>
    <d v="2024-07-05T00:00:00"/>
    <d v="2024-07-29T00:00:00"/>
    <n v="24"/>
    <d v="2024-09-10T00:00:00"/>
    <x v="27"/>
    <d v="2024-09-10T00:00:00"/>
    <n v="479"/>
    <x v="0"/>
    <n v="7310.3999999999896"/>
    <n v="0"/>
  </r>
  <r>
    <s v="KMX240708-081-XF"/>
    <x v="177"/>
    <d v="2024-07-08T00:00:00"/>
    <d v="2024-07-27T00:00:00"/>
    <n v="19"/>
    <d v="2024-09-11T00:00:00"/>
    <x v="171"/>
    <d v="2024-09-11T00:00:00"/>
    <n v="478"/>
    <x v="0"/>
    <n v="4246.1000000000104"/>
    <n v="0"/>
  </r>
  <r>
    <s v="KMX240708-082-XF"/>
    <x v="218"/>
    <d v="2024-07-08T00:00:00"/>
    <d v="2024-11-30T00:00:00"/>
    <n v="145"/>
    <m/>
    <x v="0"/>
    <d v="2024-11-30T00:00:00"/>
    <n v="398"/>
    <x v="0"/>
    <n v="18000"/>
    <n v="0"/>
  </r>
  <r>
    <s v="KMX240729-086-XF"/>
    <x v="219"/>
    <d v="2024-07-29T00:00:00"/>
    <d v="2024-09-06T00:00:00"/>
    <n v="39"/>
    <d v="2024-09-05T00:00:00"/>
    <x v="55"/>
    <d v="2024-09-05T00:00:00"/>
    <n v="484"/>
    <x v="0"/>
    <n v="9100"/>
    <n v="0"/>
  </r>
  <r>
    <s v="KMX240729-087-XF"/>
    <x v="220"/>
    <d v="2024-07-29T00:00:00"/>
    <m/>
    <s v=""/>
    <m/>
    <x v="0"/>
    <d v="2024-07-29T00:00:00"/>
    <n v="522"/>
    <x v="0"/>
    <n v="4900"/>
    <n v="0"/>
  </r>
  <r>
    <s v="KMX240815-092-XF"/>
    <x v="221"/>
    <d v="2024-08-15T00:00:00"/>
    <m/>
    <s v=""/>
    <m/>
    <x v="0"/>
    <d v="2024-08-15T00:00:00"/>
    <n v="505"/>
    <x v="0"/>
    <n v="60000"/>
    <n v="140000"/>
  </r>
  <r>
    <s v="KMX240902-093-XF"/>
    <x v="150"/>
    <d v="2024-09-02T00:00:00"/>
    <m/>
    <s v=""/>
    <m/>
    <x v="0"/>
    <d v="2024-09-02T00:00:00"/>
    <n v="487"/>
    <x v="0"/>
    <n v="200000"/>
    <n v="0"/>
  </r>
  <r>
    <s v="KMX240923-097-XF"/>
    <x v="222"/>
    <d v="2024-09-23T00:00:00"/>
    <m/>
    <s v=""/>
    <m/>
    <x v="0"/>
    <d v="2024-09-23T00:00:00"/>
    <n v="466"/>
    <x v="0"/>
    <n v="30000"/>
    <n v="0"/>
  </r>
  <r>
    <s v="KMX240927-098-XF"/>
    <x v="150"/>
    <d v="2024-09-27T00:00:00"/>
    <m/>
    <s v=""/>
    <d v="2024-12-26T00:00:00"/>
    <x v="0"/>
    <d v="2024-12-26T00:00:00"/>
    <n v="372"/>
    <x v="0"/>
    <n v="123080"/>
    <n v="0"/>
  </r>
  <r>
    <s v="KMX240930-099-XF"/>
    <x v="198"/>
    <d v="2024-09-30T00:00:00"/>
    <m/>
    <s v=""/>
    <m/>
    <x v="0"/>
    <d v="2024-09-30T00:00:00"/>
    <n v="459"/>
    <x v="0"/>
    <n v="341889.89"/>
    <n v="0"/>
  </r>
  <r>
    <s v="KMX240930-100-XF"/>
    <x v="198"/>
    <d v="2024-09-30T00:00:00"/>
    <m/>
    <s v=""/>
    <m/>
    <x v="0"/>
    <d v="2024-09-30T00:00:00"/>
    <n v="459"/>
    <x v="0"/>
    <n v="229912.78"/>
    <n v="40096"/>
  </r>
  <r>
    <s v="KMX240930-101-XF"/>
    <x v="198"/>
    <d v="2024-09-30T00:00:00"/>
    <m/>
    <s v=""/>
    <m/>
    <x v="0"/>
    <d v="2024-09-30T00:00:00"/>
    <n v="459"/>
    <x v="0"/>
    <n v="76926.89"/>
    <n v="0"/>
  </r>
  <r>
    <s v="KMX241022-102-XF"/>
    <x v="223"/>
    <d v="2024-10-22T00:00:00"/>
    <d v="2025-02-26T00:00:00"/>
    <n v="127"/>
    <d v="2025-03-21T00:00:00"/>
    <x v="172"/>
    <d v="2025-03-21T00:00:00"/>
    <n v="287"/>
    <x v="1"/>
    <n v="10800"/>
    <n v="0"/>
  </r>
  <r>
    <s v="KMX241025-103-XF"/>
    <x v="224"/>
    <d v="2024-10-25T00:00:00"/>
    <d v="2024-11-08T00:00:00"/>
    <n v="14"/>
    <m/>
    <x v="0"/>
    <d v="2024-11-08T00:00:00"/>
    <n v="420"/>
    <x v="0"/>
    <n v="293800"/>
    <n v="293800"/>
  </r>
  <r>
    <s v="KMX241112-104-XF"/>
    <x v="225"/>
    <d v="2024-11-12T00:00:00"/>
    <d v="2024-12-17T00:00:00"/>
    <n v="35"/>
    <m/>
    <x v="0"/>
    <d v="2024-12-17T00:00:00"/>
    <n v="381"/>
    <x v="0"/>
    <n v="102103.2"/>
    <n v="0"/>
  </r>
  <r>
    <s v="KMX241115-105-XF"/>
    <x v="199"/>
    <d v="2024-11-15T00:00:00"/>
    <m/>
    <s v=""/>
    <m/>
    <x v="0"/>
    <d v="2024-11-15T00:00:00"/>
    <n v="413"/>
    <x v="0"/>
    <n v="60000"/>
    <n v="0"/>
  </r>
  <r>
    <s v="KMX241119-106-XF"/>
    <x v="226"/>
    <d v="2024-11-19T00:00:00"/>
    <d v="2025-03-11T00:00:00"/>
    <n v="112"/>
    <m/>
    <x v="0"/>
    <d v="2025-03-11T00:00:00"/>
    <n v="297"/>
    <x v="1"/>
    <n v="120000"/>
    <n v="135769.60000000001"/>
  </r>
  <r>
    <s v="KMX241129-107-XF"/>
    <x v="227"/>
    <d v="2024-11-29T00:00:00"/>
    <d v="2025-01-03T00:00:00"/>
    <n v="35"/>
    <m/>
    <x v="0"/>
    <d v="2025-01-03T00:00:00"/>
    <n v="364"/>
    <x v="1"/>
    <n v="6000"/>
    <n v="0"/>
  </r>
  <r>
    <s v="KMX241205-108-XF"/>
    <x v="228"/>
    <d v="2024-12-05T00:00:00"/>
    <d v="2025-03-29T00:00:00"/>
    <n v="114"/>
    <m/>
    <x v="0"/>
    <d v="2025-03-29T00:00:00"/>
    <n v="279"/>
    <x v="1"/>
    <n v="230000"/>
    <n v="230000"/>
  </r>
  <r>
    <s v="KMX241217-111-XF"/>
    <x v="229"/>
    <d v="2024-12-17T00:00:00"/>
    <m/>
    <s v=""/>
    <m/>
    <x v="0"/>
    <d v="2024-12-17T00:00:00"/>
    <n v="381"/>
    <x v="0"/>
    <n v="119792"/>
    <n v="-189120"/>
  </r>
  <r>
    <s v="KMX241218-112-XF"/>
    <x v="230"/>
    <d v="2024-12-18T00:00:00"/>
    <d v="2025-07-15T00:00:00"/>
    <n v="209"/>
    <m/>
    <x v="0"/>
    <d v="2025-07-15T00:00:00"/>
    <n v="171"/>
    <x v="2"/>
    <n v="28167"/>
    <n v="0"/>
  </r>
  <r>
    <s v="KMX241219-113-XF"/>
    <x v="231"/>
    <d v="2024-12-19T00:00:00"/>
    <m/>
    <s v=""/>
    <m/>
    <x v="0"/>
    <d v="2024-12-19T00:00:00"/>
    <n v="379"/>
    <x v="0"/>
    <n v="8000"/>
    <n v="0"/>
  </r>
  <r>
    <s v="KMX241223-114-XF"/>
    <x v="232"/>
    <d v="2024-12-23T00:00:00"/>
    <m/>
    <s v=""/>
    <m/>
    <x v="0"/>
    <d v="2024-12-23T00:00:00"/>
    <n v="375"/>
    <x v="0"/>
    <n v="21470"/>
    <n v="0"/>
  </r>
  <r>
    <s v="KMX241224-115-XF"/>
    <x v="227"/>
    <d v="2024-12-24T00:00:00"/>
    <m/>
    <s v=""/>
    <m/>
    <x v="0"/>
    <d v="2024-12-24T00:00:00"/>
    <n v="374"/>
    <x v="0"/>
    <n v="4927"/>
    <m/>
  </r>
  <r>
    <s v="日钢私活2万不开票"/>
    <x v="233"/>
    <d v="2024-12-27T00:00:00"/>
    <m/>
    <s v=""/>
    <m/>
    <x v="0"/>
    <d v="2024-12-27T00:00:00"/>
    <n v="371"/>
    <x v="0"/>
    <n v="20000"/>
    <m/>
  </r>
  <r>
    <s v="KMX241230-117-XF"/>
    <x v="150"/>
    <d v="2024-12-30T00:00:00"/>
    <m/>
    <s v=""/>
    <m/>
    <x v="0"/>
    <d v="2024-12-30T00:00:00"/>
    <n v="368"/>
    <x v="0"/>
    <n v="46000"/>
    <m/>
  </r>
  <r>
    <s v="KMX250109-002-XF"/>
    <x v="234"/>
    <d v="2025-01-09T00:00:00"/>
    <m/>
    <s v=""/>
    <m/>
    <x v="0"/>
    <d v="2025-01-09T00:00:00"/>
    <n v="358"/>
    <x v="1"/>
    <n v="13200"/>
    <m/>
  </r>
  <r>
    <s v="KMX250114-003-XF"/>
    <x v="150"/>
    <d v="2025-01-14T00:00:00"/>
    <m/>
    <s v=""/>
    <m/>
    <x v="0"/>
    <d v="2025-01-14T00:00:00"/>
    <n v="353"/>
    <x v="1"/>
    <n v="975995.2"/>
    <n v="0"/>
  </r>
  <r>
    <s v="KMX250121-004-XF"/>
    <x v="126"/>
    <d v="2025-01-21T00:00:00"/>
    <d v="2025-01-25T00:00:00"/>
    <n v="4"/>
    <m/>
    <x v="0"/>
    <d v="2025-01-25T00:00:00"/>
    <n v="342"/>
    <x v="1"/>
    <n v="1200"/>
    <n v="0"/>
  </r>
  <r>
    <s v="KMX250121-005-XF"/>
    <x v="235"/>
    <d v="2025-01-21T00:00:00"/>
    <d v="2025-08-25T00:00:00"/>
    <n v="216"/>
    <m/>
    <x v="0"/>
    <d v="2025-08-25T00:00:00"/>
    <n v="130"/>
    <x v="2"/>
    <n v="19648.5"/>
    <n v="0"/>
  </r>
  <r>
    <s v="KMX250205-006-XF"/>
    <x v="150"/>
    <d v="2025-02-05T00:00:00"/>
    <d v="2025-03-25T00:00:00"/>
    <n v="48"/>
    <m/>
    <x v="0"/>
    <d v="2025-03-25T00:00:00"/>
    <n v="283"/>
    <x v="1"/>
    <n v="7369.8"/>
    <n v="0"/>
  </r>
  <r>
    <s v="KMX250210-007-XF"/>
    <x v="144"/>
    <d v="2025-02-10T00:00:00"/>
    <m/>
    <s v=""/>
    <m/>
    <x v="0"/>
    <d v="2025-02-10T00:00:00"/>
    <n v="326"/>
    <x v="1"/>
    <n v="74000"/>
    <n v="0"/>
  </r>
  <r>
    <s v="KMX250210-008-XF"/>
    <x v="144"/>
    <d v="2025-02-10T00:00:00"/>
    <m/>
    <s v=""/>
    <m/>
    <x v="0"/>
    <d v="2025-02-10T00:00:00"/>
    <n v="326"/>
    <x v="1"/>
    <n v="34000"/>
    <n v="-34000"/>
  </r>
  <r>
    <s v="KMX250210-009-XF"/>
    <x v="209"/>
    <d v="2025-02-10T00:00:00"/>
    <d v="2025-03-04T00:00:00"/>
    <n v="22"/>
    <m/>
    <x v="0"/>
    <d v="2025-03-04T00:00:00"/>
    <n v="304"/>
    <x v="1"/>
    <n v="2500"/>
    <n v="0"/>
  </r>
  <r>
    <s v="KMX250220-010-XF"/>
    <x v="236"/>
    <d v="2025-02-20T00:00:00"/>
    <m/>
    <s v=""/>
    <m/>
    <x v="0"/>
    <d v="2025-02-20T00:00:00"/>
    <n v="316"/>
    <x v="1"/>
    <n v="617999.99450000003"/>
    <n v="0"/>
  </r>
  <r>
    <s v="KMX250225-011-XF"/>
    <x v="237"/>
    <d v="2025-02-25T00:00:00"/>
    <d v="2025-04-05T00:00:00"/>
    <n v="39"/>
    <m/>
    <x v="0"/>
    <d v="2025-04-05T00:00:00"/>
    <n v="272"/>
    <x v="1"/>
    <n v="3900"/>
    <n v="0"/>
  </r>
  <r>
    <s v="KMX250226-012-XF"/>
    <x v="238"/>
    <d v="2025-02-26T00:00:00"/>
    <m/>
    <s v=""/>
    <m/>
    <x v="0"/>
    <d v="2025-02-26T00:00:00"/>
    <n v="310"/>
    <x v="1"/>
    <n v="86000"/>
    <n v="86000"/>
  </r>
  <r>
    <s v="KMX250304-013-XF"/>
    <x v="239"/>
    <d v="2025-03-04T00:00:00"/>
    <d v="2025-08-13T00:00:00"/>
    <n v="162"/>
    <m/>
    <x v="0"/>
    <d v="2025-08-13T00:00:00"/>
    <n v="142"/>
    <x v="2"/>
    <n v="658.72999999999604"/>
    <n v="0"/>
  </r>
  <r>
    <s v="KMX250307-014-XF"/>
    <x v="150"/>
    <d v="2025-03-07T00:00:00"/>
    <m/>
    <s v=""/>
    <m/>
    <x v="0"/>
    <d v="2025-03-07T00:00:00"/>
    <n v="301"/>
    <x v="1"/>
    <n v="560000"/>
    <n v="-534166"/>
  </r>
  <r>
    <s v="KMX2503010-015-XF"/>
    <x v="9"/>
    <d v="2025-03-10T00:00:00"/>
    <d v="2025-03-16T00:00:00"/>
    <n v="6"/>
    <m/>
    <x v="0"/>
    <d v="2025-03-16T00:00:00"/>
    <n v="292"/>
    <x v="1"/>
    <n v="48000"/>
    <n v="0"/>
  </r>
  <r>
    <s v="KMX2503014-018-XF"/>
    <x v="240"/>
    <d v="2025-03-14T00:00:00"/>
    <d v="2025-03-18T00:00:00"/>
    <n v="4"/>
    <m/>
    <x v="0"/>
    <d v="2025-03-18T00:00:00"/>
    <n v="290"/>
    <x v="1"/>
    <n v="63000"/>
    <n v="60000"/>
  </r>
  <r>
    <s v="KMX2503018-019-XF"/>
    <x v="150"/>
    <d v="2025-03-18T00:00:00"/>
    <m/>
    <s v=""/>
    <m/>
    <x v="0"/>
    <d v="2025-03-18T00:00:00"/>
    <n v="290"/>
    <x v="1"/>
    <n v="169588.1"/>
    <n v="0"/>
  </r>
  <r>
    <s v="KMX2503018-020-XF"/>
    <x v="150"/>
    <d v="2025-03-18T00:00:00"/>
    <m/>
    <s v=""/>
    <m/>
    <x v="0"/>
    <d v="2025-03-18T00:00:00"/>
    <n v="290"/>
    <x v="1"/>
    <n v="247500"/>
    <n v="0"/>
  </r>
  <r>
    <s v="KMX2503020-021-XF"/>
    <x v="241"/>
    <d v="2025-03-20T00:00:00"/>
    <m/>
    <s v=""/>
    <m/>
    <x v="0"/>
    <d v="2025-03-20T00:00:00"/>
    <n v="288"/>
    <x v="1"/>
    <n v="292000"/>
    <n v="0"/>
  </r>
  <r>
    <s v="KMX250325-024-XF"/>
    <x v="209"/>
    <d v="2025-03-25T00:00:00"/>
    <d v="2025-02-19T00:00:00"/>
    <n v="-34"/>
    <m/>
    <x v="0"/>
    <d v="2025-02-19T00:00:00"/>
    <n v="317"/>
    <x v="1"/>
    <n v="14760"/>
    <n v="0"/>
  </r>
  <r>
    <s v="KMX250329-026-XF"/>
    <x v="163"/>
    <d v="2025-03-29T00:00:00"/>
    <m/>
    <s v=""/>
    <m/>
    <x v="0"/>
    <d v="2025-03-29T00:00:00"/>
    <n v="279"/>
    <x v="1"/>
    <n v="190001"/>
    <n v="0"/>
  </r>
  <r>
    <s v="KMX250416-027-XF"/>
    <x v="150"/>
    <d v="2025-04-16T00:00:00"/>
    <m/>
    <s v=""/>
    <m/>
    <x v="0"/>
    <d v="2025-04-16T00:00:00"/>
    <n v="261"/>
    <x v="1"/>
    <n v="406100"/>
    <n v="0"/>
  </r>
  <r>
    <s v="KMX250419-028"/>
    <x v="242"/>
    <d v="2025-04-19T00:00:00"/>
    <m/>
    <s v=""/>
    <m/>
    <x v="0"/>
    <d v="2025-04-19T00:00:00"/>
    <n v="258"/>
    <x v="1"/>
    <n v="698000"/>
    <n v="-615178"/>
  </r>
  <r>
    <s v="KMX250423-031"/>
    <x v="144"/>
    <d v="2025-04-23T00:00:00"/>
    <m/>
    <s v=""/>
    <m/>
    <x v="0"/>
    <d v="2025-04-23T00:00:00"/>
    <n v="254"/>
    <x v="1"/>
    <n v="565605"/>
    <n v="-738009"/>
  </r>
  <r>
    <s v="KMX250423-032"/>
    <x v="219"/>
    <d v="2025-04-23T00:00:00"/>
    <d v="2025-05-01T00:00:00"/>
    <n v="8"/>
    <d v="2025-09-30T00:00:00"/>
    <x v="173"/>
    <d v="2025-09-30T00:00:00"/>
    <n v="94"/>
    <x v="2"/>
    <n v="120000"/>
    <n v="0"/>
  </r>
  <r>
    <s v="KMX250429-033"/>
    <x v="150"/>
    <d v="2025-04-29T00:00:00"/>
    <d v="2025-08-25T00:00:00"/>
    <n v="118"/>
    <m/>
    <x v="0"/>
    <d v="2025-08-25T00:00:00"/>
    <n v="130"/>
    <x v="2"/>
    <n v="455100"/>
    <n v="-380000"/>
  </r>
  <r>
    <s v="KMX250505-034"/>
    <x v="106"/>
    <d v="2025-05-05T00:00:00"/>
    <d v="2025-05-14T00:00:00"/>
    <n v="9"/>
    <m/>
    <x v="0"/>
    <d v="2025-05-14T00:00:00"/>
    <n v="233"/>
    <x v="1"/>
    <n v="14200"/>
    <n v="12360"/>
  </r>
  <r>
    <s v="KMX250508-036"/>
    <x v="223"/>
    <d v="2025-05-08T00:00:00"/>
    <d v="2025-05-23T00:00:00"/>
    <n v="15"/>
    <m/>
    <x v="0"/>
    <d v="2025-05-23T00:00:00"/>
    <n v="224"/>
    <x v="1"/>
    <n v="7800"/>
    <n v="0"/>
  </r>
  <r>
    <s v="KMX250528-039"/>
    <x v="243"/>
    <d v="2025-05-28T00:00:00"/>
    <d v="2025-10-28T00:00:00"/>
    <n v="153"/>
    <m/>
    <x v="0"/>
    <d v="2025-10-28T00:00:00"/>
    <n v="66"/>
    <x v="3"/>
    <n v="6000"/>
    <n v="0"/>
  </r>
  <r>
    <s v="KMX250529-040"/>
    <x v="225"/>
    <d v="2025-05-29T00:00:00"/>
    <d v="2025-07-20T00:00:00"/>
    <n v="52"/>
    <m/>
    <x v="0"/>
    <d v="2025-07-20T00:00:00"/>
    <n v="166"/>
    <x v="2"/>
    <n v="40000"/>
    <n v="26760"/>
  </r>
  <r>
    <s v="KMX250530-041"/>
    <x v="244"/>
    <d v="2025-05-30T00:00:00"/>
    <m/>
    <s v=""/>
    <m/>
    <x v="0"/>
    <d v="2025-05-30T00:00:00"/>
    <n v="217"/>
    <x v="1"/>
    <n v="128000"/>
    <n v="-228000"/>
  </r>
  <r>
    <s v="KMX250606-042"/>
    <x v="245"/>
    <d v="2025-06-06T00:00:00"/>
    <m/>
    <s v=""/>
    <m/>
    <x v="0"/>
    <d v="2025-06-06T00:00:00"/>
    <n v="210"/>
    <x v="1"/>
    <n v="1700000"/>
    <n v="-1118400"/>
  </r>
  <r>
    <s v="KMX250610-043"/>
    <x v="246"/>
    <d v="2025-06-10T00:00:00"/>
    <d v="2025-07-28T00:00:00"/>
    <n v="48"/>
    <m/>
    <x v="0"/>
    <d v="2025-07-28T00:00:00"/>
    <n v="158"/>
    <x v="2"/>
    <n v="195000"/>
    <n v="195000"/>
  </r>
  <r>
    <s v="KMX250613-044"/>
    <x v="185"/>
    <d v="2025-06-13T00:00:00"/>
    <m/>
    <s v=""/>
    <m/>
    <x v="0"/>
    <d v="2025-06-13T00:00:00"/>
    <n v="203"/>
    <x v="1"/>
    <n v="70000"/>
    <n v="0"/>
  </r>
  <r>
    <s v="KMX250618-046"/>
    <x v="150"/>
    <d v="2025-06-18T00:00:00"/>
    <d v="2025-07-18T00:00:00"/>
    <n v="30"/>
    <m/>
    <x v="0"/>
    <d v="2025-07-18T00:00:00"/>
    <n v="168"/>
    <x v="2"/>
    <n v="58149.4"/>
    <n v="0"/>
  </r>
  <r>
    <s v="KMX250618-047"/>
    <x v="150"/>
    <d v="2025-06-18T00:00:00"/>
    <d v="2025-07-18T00:00:00"/>
    <n v="30"/>
    <m/>
    <x v="0"/>
    <d v="2025-07-18T00:00:00"/>
    <n v="168"/>
    <x v="2"/>
    <n v="44254.6"/>
    <n v="0"/>
  </r>
  <r>
    <s v="KMX250618-048"/>
    <x v="150"/>
    <d v="2025-06-18T00:00:00"/>
    <d v="2025-07-18T00:00:00"/>
    <n v="30"/>
    <m/>
    <x v="0"/>
    <d v="2025-07-18T00:00:00"/>
    <n v="168"/>
    <x v="2"/>
    <n v="52921.8"/>
    <n v="0"/>
  </r>
  <r>
    <s v="KMX250618-049"/>
    <x v="150"/>
    <d v="2025-06-18T00:00:00"/>
    <d v="2025-09-09T00:00:00"/>
    <n v="83"/>
    <m/>
    <x v="0"/>
    <d v="2025-09-09T00:00:00"/>
    <n v="115"/>
    <x v="2"/>
    <n v="129168.6"/>
    <n v="0"/>
  </r>
  <r>
    <s v="KMX250618-050"/>
    <x v="150"/>
    <d v="2025-06-18T00:00:00"/>
    <m/>
    <s v=""/>
    <m/>
    <x v="0"/>
    <d v="2025-06-18T00:00:00"/>
    <n v="198"/>
    <x v="1"/>
    <n v="350000"/>
    <n v="0"/>
  </r>
  <r>
    <s v="KMX250620-051"/>
    <x v="247"/>
    <d v="2025-06-20T00:00:00"/>
    <d v="2025-08-04T00:00:00"/>
    <n v="45"/>
    <m/>
    <x v="0"/>
    <d v="2025-08-04T00:00:00"/>
    <n v="151"/>
    <x v="2"/>
    <n v="7377.5"/>
    <n v="0"/>
  </r>
  <r>
    <s v="KMX250624-052"/>
    <x v="198"/>
    <d v="2025-06-24T00:00:00"/>
    <m/>
    <s v=""/>
    <m/>
    <x v="0"/>
    <d v="2025-06-24T00:00:00"/>
    <n v="192"/>
    <x v="1"/>
    <n v="477506.16"/>
    <n v="-340000"/>
  </r>
  <r>
    <s v="KMX250701-053"/>
    <x v="248"/>
    <d v="2025-07-01T00:00:00"/>
    <m/>
    <s v=""/>
    <m/>
    <x v="0"/>
    <d v="2025-07-01T00:00:00"/>
    <n v="185"/>
    <x v="1"/>
    <n v="456766.11"/>
    <n v="0"/>
  </r>
  <r>
    <s v="KMX250701-054"/>
    <x v="106"/>
    <d v="2025-07-01T00:00:00"/>
    <d v="2025-07-15T00:00:00"/>
    <n v="14"/>
    <m/>
    <x v="0"/>
    <d v="2025-07-15T00:00:00"/>
    <n v="171"/>
    <x v="2"/>
    <n v="34260"/>
    <n v="12435"/>
  </r>
  <r>
    <s v="KMX250707-056"/>
    <x v="249"/>
    <d v="2025-07-07T00:00:00"/>
    <d v="2025-07-23T00:00:00"/>
    <n v="16"/>
    <m/>
    <x v="0"/>
    <d v="2025-07-23T00:00:00"/>
    <n v="163"/>
    <x v="2"/>
    <n v="305200"/>
    <n v="200000"/>
  </r>
  <r>
    <s v="KMX250711-057"/>
    <x v="242"/>
    <d v="2025-07-11T00:00:00"/>
    <d v="2025-08-31T00:00:00"/>
    <n v="51"/>
    <m/>
    <x v="0"/>
    <d v="2025-08-31T00:00:00"/>
    <n v="124"/>
    <x v="2"/>
    <n v="524456.80000000005"/>
    <n v="213253.8"/>
  </r>
  <r>
    <s v="KMX250715-059"/>
    <x v="102"/>
    <d v="2025-07-15T00:00:00"/>
    <m/>
    <s v=""/>
    <m/>
    <x v="0"/>
    <d v="2025-07-15T00:00:00"/>
    <n v="171"/>
    <x v="2"/>
    <n v="155000"/>
    <n v="0"/>
  </r>
  <r>
    <s v="KMX250721-060"/>
    <x v="248"/>
    <d v="2025-07-21T00:00:00"/>
    <m/>
    <s v=""/>
    <m/>
    <x v="0"/>
    <d v="2025-07-21T00:00:00"/>
    <n v="165"/>
    <x v="2"/>
    <n v="828400"/>
    <n v="-666731.03"/>
  </r>
  <r>
    <s v="KMX250721-061"/>
    <x v="250"/>
    <d v="2025-07-21T00:00:00"/>
    <m/>
    <s v=""/>
    <m/>
    <x v="0"/>
    <d v="2025-07-21T00:00:00"/>
    <n v="165"/>
    <x v="2"/>
    <n v="214200"/>
    <n v="0"/>
  </r>
  <r>
    <s v="KMX250715-062"/>
    <x v="106"/>
    <d v="2025-07-22T00:00:00"/>
    <m/>
    <s v=""/>
    <m/>
    <x v="0"/>
    <d v="2025-07-22T00:00:00"/>
    <n v="164"/>
    <x v="2"/>
    <n v="26000"/>
    <n v="0"/>
  </r>
  <r>
    <s v="KMX250821-067"/>
    <x v="243"/>
    <d v="2025-08-21T00:00:00"/>
    <d v="2025-10-28T00:00:00"/>
    <n v="68"/>
    <m/>
    <x v="0"/>
    <d v="2025-10-28T00:00:00"/>
    <n v="66"/>
    <x v="3"/>
    <n v="6000"/>
    <n v="0"/>
  </r>
  <r>
    <s v="KMX250829-063"/>
    <x v="251"/>
    <d v="2025-08-29T00:00:00"/>
    <d v="2025-09-08T00:00:00"/>
    <n v="10"/>
    <m/>
    <x v="0"/>
    <d v="2025-09-08T00:00:00"/>
    <n v="116"/>
    <x v="2"/>
    <n v="70000"/>
    <n v="70000"/>
  </r>
  <r>
    <s v="KMX202595-064"/>
    <x v="182"/>
    <d v="2025-09-05T00:00:00"/>
    <m/>
    <s v=""/>
    <m/>
    <x v="0"/>
    <d v="2025-09-05T00:00:00"/>
    <n v="119"/>
    <x v="2"/>
    <n v="1180000"/>
    <n v="0"/>
  </r>
  <r>
    <s v="KMX202599-068"/>
    <x v="144"/>
    <d v="2025-09-09T00:00:00"/>
    <m/>
    <s v=""/>
    <m/>
    <x v="0"/>
    <d v="2025-09-09T00:00:00"/>
    <n v="115"/>
    <x v="2"/>
    <n v="1263546"/>
    <n v="0"/>
  </r>
  <r>
    <s v="KMX2025911-069"/>
    <x v="252"/>
    <d v="2025-09-11T00:00:00"/>
    <d v="2025-09-18T00:00:00"/>
    <n v="7"/>
    <m/>
    <x v="0"/>
    <d v="2025-09-18T00:00:00"/>
    <n v="106"/>
    <x v="2"/>
    <n v="45500"/>
    <n v="0"/>
  </r>
  <r>
    <s v="KMX2025922 -071"/>
    <x v="185"/>
    <d v="2025-09-22T00:00:00"/>
    <m/>
    <s v=""/>
    <m/>
    <x v="0"/>
    <d v="2025-09-22T00:00:00"/>
    <n v="102"/>
    <x v="2"/>
    <n v="175000"/>
    <n v="0"/>
  </r>
  <r>
    <s v="KMX2025101 - 073"/>
    <x v="253"/>
    <d v="2025-10-01T00:00:00"/>
    <m/>
    <s v=""/>
    <m/>
    <x v="0"/>
    <d v="2025-10-01T00:00:00"/>
    <n v="93"/>
    <x v="2"/>
    <n v="354600"/>
    <n v="-99400"/>
  </r>
  <r>
    <s v="KMX20251011-074"/>
    <x v="239"/>
    <d v="2025-10-11T00:00:00"/>
    <m/>
    <s v=""/>
    <m/>
    <x v="0"/>
    <d v="2025-10-11T00:00:00"/>
    <n v="83"/>
    <x v="3"/>
    <n v="96000"/>
    <n v="0"/>
  </r>
  <r>
    <s v="KMX20251018-076"/>
    <x v="245"/>
    <d v="2025-10-18T00:00:00"/>
    <m/>
    <s v=""/>
    <m/>
    <x v="0"/>
    <d v="2025-10-18T00:00:00"/>
    <n v="76"/>
    <x v="3"/>
    <n v="1234000"/>
    <n v="-135000"/>
  </r>
  <r>
    <s v="KMX20251024-077"/>
    <x v="177"/>
    <d v="2025-10-24T00:00:00"/>
    <m/>
    <s v=""/>
    <m/>
    <x v="0"/>
    <d v="2025-10-24T00:00:00"/>
    <n v="70"/>
    <x v="3"/>
    <n v="120000"/>
    <n v="133340"/>
  </r>
  <r>
    <s v="KMX2025118-078"/>
    <x v="214"/>
    <d v="2025-11-08T00:00:00"/>
    <m/>
    <s v=""/>
    <m/>
    <x v="0"/>
    <d v="2025-11-08T00:00:00"/>
    <n v="55"/>
    <x v="4"/>
    <n v="200000"/>
    <n v="0"/>
  </r>
  <r>
    <s v="KMX20251113 -  -"/>
    <x v="219"/>
    <d v="2025-11-13T00:00:00"/>
    <m/>
    <s v=""/>
    <m/>
    <x v="0"/>
    <d v="2025-11-13T00:00:00"/>
    <n v="50"/>
    <x v="4"/>
    <n v="28000"/>
    <n v="0"/>
  </r>
  <r>
    <s v="KMX20251119-079"/>
    <x v="254"/>
    <d v="2025-11-19T00:00:00"/>
    <m/>
    <s v=""/>
    <m/>
    <x v="0"/>
    <d v="2025-11-19T00:00:00"/>
    <n v="44"/>
    <x v="4"/>
    <n v="228900"/>
    <n v="0"/>
  </r>
  <r>
    <s v="KMX2025121-080"/>
    <x v="182"/>
    <d v="2025-12-01T00:00:00"/>
    <m/>
    <s v=""/>
    <m/>
    <x v="0"/>
    <d v="2025-12-01T00:00:00"/>
    <n v="32"/>
    <x v="4"/>
    <n v="3808371.22"/>
    <n v="0"/>
  </r>
  <r>
    <s v="KMX2025125 -081"/>
    <x v="255"/>
    <d v="2025-12-05T00:00:00"/>
    <m/>
    <s v=""/>
    <m/>
    <x v="0"/>
    <d v="2025-12-05T00:00:00"/>
    <n v="28"/>
    <x v="5"/>
    <n v="60000"/>
    <n v="0"/>
  </r>
  <r>
    <s v="KMX20251210 - 082"/>
    <x v="229"/>
    <d v="2025-12-10T00:00:00"/>
    <m/>
    <s v=""/>
    <m/>
    <x v="0"/>
    <d v="2025-12-10T00:00:00"/>
    <n v="23"/>
    <x v="5"/>
    <n v="460000"/>
    <n v="0"/>
  </r>
  <r>
    <s v="KMX20251217 -083"/>
    <x v="229"/>
    <d v="2025-12-17T00:00:00"/>
    <m/>
    <s v=""/>
    <m/>
    <x v="0"/>
    <d v="2025-12-17T00:00:00"/>
    <n v="16"/>
    <x v="5"/>
    <n v="346000"/>
    <m/>
  </r>
  <r>
    <s v="KMX20251222 - 085"/>
    <x v="250"/>
    <d v="2025-12-22T00:00:00"/>
    <d v="2025-12-30T00:00:00"/>
    <n v="8"/>
    <m/>
    <x v="0"/>
    <d v="2025-12-30T00:00:00"/>
    <n v="3"/>
    <x v="5"/>
    <n v="45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2CB47-182C-464B-A538-58C3A5AFDB1D}" name="PivotTable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账龄分析">
  <location ref="A3:C21" firstHeaderRow="0" firstDataRow="1" firstDataCol="1"/>
  <pivotFields count="12">
    <pivotField showAll="0"/>
    <pivotField axis="axisRow" dataField="1" showAll="0">
      <items count="257">
        <item x="106"/>
        <item x="174"/>
        <item x="243"/>
        <item x="223"/>
        <item x="148"/>
        <item x="191"/>
        <item x="230"/>
        <item x="244"/>
        <item x="172"/>
        <item x="190"/>
        <item x="68"/>
        <item x="45"/>
        <item x="217"/>
        <item x="38"/>
        <item x="14"/>
        <item x="36"/>
        <item x="62"/>
        <item x="31"/>
        <item x="105"/>
        <item x="219"/>
        <item x="122"/>
        <item x="109"/>
        <item x="76"/>
        <item x="202"/>
        <item x="222"/>
        <item x="251"/>
        <item x="248"/>
        <item x="139"/>
        <item x="242"/>
        <item x="168"/>
        <item x="176"/>
        <item x="50"/>
        <item x="125"/>
        <item x="142"/>
        <item x="80"/>
        <item x="111"/>
        <item x="119"/>
        <item x="169"/>
        <item x="81"/>
        <item x="59"/>
        <item x="5"/>
        <item x="25"/>
        <item x="212"/>
        <item x="100"/>
        <item x="121"/>
        <item x="4"/>
        <item x="224"/>
        <item x="85"/>
        <item x="117"/>
        <item x="143"/>
        <item x="208"/>
        <item x="1"/>
        <item x="118"/>
        <item x="209"/>
        <item x="249"/>
        <item x="180"/>
        <item x="104"/>
        <item x="95"/>
        <item x="20"/>
        <item x="24"/>
        <item x="49"/>
        <item x="94"/>
        <item x="187"/>
        <item x="67"/>
        <item x="196"/>
        <item x="216"/>
        <item x="16"/>
        <item x="252"/>
        <item x="11"/>
        <item x="211"/>
        <item x="34"/>
        <item x="9"/>
        <item x="181"/>
        <item x="161"/>
        <item x="179"/>
        <item x="22"/>
        <item x="206"/>
        <item x="157"/>
        <item x="30"/>
        <item x="128"/>
        <item x="141"/>
        <item x="77"/>
        <item x="214"/>
        <item x="54"/>
        <item x="203"/>
        <item x="255"/>
        <item x="97"/>
        <item x="2"/>
        <item x="213"/>
        <item x="199"/>
        <item x="96"/>
        <item x="6"/>
        <item x="188"/>
        <item x="215"/>
        <item x="193"/>
        <item x="35"/>
        <item x="156"/>
        <item x="235"/>
        <item x="218"/>
        <item x="254"/>
        <item x="155"/>
        <item x="197"/>
        <item x="175"/>
        <item x="207"/>
        <item x="17"/>
        <item x="64"/>
        <item x="194"/>
        <item x="32"/>
        <item x="83"/>
        <item x="126"/>
        <item x="189"/>
        <item x="40"/>
        <item x="158"/>
        <item x="73"/>
        <item x="58"/>
        <item x="61"/>
        <item x="237"/>
        <item x="241"/>
        <item x="185"/>
        <item x="198"/>
        <item x="167"/>
        <item x="182"/>
        <item x="0"/>
        <item x="245"/>
        <item x="144"/>
        <item x="233"/>
        <item x="205"/>
        <item x="53"/>
        <item x="41"/>
        <item x="7"/>
        <item x="57"/>
        <item x="15"/>
        <item x="116"/>
        <item x="228"/>
        <item x="51"/>
        <item x="146"/>
        <item x="177"/>
        <item x="170"/>
        <item x="247"/>
        <item x="55"/>
        <item x="12"/>
        <item x="246"/>
        <item x="8"/>
        <item x="195"/>
        <item x="192"/>
        <item x="250"/>
        <item x="42"/>
        <item x="52"/>
        <item x="108"/>
        <item x="71"/>
        <item x="240"/>
        <item x="234"/>
        <item x="10"/>
        <item x="123"/>
        <item x="21"/>
        <item x="134"/>
        <item x="136"/>
        <item x="63"/>
        <item x="43"/>
        <item x="153"/>
        <item x="132"/>
        <item x="151"/>
        <item x="124"/>
        <item x="112"/>
        <item x="152"/>
        <item x="239"/>
        <item x="231"/>
        <item x="18"/>
        <item x="101"/>
        <item x="201"/>
        <item x="3"/>
        <item x="149"/>
        <item x="27"/>
        <item x="74"/>
        <item x="98"/>
        <item x="56"/>
        <item x="65"/>
        <item x="183"/>
        <item x="66"/>
        <item x="114"/>
        <item x="137"/>
        <item x="107"/>
        <item x="165"/>
        <item x="173"/>
        <item x="227"/>
        <item x="200"/>
        <item x="130"/>
        <item x="115"/>
        <item x="69"/>
        <item x="88"/>
        <item x="154"/>
        <item x="120"/>
        <item x="23"/>
        <item x="147"/>
        <item x="13"/>
        <item x="47"/>
        <item x="46"/>
        <item x="225"/>
        <item x="220"/>
        <item x="127"/>
        <item x="163"/>
        <item x="26"/>
        <item x="102"/>
        <item x="145"/>
        <item x="87"/>
        <item x="28"/>
        <item x="236"/>
        <item x="238"/>
        <item x="113"/>
        <item x="78"/>
        <item x="171"/>
        <item x="204"/>
        <item x="79"/>
        <item x="44"/>
        <item x="90"/>
        <item x="129"/>
        <item x="82"/>
        <item x="86"/>
        <item x="162"/>
        <item x="184"/>
        <item x="159"/>
        <item x="89"/>
        <item x="93"/>
        <item x="110"/>
        <item x="210"/>
        <item x="72"/>
        <item x="39"/>
        <item x="138"/>
        <item x="37"/>
        <item x="226"/>
        <item x="84"/>
        <item x="48"/>
        <item x="160"/>
        <item x="135"/>
        <item x="103"/>
        <item x="99"/>
        <item x="19"/>
        <item x="166"/>
        <item x="91"/>
        <item x="131"/>
        <item x="33"/>
        <item x="29"/>
        <item x="60"/>
        <item x="253"/>
        <item x="186"/>
        <item x="164"/>
        <item x="92"/>
        <item x="221"/>
        <item x="150"/>
        <item x="75"/>
        <item x="70"/>
        <item x="229"/>
        <item x="133"/>
        <item x="232"/>
        <item x="178"/>
        <item x="140"/>
        <item t="default"/>
      </items>
    </pivotField>
    <pivotField numFmtId="164" showAll="0"/>
    <pivotField showAll="0"/>
    <pivotField showAll="0"/>
    <pivotField showAll="0"/>
    <pivotField showAll="0">
      <items count="175">
        <item x="163"/>
        <item x="79"/>
        <item x="62"/>
        <item x="6"/>
        <item x="86"/>
        <item x="145"/>
        <item x="158"/>
        <item x="150"/>
        <item x="115"/>
        <item x="52"/>
        <item x="169"/>
        <item x="135"/>
        <item x="63"/>
        <item x="112"/>
        <item x="35"/>
        <item x="3"/>
        <item x="57"/>
        <item x="153"/>
        <item x="55"/>
        <item x="1"/>
        <item x="38"/>
        <item x="67"/>
        <item x="25"/>
        <item x="39"/>
        <item x="32"/>
        <item x="34"/>
        <item x="21"/>
        <item x="53"/>
        <item x="2"/>
        <item x="46"/>
        <item x="44"/>
        <item x="90"/>
        <item x="48"/>
        <item x="19"/>
        <item x="26"/>
        <item x="70"/>
        <item x="121"/>
        <item x="66"/>
        <item x="37"/>
        <item x="172"/>
        <item x="82"/>
        <item x="20"/>
        <item x="15"/>
        <item x="64"/>
        <item x="16"/>
        <item x="56"/>
        <item x="14"/>
        <item x="50"/>
        <item x="5"/>
        <item x="109"/>
        <item x="47"/>
        <item x="73"/>
        <item x="69"/>
        <item x="61"/>
        <item x="149"/>
        <item x="11"/>
        <item x="27"/>
        <item x="12"/>
        <item x="17"/>
        <item x="171"/>
        <item x="114"/>
        <item x="146"/>
        <item x="71"/>
        <item x="42"/>
        <item x="49"/>
        <item x="31"/>
        <item x="144"/>
        <item x="96"/>
        <item x="83"/>
        <item x="133"/>
        <item x="77"/>
        <item x="128"/>
        <item x="91"/>
        <item x="170"/>
        <item x="168"/>
        <item x="54"/>
        <item x="147"/>
        <item x="22"/>
        <item x="105"/>
        <item x="167"/>
        <item x="161"/>
        <item x="45"/>
        <item x="74"/>
        <item x="28"/>
        <item x="9"/>
        <item x="101"/>
        <item x="125"/>
        <item x="129"/>
        <item x="13"/>
        <item x="7"/>
        <item x="162"/>
        <item x="8"/>
        <item x="143"/>
        <item x="134"/>
        <item x="98"/>
        <item x="116"/>
        <item x="65"/>
        <item x="89"/>
        <item x="29"/>
        <item x="119"/>
        <item x="100"/>
        <item x="33"/>
        <item x="88"/>
        <item x="68"/>
        <item x="84"/>
        <item x="4"/>
        <item x="87"/>
        <item x="164"/>
        <item x="95"/>
        <item x="18"/>
        <item x="60"/>
        <item x="173"/>
        <item x="107"/>
        <item x="10"/>
        <item x="157"/>
        <item x="124"/>
        <item x="137"/>
        <item x="141"/>
        <item x="166"/>
        <item x="117"/>
        <item x="148"/>
        <item x="30"/>
        <item x="152"/>
        <item x="151"/>
        <item x="139"/>
        <item x="123"/>
        <item x="23"/>
        <item x="155"/>
        <item x="122"/>
        <item x="76"/>
        <item x="159"/>
        <item x="58"/>
        <item x="72"/>
        <item x="102"/>
        <item x="51"/>
        <item x="165"/>
        <item x="24"/>
        <item x="80"/>
        <item x="110"/>
        <item x="120"/>
        <item x="40"/>
        <item x="142"/>
        <item x="92"/>
        <item x="160"/>
        <item x="136"/>
        <item x="118"/>
        <item x="156"/>
        <item x="131"/>
        <item x="81"/>
        <item x="108"/>
        <item x="113"/>
        <item x="93"/>
        <item x="130"/>
        <item x="111"/>
        <item x="94"/>
        <item x="41"/>
        <item x="106"/>
        <item x="97"/>
        <item x="154"/>
        <item x="132"/>
        <item x="140"/>
        <item x="85"/>
        <item x="99"/>
        <item x="126"/>
        <item x="103"/>
        <item x="78"/>
        <item x="75"/>
        <item x="138"/>
        <item x="59"/>
        <item x="127"/>
        <item x="104"/>
        <item x="36"/>
        <item x="43"/>
        <item x="0"/>
        <item t="default"/>
      </items>
    </pivotField>
    <pivotField numFmtId="164" showAll="0"/>
    <pivotField numFmtId="1" showAll="0"/>
    <pivotField axis="axisRow" showAll="0">
      <items count="7">
        <item x="5"/>
        <item sd="0" x="1"/>
        <item x="4"/>
        <item sd="0" x="0"/>
        <item x="3"/>
        <item sd="0" x="2"/>
        <item t="default"/>
      </items>
    </pivotField>
    <pivotField dataField="1" numFmtId="4" showAll="0"/>
    <pivotField showAll="0"/>
  </pivotFields>
  <rowFields count="2">
    <field x="9"/>
    <field x="1"/>
  </rowFields>
  <rowItems count="18">
    <i>
      <x/>
    </i>
    <i r="1">
      <x v="85"/>
    </i>
    <i r="1">
      <x v="145"/>
    </i>
    <i r="1">
      <x v="251"/>
    </i>
    <i>
      <x v="1"/>
    </i>
    <i>
      <x v="2"/>
    </i>
    <i r="1">
      <x v="19"/>
    </i>
    <i r="1">
      <x v="82"/>
    </i>
    <i r="1">
      <x v="99"/>
    </i>
    <i r="1">
      <x v="121"/>
    </i>
    <i>
      <x v="3"/>
    </i>
    <i>
      <x v="4"/>
    </i>
    <i r="1">
      <x v="2"/>
    </i>
    <i r="1">
      <x v="123"/>
    </i>
    <i r="1">
      <x v="136"/>
    </i>
    <i r="1">
      <x v="165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未回款" fld="10" baseField="0" baseItem="0" numFmtId="4"/>
    <dataField name="Count of 客户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14651-325D-8D47-9D1C-95364B35C7C5}" name="Table2" displayName="Table2" ref="A1:L418" totalsRowShown="0" headerRowDxfId="47" headerRowBorderDxfId="46" tableBorderDxfId="45">
  <autoFilter ref="A1:L418" xr:uid="{72114651-325D-8D47-9D1C-95364B35C7C5}"/>
  <tableColumns count="12">
    <tableColumn id="1" xr3:uid="{F42FF61D-4D93-EA47-A9C3-EB21802DC8D2}" name="客户"/>
    <tableColumn id="2" xr3:uid="{DCC3561A-5763-6640-9EFB-804F294080CE}" name="应收余额" dataDxfId="44"/>
    <tableColumn id="3" xr3:uid="{3322704E-63F6-BE4E-AA30-B427317E1058}" name="0-30" dataDxfId="43"/>
    <tableColumn id="4" xr3:uid="{865FAED4-04BE-3744-A4C0-09290201BEC7}" name="31-60" dataDxfId="42"/>
    <tableColumn id="5" xr3:uid="{517532E8-C14C-DA40-A4AD-2BD33815638B}" name="61-90" dataDxfId="41"/>
    <tableColumn id="6" xr3:uid="{2163D56B-28DE-E849-82C7-BACEFC347D4F}" name="91-180" dataDxfId="40"/>
    <tableColumn id="7" xr3:uid="{9691E511-0B34-AF40-B23F-5965F16029A7}" name="181-365" dataDxfId="39"/>
    <tableColumn id="8" xr3:uid="{9D4ABCA8-6CE5-FB4A-A3E3-8F366D72F65C}" name="365+" dataDxfId="38"/>
    <tableColumn id="9" xr3:uid="{BFD08BA1-9002-2343-9BF8-4FAB5A1F285A}" name="发票数" dataDxfId="37"/>
    <tableColumn id="10" xr3:uid="{7C076AFD-FE2B-BD49-A8F2-3E2D72F3CD40}" name="有开工日期发票数" dataDxfId="36"/>
    <tableColumn id="12" xr3:uid="{35D07159-E56C-5F40-B7AA-F3D5847D4284}" name="开工后开票_自然日_平均" dataDxfId="35"/>
    <tableColumn id="15" xr3:uid="{AFDF3B5E-7053-3642-BE61-46730B889E86}" name="开票后回款_自然日_平均" dataDxfId="3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3D8636-C687-1E4B-AFB9-11BDDA7552CB}" name="Table3" displayName="Table3" ref="A1:N1232" totalsRowShown="0" headerRowDxfId="33" dataDxfId="31" headerRowBorderDxfId="32" tableBorderDxfId="30">
  <autoFilter ref="A1:N1232" xr:uid="{C63D8636-C687-1E4B-AFB9-11BDDA7552CB}"/>
  <tableColumns count="14">
    <tableColumn id="1" xr3:uid="{7EEE46F0-F5CA-1F4A-B95F-47EB833E7561}" name="客户" dataDxfId="29"/>
    <tableColumn id="2" xr3:uid="{3A010BB0-2EF3-9C4D-84A8-3A8A19E45FD7}" name="销售合同号" dataDxfId="28"/>
    <tableColumn id="3" xr3:uid="{EAE6F787-DEAA-F94A-9844-635A4F840DA5}" name="公司" dataDxfId="27"/>
    <tableColumn id="4" xr3:uid="{4C346DA9-F9B2-8D47-AF0A-82284CA6B6B0}" name="开工日期" dataDxfId="26"/>
    <tableColumn id="5" xr3:uid="{814C32F3-6E3A-3146-B19D-651092658195}" name="完工日期" dataDxfId="25"/>
    <tableColumn id="6" xr3:uid="{14C314EC-8980-8241-AAC9-D089868C9361}" name="开票日期" dataDxfId="24"/>
    <tableColumn id="7" xr3:uid="{A83CF761-0A82-EA4A-B3B9-CF0D5029C7E1}" name="含税合计" dataDxfId="23"/>
    <tableColumn id="8" xr3:uid="{ED07C0EE-4937-3644-9EC0-C8F488EB3F47}" name="金额" dataDxfId="22"/>
    <tableColumn id="9" xr3:uid="{EEBF9B9B-3CE6-5C41-B24E-19CD25A6A647}" name="税额" dataDxfId="21"/>
    <tableColumn id="10" xr3:uid="{F41E8CF4-8C79-0041-96E2-42653440483B}" name="首次回款日期" dataDxfId="20"/>
    <tableColumn id="11" xr3:uid="{CF69A9C0-968B-9647-BE70-84F87DEC85AA}" name="工期" dataDxfId="19">
      <calculatedColumnFormula>IF(OR($D2="", $F2=""),"", $E2-$D2)</calculatedColumnFormula>
    </tableColumn>
    <tableColumn id="12" xr3:uid="{99B2A66C-2D5D-574C-8D48-4A76124841DC}" name="完工后开票_自然日" dataDxfId="18">
      <calculatedColumnFormula>IF(OR($D2="", $F2=""),"", $F2-$E2)</calculatedColumnFormula>
    </tableColumn>
    <tableColumn id="13" xr3:uid="{84914EF8-4543-0141-BFFC-0CD68E35531F}" name="开票后回款_自然日" dataDxfId="17">
      <calculatedColumnFormula>IF(OR($F2="", $J2=""),"", $J2-$F2)</calculatedColumnFormula>
    </tableColumn>
    <tableColumn id="14" xr3:uid="{E5BF0DF4-4AA0-334A-B753-0EE1D8F3BC87}" name="异常标记" dataDxfId="1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2D0A5-A8C4-1D4A-A42E-17EEB9CC4BB2}" name="Table1" displayName="Table1" ref="A1:L473" totalsRowShown="0" headerRowDxfId="15" dataDxfId="13" headerRowBorderDxfId="14" tableBorderDxfId="12">
  <autoFilter ref="A1:L473" xr:uid="{82E2D0A5-A8C4-1D4A-A42E-17EEB9CC4BB2}"/>
  <tableColumns count="12">
    <tableColumn id="1" xr3:uid="{E16463EB-F2E1-5F40-B111-6F1527A8C543}" name="合同号" dataDxfId="11"/>
    <tableColumn id="2" xr3:uid="{A39BC244-38D0-DB40-AC60-9B4409495126}" name="客户" dataDxfId="10"/>
    <tableColumn id="3" xr3:uid="{BF337CC6-1E4E-6144-A3C3-265D0BDF5BC6}" name="合同日期" dataDxfId="9"/>
    <tableColumn id="4" xr3:uid="{6B1044ED-2CEB-B74C-B7DE-072CFCB8581A}" name="完工日期" dataDxfId="8"/>
    <tableColumn id="5" xr3:uid="{E16C8E34-B7CC-4D4C-820B-7D701A22497C}" name="工期" dataDxfId="7">
      <calculatedColumnFormula>IF(OR($C2="", $D2=""),"", $D2-$C2)</calculatedColumnFormula>
    </tableColumn>
    <tableColumn id="6" xr3:uid="{314529DB-CAC9-4D42-B79D-43D0C882E95D}" name="开票日期" dataDxfId="6"/>
    <tableColumn id="7" xr3:uid="{E0EB492A-AC2B-BB4B-9F72-02D33DC4A0A8}" name="完工后开票" dataDxfId="5">
      <calculatedColumnFormula>IF(OR($C2="", $D2="",$F2=""),"", $F2-$D2)</calculatedColumnFormula>
    </tableColumn>
    <tableColumn id="8" xr3:uid="{2F9F6118-F0F2-FF4A-82B9-B07E7F78B5AB}" name="账龄基准日" dataDxfId="4"/>
    <tableColumn id="9" xr3:uid="{669E1BF4-571E-5D4F-B261-BFA6452D6ACB}" name="账龄天数" dataDxfId="3">
      <calculatedColumnFormula>IF($H2="", "", 参数!$B$3-$H2)</calculatedColumnFormula>
    </tableColumn>
    <tableColumn id="10" xr3:uid="{0BEE8D81-04BC-AB46-9C51-044624A81FA8}" name="账龄桶" dataDxfId="2"/>
    <tableColumn id="11" xr3:uid="{38DDFA9C-8217-CA4F-96F5-F7112210BBDE}" name="未回款" dataDxfId="1"/>
    <tableColumn id="12" xr3:uid="{7946C3A8-48EF-AA45-9750-FBD0D259E6D9}" name="未开票金额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48" customWidth="1"/>
    <col min="2" max="2" width="18" customWidth="1"/>
  </cols>
  <sheetData>
    <row r="1" spans="1:2" ht="19" x14ac:dyDescent="0.25">
      <c r="A1" s="1" t="s">
        <v>0</v>
      </c>
    </row>
    <row r="3" spans="1:2" x14ac:dyDescent="0.2">
      <c r="A3" t="s">
        <v>1</v>
      </c>
      <c r="B3" s="2">
        <v>46024</v>
      </c>
    </row>
    <row r="8" spans="1:2" x14ac:dyDescent="0.2">
      <c r="A8" t="s">
        <v>2</v>
      </c>
    </row>
    <row r="9" spans="1:2" ht="32" x14ac:dyDescent="0.2">
      <c r="A9" s="3" t="s">
        <v>3</v>
      </c>
    </row>
    <row r="10" spans="1:2" ht="64" x14ac:dyDescent="0.2">
      <c r="A10" s="3" t="s">
        <v>4</v>
      </c>
    </row>
    <row r="11" spans="1:2" ht="64" x14ac:dyDescent="0.2">
      <c r="A11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717C-F3BC-904B-A606-CFF3E1EDEFC3}">
  <dimension ref="A3:C21"/>
  <sheetViews>
    <sheetView tabSelected="1" zoomScale="166" workbookViewId="0">
      <selection activeCell="A20" sqref="A20"/>
    </sheetView>
  </sheetViews>
  <sheetFormatPr baseColWidth="10" defaultRowHeight="15" x14ac:dyDescent="0.2"/>
  <cols>
    <col min="1" max="1" width="33.5" bestFit="1" customWidth="1"/>
    <col min="2" max="2" width="12.6640625" bestFit="1" customWidth="1"/>
    <col min="3" max="3" width="11.6640625" bestFit="1" customWidth="1"/>
  </cols>
  <sheetData>
    <row r="3" spans="1:3" x14ac:dyDescent="0.2">
      <c r="A3" s="11" t="s">
        <v>1302</v>
      </c>
      <c r="B3" t="s">
        <v>1303</v>
      </c>
      <c r="C3" t="s">
        <v>1304</v>
      </c>
    </row>
    <row r="4" spans="1:3" x14ac:dyDescent="0.2">
      <c r="A4" s="12" t="s">
        <v>1289</v>
      </c>
      <c r="B4" s="4">
        <v>911000</v>
      </c>
      <c r="C4" s="14">
        <v>4</v>
      </c>
    </row>
    <row r="5" spans="1:3" x14ac:dyDescent="0.2">
      <c r="A5" s="13" t="s">
        <v>345</v>
      </c>
      <c r="B5" s="4">
        <v>60000</v>
      </c>
      <c r="C5" s="14">
        <v>1</v>
      </c>
    </row>
    <row r="6" spans="1:3" x14ac:dyDescent="0.2">
      <c r="A6" s="13" t="s">
        <v>905</v>
      </c>
      <c r="B6" s="4">
        <v>45000</v>
      </c>
      <c r="C6" s="14">
        <v>1</v>
      </c>
    </row>
    <row r="7" spans="1:3" x14ac:dyDescent="0.2">
      <c r="A7" s="13" t="s">
        <v>409</v>
      </c>
      <c r="B7" s="4">
        <v>806000</v>
      </c>
      <c r="C7" s="14">
        <v>2</v>
      </c>
    </row>
    <row r="8" spans="1:3" x14ac:dyDescent="0.2">
      <c r="A8" s="12" t="s">
        <v>1241</v>
      </c>
      <c r="B8" s="4">
        <v>8660299.7644999996</v>
      </c>
      <c r="C8" s="14">
        <v>34</v>
      </c>
    </row>
    <row r="9" spans="1:3" x14ac:dyDescent="0.2">
      <c r="A9" s="12" t="s">
        <v>1284</v>
      </c>
      <c r="B9" s="4">
        <v>4265271.2200000007</v>
      </c>
      <c r="C9" s="14">
        <v>4</v>
      </c>
    </row>
    <row r="10" spans="1:3" x14ac:dyDescent="0.2">
      <c r="A10" s="13" t="s">
        <v>334</v>
      </c>
      <c r="B10" s="4">
        <v>28000</v>
      </c>
      <c r="C10" s="14">
        <v>1</v>
      </c>
    </row>
    <row r="11" spans="1:3" x14ac:dyDescent="0.2">
      <c r="A11" s="13" t="s">
        <v>637</v>
      </c>
      <c r="B11" s="4">
        <v>200000</v>
      </c>
      <c r="C11" s="14">
        <v>1</v>
      </c>
    </row>
    <row r="12" spans="1:3" x14ac:dyDescent="0.2">
      <c r="A12" s="13" t="s">
        <v>783</v>
      </c>
      <c r="B12" s="4">
        <v>228900</v>
      </c>
      <c r="C12" s="14">
        <v>1</v>
      </c>
    </row>
    <row r="13" spans="1:3" x14ac:dyDescent="0.2">
      <c r="A13" s="13" t="s">
        <v>442</v>
      </c>
      <c r="B13" s="4">
        <v>3808371.22</v>
      </c>
      <c r="C13" s="14">
        <v>1</v>
      </c>
    </row>
    <row r="14" spans="1:3" x14ac:dyDescent="0.2">
      <c r="A14" s="12" t="s">
        <v>917</v>
      </c>
      <c r="B14" s="4">
        <v>18158405.167846378</v>
      </c>
      <c r="C14" s="14">
        <v>400</v>
      </c>
    </row>
    <row r="15" spans="1:3" x14ac:dyDescent="0.2">
      <c r="A15" s="12" t="s">
        <v>1266</v>
      </c>
      <c r="B15" s="4">
        <v>1462000</v>
      </c>
      <c r="C15" s="14">
        <v>5</v>
      </c>
    </row>
    <row r="16" spans="1:3" x14ac:dyDescent="0.2">
      <c r="A16" s="13" t="s">
        <v>880</v>
      </c>
      <c r="B16" s="4">
        <v>12000</v>
      </c>
      <c r="C16" s="14">
        <v>2</v>
      </c>
    </row>
    <row r="17" spans="1:3" x14ac:dyDescent="0.2">
      <c r="A17" s="13" t="s">
        <v>54</v>
      </c>
      <c r="B17" s="4">
        <v>1234000</v>
      </c>
      <c r="C17" s="14">
        <v>1</v>
      </c>
    </row>
    <row r="18" spans="1:3" x14ac:dyDescent="0.2">
      <c r="A18" s="13" t="s">
        <v>109</v>
      </c>
      <c r="B18" s="4">
        <v>120000</v>
      </c>
      <c r="C18" s="14">
        <v>1</v>
      </c>
    </row>
    <row r="19" spans="1:3" x14ac:dyDescent="0.2">
      <c r="A19" s="13" t="s">
        <v>240</v>
      </c>
      <c r="B19" s="4">
        <v>96000</v>
      </c>
      <c r="C19" s="14">
        <v>1</v>
      </c>
    </row>
    <row r="20" spans="1:3" x14ac:dyDescent="0.2">
      <c r="A20" s="12" t="s">
        <v>1258</v>
      </c>
      <c r="B20" s="4">
        <v>6326608.9299999997</v>
      </c>
      <c r="C20" s="14">
        <v>25</v>
      </c>
    </row>
    <row r="21" spans="1:3" x14ac:dyDescent="0.2">
      <c r="A21" s="12" t="s">
        <v>1301</v>
      </c>
      <c r="B21" s="4">
        <v>39783585.08234638</v>
      </c>
      <c r="C21" s="14">
        <v>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18"/>
  <sheetViews>
    <sheetView workbookViewId="0">
      <selection activeCell="K4" sqref="K4"/>
    </sheetView>
  </sheetViews>
  <sheetFormatPr baseColWidth="10" defaultColWidth="8.83203125" defaultRowHeight="15" x14ac:dyDescent="0.2"/>
  <cols>
    <col min="1" max="1" width="26" customWidth="1"/>
    <col min="2" max="2" width="14" customWidth="1"/>
    <col min="3" max="8" width="12" customWidth="1"/>
    <col min="9" max="9" width="10" customWidth="1"/>
    <col min="10" max="10" width="18.1640625" customWidth="1"/>
    <col min="11" max="12" width="23.5" customWidth="1"/>
  </cols>
  <sheetData>
    <row r="1" spans="1:12" ht="16" x14ac:dyDescent="0.2">
      <c r="A1" s="10" t="s">
        <v>6</v>
      </c>
      <c r="B1" s="10" t="s">
        <v>1293</v>
      </c>
      <c r="C1" s="10" t="s">
        <v>1289</v>
      </c>
      <c r="D1" s="10" t="s">
        <v>1284</v>
      </c>
      <c r="E1" s="10" t="s">
        <v>1266</v>
      </c>
      <c r="F1" s="10" t="s">
        <v>1258</v>
      </c>
      <c r="G1" s="10" t="s">
        <v>1241</v>
      </c>
      <c r="H1" s="10" t="s">
        <v>917</v>
      </c>
      <c r="I1" s="10" t="s">
        <v>1294</v>
      </c>
      <c r="J1" s="10" t="s">
        <v>1295</v>
      </c>
      <c r="K1" s="10" t="s">
        <v>1296</v>
      </c>
      <c r="L1" s="10" t="s">
        <v>1297</v>
      </c>
    </row>
    <row r="2" spans="1:12" x14ac:dyDescent="0.2">
      <c r="A2" t="s">
        <v>442</v>
      </c>
      <c r="B2" s="4">
        <v>5036771.2200000007</v>
      </c>
      <c r="C2" s="4"/>
      <c r="D2" s="4">
        <v>3808371.22</v>
      </c>
      <c r="E2" s="4"/>
      <c r="F2" s="4">
        <v>1180000</v>
      </c>
      <c r="G2" s="4"/>
      <c r="H2" s="4">
        <v>48400</v>
      </c>
      <c r="I2" s="5">
        <v>18</v>
      </c>
      <c r="J2" s="5"/>
      <c r="K2" s="5"/>
      <c r="L2" s="5">
        <v>95.888888888888886</v>
      </c>
    </row>
    <row r="3" spans="1:12" x14ac:dyDescent="0.2">
      <c r="A3" t="s">
        <v>425</v>
      </c>
      <c r="B3" s="4">
        <v>4667646.74</v>
      </c>
      <c r="C3" s="4"/>
      <c r="D3" s="4"/>
      <c r="E3" s="4"/>
      <c r="F3" s="4">
        <v>739594.4</v>
      </c>
      <c r="G3" s="4">
        <v>2735061.5</v>
      </c>
      <c r="H3" s="4">
        <v>1192990.8400000001</v>
      </c>
      <c r="I3" s="5">
        <v>109</v>
      </c>
      <c r="J3" s="5"/>
      <c r="K3" s="5"/>
      <c r="L3" s="5">
        <v>39.889908256880737</v>
      </c>
    </row>
    <row r="4" spans="1:12" x14ac:dyDescent="0.2">
      <c r="A4" t="s">
        <v>417</v>
      </c>
      <c r="B4" s="4">
        <v>4223441</v>
      </c>
      <c r="C4" s="4"/>
      <c r="D4" s="4"/>
      <c r="E4" s="4"/>
      <c r="F4" s="4">
        <v>1263546</v>
      </c>
      <c r="G4" s="4">
        <v>673605</v>
      </c>
      <c r="H4" s="4">
        <v>2286290</v>
      </c>
      <c r="I4" s="5">
        <v>24</v>
      </c>
      <c r="J4" s="5">
        <v>1</v>
      </c>
      <c r="K4" s="5">
        <v>119</v>
      </c>
      <c r="L4" s="5">
        <v>248.8235294117647</v>
      </c>
    </row>
    <row r="5" spans="1:12" x14ac:dyDescent="0.2">
      <c r="A5" t="s">
        <v>54</v>
      </c>
      <c r="B5" s="4">
        <v>2934000</v>
      </c>
      <c r="C5" s="4"/>
      <c r="D5" s="4"/>
      <c r="E5" s="4">
        <v>1234000</v>
      </c>
      <c r="F5" s="4"/>
      <c r="G5" s="4">
        <v>1700000</v>
      </c>
      <c r="H5" s="4"/>
      <c r="I5" s="5">
        <v>10</v>
      </c>
      <c r="J5" s="5">
        <v>1</v>
      </c>
      <c r="K5" s="5">
        <v>299</v>
      </c>
      <c r="L5" s="5"/>
    </row>
    <row r="6" spans="1:12" x14ac:dyDescent="0.2">
      <c r="A6" t="s">
        <v>47</v>
      </c>
      <c r="B6" s="4">
        <v>1391271.72</v>
      </c>
      <c r="C6" s="4"/>
      <c r="D6" s="4"/>
      <c r="E6" s="4"/>
      <c r="F6" s="4"/>
      <c r="G6" s="4">
        <v>477506.16</v>
      </c>
      <c r="H6" s="4">
        <v>913765.56</v>
      </c>
      <c r="I6" s="5">
        <v>44</v>
      </c>
      <c r="J6" s="5">
        <v>7</v>
      </c>
      <c r="K6" s="5">
        <v>156.85714285714289</v>
      </c>
      <c r="L6" s="5">
        <v>78.454545454545453</v>
      </c>
    </row>
    <row r="7" spans="1:12" x14ac:dyDescent="0.2">
      <c r="A7" t="s">
        <v>1270</v>
      </c>
      <c r="B7" s="4">
        <v>1285166.1100000001</v>
      </c>
      <c r="C7" s="4"/>
      <c r="D7" s="4"/>
      <c r="E7" s="4"/>
      <c r="F7" s="4">
        <v>828400</v>
      </c>
      <c r="G7" s="4">
        <v>456766.11</v>
      </c>
      <c r="H7" s="4"/>
      <c r="I7" s="5"/>
      <c r="J7" s="5"/>
      <c r="K7" s="5"/>
      <c r="L7" s="5"/>
    </row>
    <row r="8" spans="1:12" x14ac:dyDescent="0.2">
      <c r="A8" t="s">
        <v>826</v>
      </c>
      <c r="B8" s="4">
        <v>1222456.8</v>
      </c>
      <c r="C8" s="4"/>
      <c r="D8" s="4"/>
      <c r="E8" s="4"/>
      <c r="F8" s="4">
        <v>524456.80000000005</v>
      </c>
      <c r="G8" s="4">
        <v>698000</v>
      </c>
      <c r="H8" s="4"/>
      <c r="I8" s="5">
        <v>2</v>
      </c>
      <c r="J8" s="5"/>
      <c r="K8" s="5"/>
      <c r="L8" s="5">
        <v>18</v>
      </c>
    </row>
    <row r="9" spans="1:12" x14ac:dyDescent="0.2">
      <c r="A9" t="s">
        <v>81</v>
      </c>
      <c r="B9" s="4">
        <v>1092150</v>
      </c>
      <c r="C9" s="4"/>
      <c r="D9" s="4"/>
      <c r="E9" s="4"/>
      <c r="F9" s="4"/>
      <c r="G9" s="4"/>
      <c r="H9" s="4">
        <v>1092150</v>
      </c>
      <c r="I9" s="5">
        <v>8</v>
      </c>
      <c r="J9" s="5"/>
      <c r="K9" s="5"/>
      <c r="L9" s="5">
        <v>485</v>
      </c>
    </row>
    <row r="10" spans="1:12" x14ac:dyDescent="0.2">
      <c r="A10" t="s">
        <v>409</v>
      </c>
      <c r="B10" s="4">
        <v>925792</v>
      </c>
      <c r="C10" s="4">
        <v>806000</v>
      </c>
      <c r="D10" s="4"/>
      <c r="E10" s="4"/>
      <c r="F10" s="4"/>
      <c r="G10" s="4"/>
      <c r="H10" s="4">
        <v>119792</v>
      </c>
      <c r="I10" s="5">
        <v>9</v>
      </c>
      <c r="J10" s="5">
        <v>4</v>
      </c>
      <c r="K10" s="5">
        <v>92.5</v>
      </c>
      <c r="L10" s="5">
        <v>60</v>
      </c>
    </row>
    <row r="11" spans="1:12" x14ac:dyDescent="0.2">
      <c r="A11" t="s">
        <v>353</v>
      </c>
      <c r="B11" s="4">
        <v>651283.19999999995</v>
      </c>
      <c r="C11" s="4"/>
      <c r="D11" s="4"/>
      <c r="E11" s="4"/>
      <c r="F11" s="4"/>
      <c r="G11" s="4"/>
      <c r="H11" s="4">
        <v>651283.19999999995</v>
      </c>
      <c r="I11" s="5">
        <v>1</v>
      </c>
      <c r="J11" s="5"/>
      <c r="K11" s="5"/>
      <c r="L11" s="5">
        <v>455</v>
      </c>
    </row>
    <row r="12" spans="1:12" x14ac:dyDescent="0.2">
      <c r="A12" t="s">
        <v>817</v>
      </c>
      <c r="B12" s="4">
        <v>617999.99450000003</v>
      </c>
      <c r="C12" s="4"/>
      <c r="D12" s="4"/>
      <c r="E12" s="4"/>
      <c r="F12" s="4"/>
      <c r="G12" s="4">
        <v>617999.99450000003</v>
      </c>
      <c r="H12" s="4"/>
      <c r="I12" s="5">
        <v>1</v>
      </c>
      <c r="J12" s="5"/>
      <c r="K12" s="5"/>
      <c r="L12" s="5"/>
    </row>
    <row r="13" spans="1:12" x14ac:dyDescent="0.2">
      <c r="A13" t="s">
        <v>1224</v>
      </c>
      <c r="B13" s="4">
        <v>580000</v>
      </c>
      <c r="C13" s="4"/>
      <c r="D13" s="4"/>
      <c r="E13" s="4"/>
      <c r="F13" s="4"/>
      <c r="G13" s="4"/>
      <c r="H13" s="4">
        <v>580000</v>
      </c>
      <c r="I13" s="5"/>
      <c r="J13" s="5"/>
      <c r="K13" s="5"/>
      <c r="L13" s="5"/>
    </row>
    <row r="14" spans="1:12" x14ac:dyDescent="0.2">
      <c r="A14" t="s">
        <v>1237</v>
      </c>
      <c r="B14" s="4">
        <v>532730</v>
      </c>
      <c r="C14" s="4"/>
      <c r="D14" s="4"/>
      <c r="E14" s="4"/>
      <c r="F14" s="4"/>
      <c r="G14" s="4"/>
      <c r="H14" s="4">
        <v>532730</v>
      </c>
      <c r="I14" s="5"/>
      <c r="J14" s="5"/>
      <c r="K14" s="5"/>
      <c r="L14" s="5"/>
    </row>
    <row r="15" spans="1:12" x14ac:dyDescent="0.2">
      <c r="A15" t="s">
        <v>637</v>
      </c>
      <c r="B15" s="4">
        <v>520000</v>
      </c>
      <c r="C15" s="4"/>
      <c r="D15" s="4">
        <v>200000</v>
      </c>
      <c r="E15" s="4"/>
      <c r="F15" s="4"/>
      <c r="G15" s="4"/>
      <c r="H15" s="4">
        <v>320000</v>
      </c>
      <c r="I15" s="5">
        <v>9</v>
      </c>
      <c r="J15" s="5"/>
      <c r="K15" s="5"/>
      <c r="L15" s="5">
        <v>216.2222222222222</v>
      </c>
    </row>
    <row r="16" spans="1:12" x14ac:dyDescent="0.2">
      <c r="A16" t="s">
        <v>1200</v>
      </c>
      <c r="B16" s="4">
        <v>475848.19</v>
      </c>
      <c r="C16" s="4"/>
      <c r="D16" s="4"/>
      <c r="E16" s="4"/>
      <c r="F16" s="4"/>
      <c r="G16" s="4"/>
      <c r="H16" s="4">
        <v>475848.19</v>
      </c>
      <c r="I16" s="5"/>
      <c r="J16" s="5"/>
      <c r="K16" s="5"/>
      <c r="L16" s="5"/>
    </row>
    <row r="17" spans="1:12" x14ac:dyDescent="0.2">
      <c r="A17" t="s">
        <v>303</v>
      </c>
      <c r="B17" s="4">
        <v>390784.45</v>
      </c>
      <c r="C17" s="4"/>
      <c r="D17" s="4"/>
      <c r="E17" s="4"/>
      <c r="F17" s="4"/>
      <c r="G17" s="4"/>
      <c r="H17" s="4">
        <v>390784.45</v>
      </c>
      <c r="I17" s="5">
        <v>4</v>
      </c>
      <c r="J17" s="5"/>
      <c r="K17" s="5"/>
      <c r="L17" s="5">
        <v>157.5</v>
      </c>
    </row>
    <row r="18" spans="1:12" x14ac:dyDescent="0.2">
      <c r="A18" t="s">
        <v>1243</v>
      </c>
      <c r="B18" s="4">
        <v>374223.11</v>
      </c>
      <c r="C18" s="4"/>
      <c r="D18" s="4"/>
      <c r="E18" s="4"/>
      <c r="F18" s="4"/>
      <c r="G18" s="4"/>
      <c r="H18" s="4">
        <v>374223.11</v>
      </c>
      <c r="I18" s="5"/>
      <c r="J18" s="5"/>
      <c r="K18" s="5"/>
      <c r="L18" s="5"/>
    </row>
    <row r="19" spans="1:12" x14ac:dyDescent="0.2">
      <c r="A19" t="s">
        <v>828</v>
      </c>
      <c r="B19" s="4">
        <v>354600</v>
      </c>
      <c r="C19" s="4"/>
      <c r="D19" s="4"/>
      <c r="E19" s="4"/>
      <c r="F19" s="4">
        <v>354600</v>
      </c>
      <c r="G19" s="4"/>
      <c r="H19" s="4"/>
      <c r="I19" s="5">
        <v>1</v>
      </c>
      <c r="J19" s="5"/>
      <c r="K19" s="5"/>
      <c r="L19" s="5">
        <v>18</v>
      </c>
    </row>
    <row r="20" spans="1:12" x14ac:dyDescent="0.2">
      <c r="A20" t="s">
        <v>109</v>
      </c>
      <c r="B20" s="4">
        <v>313725.2</v>
      </c>
      <c r="C20" s="4"/>
      <c r="D20" s="4"/>
      <c r="E20" s="4">
        <v>120000</v>
      </c>
      <c r="F20" s="4"/>
      <c r="G20" s="4"/>
      <c r="H20" s="4">
        <v>193725.2</v>
      </c>
      <c r="I20" s="5">
        <v>27</v>
      </c>
      <c r="J20" s="5">
        <v>4</v>
      </c>
      <c r="K20" s="5">
        <v>41</v>
      </c>
      <c r="L20" s="5">
        <v>127.037037037037</v>
      </c>
    </row>
    <row r="21" spans="1:12" x14ac:dyDescent="0.2">
      <c r="A21" t="s">
        <v>1272</v>
      </c>
      <c r="B21" s="4">
        <v>305200</v>
      </c>
      <c r="C21" s="4"/>
      <c r="D21" s="4"/>
      <c r="E21" s="4"/>
      <c r="F21" s="4">
        <v>305200</v>
      </c>
      <c r="G21" s="4"/>
      <c r="H21" s="4"/>
      <c r="I21" s="5"/>
      <c r="J21" s="5"/>
      <c r="K21" s="5"/>
      <c r="L21" s="5"/>
    </row>
    <row r="22" spans="1:12" x14ac:dyDescent="0.2">
      <c r="A22" t="s">
        <v>673</v>
      </c>
      <c r="B22" s="4">
        <v>300000</v>
      </c>
      <c r="C22" s="4"/>
      <c r="D22" s="4"/>
      <c r="E22" s="4"/>
      <c r="F22" s="4"/>
      <c r="G22" s="4"/>
      <c r="H22" s="4">
        <v>300000</v>
      </c>
      <c r="I22" s="5">
        <v>1</v>
      </c>
      <c r="J22" s="5"/>
      <c r="K22" s="5"/>
      <c r="L22" s="5"/>
    </row>
    <row r="23" spans="1:12" x14ac:dyDescent="0.2">
      <c r="A23" t="s">
        <v>1023</v>
      </c>
      <c r="B23" s="4">
        <v>297850</v>
      </c>
      <c r="C23" s="4"/>
      <c r="D23" s="4"/>
      <c r="E23" s="4"/>
      <c r="F23" s="4"/>
      <c r="G23" s="4"/>
      <c r="H23" s="4">
        <v>297850</v>
      </c>
      <c r="I23" s="5"/>
      <c r="J23" s="5"/>
      <c r="K23" s="5"/>
      <c r="L23" s="5"/>
    </row>
    <row r="24" spans="1:12" x14ac:dyDescent="0.2">
      <c r="A24" t="s">
        <v>1251</v>
      </c>
      <c r="B24" s="4">
        <v>293800</v>
      </c>
      <c r="C24" s="4"/>
      <c r="D24" s="4"/>
      <c r="E24" s="4"/>
      <c r="F24" s="4"/>
      <c r="G24" s="4"/>
      <c r="H24" s="4">
        <v>293800</v>
      </c>
      <c r="I24" s="5"/>
      <c r="J24" s="5"/>
      <c r="K24" s="5"/>
      <c r="L24" s="5"/>
    </row>
    <row r="25" spans="1:12" x14ac:dyDescent="0.2">
      <c r="A25" t="s">
        <v>1263</v>
      </c>
      <c r="B25" s="4">
        <v>292000</v>
      </c>
      <c r="C25" s="4"/>
      <c r="D25" s="4"/>
      <c r="E25" s="4"/>
      <c r="F25" s="4"/>
      <c r="G25" s="4">
        <v>292000</v>
      </c>
      <c r="H25" s="4"/>
      <c r="I25" s="5"/>
      <c r="J25" s="5"/>
      <c r="K25" s="5"/>
      <c r="L25" s="5"/>
    </row>
    <row r="26" spans="1:12" x14ac:dyDescent="0.2">
      <c r="A26" t="s">
        <v>905</v>
      </c>
      <c r="B26" s="4">
        <v>259200</v>
      </c>
      <c r="C26" s="4">
        <v>45000</v>
      </c>
      <c r="D26" s="4"/>
      <c r="E26" s="4"/>
      <c r="F26" s="4">
        <v>214200</v>
      </c>
      <c r="G26" s="4"/>
      <c r="H26" s="4"/>
      <c r="I26" s="5"/>
      <c r="J26" s="5"/>
      <c r="K26" s="5"/>
      <c r="L26" s="5"/>
    </row>
    <row r="27" spans="1:12" x14ac:dyDescent="0.2">
      <c r="A27" t="s">
        <v>403</v>
      </c>
      <c r="B27" s="4">
        <v>245200</v>
      </c>
      <c r="C27" s="4"/>
      <c r="D27" s="4"/>
      <c r="E27" s="4"/>
      <c r="F27" s="4">
        <v>175000</v>
      </c>
      <c r="G27" s="4">
        <v>70000</v>
      </c>
      <c r="H27" s="4">
        <v>200</v>
      </c>
      <c r="I27" s="5">
        <v>1</v>
      </c>
      <c r="J27" s="5"/>
      <c r="K27" s="5"/>
      <c r="L27" s="5">
        <v>458</v>
      </c>
    </row>
    <row r="28" spans="1:12" x14ac:dyDescent="0.2">
      <c r="A28" t="s">
        <v>18</v>
      </c>
      <c r="B28" s="4">
        <v>239693</v>
      </c>
      <c r="C28" s="4"/>
      <c r="D28" s="4"/>
      <c r="E28" s="4"/>
      <c r="F28" s="4"/>
      <c r="G28" s="4"/>
      <c r="H28" s="4">
        <v>239693</v>
      </c>
      <c r="I28" s="5">
        <v>2</v>
      </c>
      <c r="J28" s="5"/>
      <c r="K28" s="5"/>
      <c r="L28" s="5"/>
    </row>
    <row r="29" spans="1:12" x14ac:dyDescent="0.2">
      <c r="A29" t="s">
        <v>40</v>
      </c>
      <c r="B29" s="4">
        <v>230601</v>
      </c>
      <c r="C29" s="4"/>
      <c r="D29" s="4"/>
      <c r="E29" s="4"/>
      <c r="F29" s="4"/>
      <c r="G29" s="4">
        <v>190001</v>
      </c>
      <c r="H29" s="4">
        <v>40600</v>
      </c>
      <c r="I29" s="5">
        <v>1</v>
      </c>
      <c r="J29" s="5">
        <v>1</v>
      </c>
      <c r="K29" s="5">
        <v>169</v>
      </c>
      <c r="L29" s="5"/>
    </row>
    <row r="30" spans="1:12" x14ac:dyDescent="0.2">
      <c r="A30" t="s">
        <v>1256</v>
      </c>
      <c r="B30" s="4">
        <v>230000</v>
      </c>
      <c r="C30" s="4"/>
      <c r="D30" s="4"/>
      <c r="E30" s="4"/>
      <c r="F30" s="4"/>
      <c r="G30" s="4">
        <v>230000</v>
      </c>
      <c r="H30" s="4"/>
      <c r="I30" s="5"/>
      <c r="J30" s="5"/>
      <c r="K30" s="5"/>
      <c r="L30" s="5"/>
    </row>
    <row r="31" spans="1:12" x14ac:dyDescent="0.2">
      <c r="A31" t="s">
        <v>783</v>
      </c>
      <c r="B31" s="4">
        <v>228900</v>
      </c>
      <c r="C31" s="4"/>
      <c r="D31" s="4">
        <v>228900</v>
      </c>
      <c r="E31" s="4"/>
      <c r="F31" s="4"/>
      <c r="G31" s="4"/>
      <c r="H31" s="4"/>
      <c r="I31" s="5">
        <v>1</v>
      </c>
      <c r="J31" s="5"/>
      <c r="K31" s="5"/>
      <c r="L31" s="5">
        <v>45</v>
      </c>
    </row>
    <row r="32" spans="1:12" x14ac:dyDescent="0.2">
      <c r="A32" t="s">
        <v>201</v>
      </c>
      <c r="B32" s="4">
        <v>214501.77</v>
      </c>
      <c r="C32" s="4"/>
      <c r="D32" s="4"/>
      <c r="E32" s="4"/>
      <c r="F32" s="4"/>
      <c r="G32" s="4"/>
      <c r="H32" s="4">
        <v>214501.77</v>
      </c>
      <c r="I32" s="5">
        <v>28</v>
      </c>
      <c r="J32" s="5">
        <v>1</v>
      </c>
      <c r="K32" s="5">
        <v>104</v>
      </c>
      <c r="L32" s="5">
        <v>213.46428571428569</v>
      </c>
    </row>
    <row r="33" spans="1:12" x14ac:dyDescent="0.2">
      <c r="A33" t="s">
        <v>1113</v>
      </c>
      <c r="B33" s="4">
        <v>201263.28599999999</v>
      </c>
      <c r="C33" s="4"/>
      <c r="D33" s="4"/>
      <c r="E33" s="4"/>
      <c r="F33" s="4"/>
      <c r="G33" s="4"/>
      <c r="H33" s="4">
        <v>201263.28599999999</v>
      </c>
      <c r="I33" s="5"/>
      <c r="J33" s="5"/>
      <c r="K33" s="5"/>
      <c r="L33" s="5"/>
    </row>
    <row r="34" spans="1:12" x14ac:dyDescent="0.2">
      <c r="A34" t="s">
        <v>225</v>
      </c>
      <c r="B34" s="4">
        <v>199757.85</v>
      </c>
      <c r="C34" s="4"/>
      <c r="D34" s="4"/>
      <c r="E34" s="4"/>
      <c r="F34" s="4"/>
      <c r="G34" s="4"/>
      <c r="H34" s="4">
        <v>199757.85</v>
      </c>
      <c r="I34" s="5">
        <v>2</v>
      </c>
      <c r="J34" s="5">
        <v>1</v>
      </c>
      <c r="K34" s="5">
        <v>75</v>
      </c>
      <c r="L34" s="5">
        <v>289</v>
      </c>
    </row>
    <row r="35" spans="1:12" x14ac:dyDescent="0.2">
      <c r="A35" t="s">
        <v>853</v>
      </c>
      <c r="B35" s="4">
        <v>196213.49</v>
      </c>
      <c r="C35" s="4"/>
      <c r="D35" s="4"/>
      <c r="E35" s="4"/>
      <c r="F35" s="4"/>
      <c r="G35" s="4"/>
      <c r="H35" s="4">
        <v>196213.49</v>
      </c>
      <c r="I35" s="5"/>
      <c r="J35" s="5"/>
      <c r="K35" s="5"/>
      <c r="L35" s="5"/>
    </row>
    <row r="36" spans="1:12" x14ac:dyDescent="0.2">
      <c r="A36" t="s">
        <v>343</v>
      </c>
      <c r="B36" s="4">
        <v>195000</v>
      </c>
      <c r="C36" s="4"/>
      <c r="D36" s="4"/>
      <c r="E36" s="4"/>
      <c r="F36" s="4">
        <v>195000</v>
      </c>
      <c r="G36" s="4"/>
      <c r="H36" s="4"/>
      <c r="I36" s="5">
        <v>7</v>
      </c>
      <c r="J36" s="5">
        <v>2</v>
      </c>
      <c r="K36" s="5">
        <v>139</v>
      </c>
      <c r="L36" s="5">
        <v>109</v>
      </c>
    </row>
    <row r="37" spans="1:12" x14ac:dyDescent="0.2">
      <c r="A37" t="s">
        <v>685</v>
      </c>
      <c r="B37" s="4">
        <v>194330</v>
      </c>
      <c r="C37" s="4"/>
      <c r="D37" s="4"/>
      <c r="E37" s="4"/>
      <c r="F37" s="4"/>
      <c r="G37" s="4"/>
      <c r="H37" s="4">
        <v>194330</v>
      </c>
      <c r="I37" s="5">
        <v>1</v>
      </c>
      <c r="J37" s="5"/>
      <c r="K37" s="5"/>
      <c r="L37" s="5">
        <v>335</v>
      </c>
    </row>
    <row r="38" spans="1:12" x14ac:dyDescent="0.2">
      <c r="A38" t="s">
        <v>711</v>
      </c>
      <c r="B38" s="4">
        <v>188000</v>
      </c>
      <c r="C38" s="4"/>
      <c r="D38" s="4"/>
      <c r="E38" s="4"/>
      <c r="F38" s="4"/>
      <c r="G38" s="4"/>
      <c r="H38" s="4">
        <v>188000</v>
      </c>
      <c r="I38" s="5">
        <v>1</v>
      </c>
      <c r="J38" s="5"/>
      <c r="K38" s="5"/>
      <c r="L38" s="5"/>
    </row>
    <row r="39" spans="1:12" x14ac:dyDescent="0.2">
      <c r="A39" t="s">
        <v>897</v>
      </c>
      <c r="B39" s="4">
        <v>172800</v>
      </c>
      <c r="C39" s="4"/>
      <c r="D39" s="4"/>
      <c r="E39" s="4"/>
      <c r="F39" s="4"/>
      <c r="G39" s="4"/>
      <c r="H39" s="4">
        <v>172800</v>
      </c>
      <c r="I39" s="5"/>
      <c r="J39" s="5"/>
      <c r="K39" s="5"/>
      <c r="L39" s="5"/>
    </row>
    <row r="40" spans="1:12" x14ac:dyDescent="0.2">
      <c r="A40" t="s">
        <v>90</v>
      </c>
      <c r="B40" s="4">
        <v>170600</v>
      </c>
      <c r="C40" s="4"/>
      <c r="D40" s="4"/>
      <c r="E40" s="4"/>
      <c r="F40" s="4">
        <v>155000</v>
      </c>
      <c r="G40" s="4"/>
      <c r="H40" s="4">
        <v>15600</v>
      </c>
      <c r="I40" s="5">
        <v>2</v>
      </c>
      <c r="J40" s="5"/>
      <c r="K40" s="5"/>
      <c r="L40" s="5">
        <v>309.5</v>
      </c>
    </row>
    <row r="41" spans="1:12" x14ac:dyDescent="0.2">
      <c r="A41" t="s">
        <v>495</v>
      </c>
      <c r="B41" s="4">
        <v>163673.95000000001</v>
      </c>
      <c r="C41" s="4"/>
      <c r="D41" s="4"/>
      <c r="E41" s="4"/>
      <c r="F41" s="4"/>
      <c r="G41" s="4">
        <v>48000</v>
      </c>
      <c r="H41" s="4">
        <v>115673.95</v>
      </c>
      <c r="I41" s="5">
        <v>5</v>
      </c>
      <c r="J41" s="5"/>
      <c r="K41" s="5"/>
      <c r="L41" s="5">
        <v>336</v>
      </c>
    </row>
    <row r="42" spans="1:12" x14ac:dyDescent="0.2">
      <c r="A42" t="s">
        <v>59</v>
      </c>
      <c r="B42" s="4">
        <v>160538.28</v>
      </c>
      <c r="C42" s="4"/>
      <c r="D42" s="4"/>
      <c r="E42" s="4"/>
      <c r="F42" s="4"/>
      <c r="G42" s="4"/>
      <c r="H42" s="4">
        <v>160538.28</v>
      </c>
      <c r="I42" s="5">
        <v>5</v>
      </c>
      <c r="J42" s="5">
        <v>4</v>
      </c>
      <c r="K42" s="5">
        <v>245.75</v>
      </c>
      <c r="L42" s="5">
        <v>625</v>
      </c>
    </row>
    <row r="43" spans="1:12" x14ac:dyDescent="0.2">
      <c r="A43" t="s">
        <v>334</v>
      </c>
      <c r="B43" s="4">
        <v>157100</v>
      </c>
      <c r="C43" s="4"/>
      <c r="D43" s="4">
        <v>28000</v>
      </c>
      <c r="E43" s="4"/>
      <c r="F43" s="4">
        <v>120000</v>
      </c>
      <c r="G43" s="4"/>
      <c r="H43" s="4">
        <v>9100</v>
      </c>
      <c r="I43" s="5">
        <v>16</v>
      </c>
      <c r="J43" s="5">
        <v>1</v>
      </c>
      <c r="K43" s="5">
        <v>99</v>
      </c>
      <c r="L43" s="5">
        <v>83.8125</v>
      </c>
    </row>
    <row r="44" spans="1:12" x14ac:dyDescent="0.2">
      <c r="A44" t="s">
        <v>994</v>
      </c>
      <c r="B44" s="4">
        <v>155196</v>
      </c>
      <c r="C44" s="4"/>
      <c r="D44" s="4"/>
      <c r="E44" s="4"/>
      <c r="F44" s="4"/>
      <c r="G44" s="4"/>
      <c r="H44" s="4">
        <v>155196</v>
      </c>
      <c r="I44" s="5"/>
      <c r="J44" s="5"/>
      <c r="K44" s="5"/>
      <c r="L44" s="5"/>
    </row>
    <row r="45" spans="1:12" x14ac:dyDescent="0.2">
      <c r="A45" t="s">
        <v>873</v>
      </c>
      <c r="B45" s="4">
        <v>154767.6</v>
      </c>
      <c r="C45" s="4"/>
      <c r="D45" s="4"/>
      <c r="E45" s="4"/>
      <c r="F45" s="4"/>
      <c r="G45" s="4"/>
      <c r="H45" s="4">
        <v>154767.6</v>
      </c>
      <c r="I45" s="5"/>
      <c r="J45" s="5"/>
      <c r="K45" s="5"/>
      <c r="L45" s="5"/>
    </row>
    <row r="46" spans="1:12" x14ac:dyDescent="0.2">
      <c r="A46" t="s">
        <v>1115</v>
      </c>
      <c r="B46" s="4">
        <v>152125</v>
      </c>
      <c r="C46" s="4"/>
      <c r="D46" s="4"/>
      <c r="E46" s="4"/>
      <c r="F46" s="4"/>
      <c r="G46" s="4"/>
      <c r="H46" s="4">
        <v>152125</v>
      </c>
      <c r="I46" s="5"/>
      <c r="J46" s="5"/>
      <c r="K46" s="5"/>
      <c r="L46" s="5"/>
    </row>
    <row r="47" spans="1:12" x14ac:dyDescent="0.2">
      <c r="A47" t="s">
        <v>849</v>
      </c>
      <c r="B47" s="4">
        <v>145939</v>
      </c>
      <c r="C47" s="4"/>
      <c r="D47" s="4"/>
      <c r="E47" s="4"/>
      <c r="F47" s="4"/>
      <c r="G47" s="4"/>
      <c r="H47" s="4">
        <v>145939</v>
      </c>
      <c r="I47" s="5"/>
      <c r="J47" s="5"/>
      <c r="K47" s="5"/>
      <c r="L47" s="5"/>
    </row>
    <row r="48" spans="1:12" x14ac:dyDescent="0.2">
      <c r="A48" t="s">
        <v>985</v>
      </c>
      <c r="B48" s="4">
        <v>144800</v>
      </c>
      <c r="C48" s="4"/>
      <c r="D48" s="4"/>
      <c r="E48" s="4"/>
      <c r="F48" s="4"/>
      <c r="G48" s="4"/>
      <c r="H48" s="4">
        <v>144800</v>
      </c>
      <c r="I48" s="5"/>
      <c r="J48" s="5"/>
      <c r="K48" s="5"/>
      <c r="L48" s="5"/>
    </row>
    <row r="49" spans="1:12" x14ac:dyDescent="0.2">
      <c r="A49" t="s">
        <v>223</v>
      </c>
      <c r="B49" s="4">
        <v>142103.20000000001</v>
      </c>
      <c r="C49" s="4"/>
      <c r="D49" s="4"/>
      <c r="E49" s="4"/>
      <c r="F49" s="4">
        <v>40000</v>
      </c>
      <c r="G49" s="4"/>
      <c r="H49" s="4">
        <v>102103.2</v>
      </c>
      <c r="I49" s="5">
        <v>11</v>
      </c>
      <c r="J49" s="5">
        <v>2</v>
      </c>
      <c r="K49" s="5">
        <v>60.5</v>
      </c>
      <c r="L49" s="5">
        <v>166.85714285714289</v>
      </c>
    </row>
    <row r="50" spans="1:12" x14ac:dyDescent="0.2">
      <c r="A50" t="s">
        <v>145</v>
      </c>
      <c r="B50" s="4">
        <v>140320</v>
      </c>
      <c r="C50" s="4"/>
      <c r="D50" s="4"/>
      <c r="E50" s="4"/>
      <c r="F50" s="4">
        <v>60260</v>
      </c>
      <c r="G50" s="4">
        <v>14200</v>
      </c>
      <c r="H50" s="4">
        <v>65860</v>
      </c>
      <c r="I50" s="5">
        <v>16</v>
      </c>
      <c r="J50" s="5">
        <v>5</v>
      </c>
      <c r="K50" s="5">
        <v>308.8</v>
      </c>
      <c r="L50" s="5">
        <v>195.125</v>
      </c>
    </row>
    <row r="51" spans="1:12" x14ac:dyDescent="0.2">
      <c r="A51" t="s">
        <v>1082</v>
      </c>
      <c r="B51" s="4">
        <v>137376</v>
      </c>
      <c r="C51" s="4"/>
      <c r="D51" s="4"/>
      <c r="E51" s="4"/>
      <c r="F51" s="4"/>
      <c r="G51" s="4"/>
      <c r="H51" s="4">
        <v>137376</v>
      </c>
      <c r="I51" s="5"/>
      <c r="J51" s="5"/>
      <c r="K51" s="5"/>
      <c r="L51" s="5"/>
    </row>
    <row r="52" spans="1:12" x14ac:dyDescent="0.2">
      <c r="A52" t="s">
        <v>1240</v>
      </c>
      <c r="B52" s="4">
        <v>130000</v>
      </c>
      <c r="C52" s="4"/>
      <c r="D52" s="4"/>
      <c r="E52" s="4"/>
      <c r="F52" s="4"/>
      <c r="G52" s="4"/>
      <c r="H52" s="4">
        <v>130000</v>
      </c>
      <c r="I52" s="5"/>
      <c r="J52" s="5"/>
      <c r="K52" s="5"/>
      <c r="L52" s="5"/>
    </row>
    <row r="53" spans="1:12" x14ac:dyDescent="0.2">
      <c r="A53" t="s">
        <v>821</v>
      </c>
      <c r="B53" s="4">
        <v>128000</v>
      </c>
      <c r="C53" s="4"/>
      <c r="D53" s="4"/>
      <c r="E53" s="4"/>
      <c r="F53" s="4"/>
      <c r="G53" s="4">
        <v>128000</v>
      </c>
      <c r="H53" s="4"/>
      <c r="I53" s="5">
        <v>1</v>
      </c>
      <c r="J53" s="5"/>
      <c r="K53" s="5"/>
      <c r="L53" s="5">
        <v>47</v>
      </c>
    </row>
    <row r="54" spans="1:12" x14ac:dyDescent="0.2">
      <c r="A54" t="s">
        <v>533</v>
      </c>
      <c r="B54" s="4">
        <v>120000</v>
      </c>
      <c r="C54" s="4"/>
      <c r="D54" s="4"/>
      <c r="E54" s="4"/>
      <c r="F54" s="4"/>
      <c r="G54" s="4"/>
      <c r="H54" s="4">
        <v>120000</v>
      </c>
      <c r="I54" s="5">
        <v>2</v>
      </c>
      <c r="J54" s="5"/>
      <c r="K54" s="5"/>
      <c r="L54" s="5">
        <v>337</v>
      </c>
    </row>
    <row r="55" spans="1:12" x14ac:dyDescent="0.2">
      <c r="A55" t="s">
        <v>204</v>
      </c>
      <c r="B55" s="4">
        <v>120000</v>
      </c>
      <c r="C55" s="4"/>
      <c r="D55" s="4"/>
      <c r="E55" s="4"/>
      <c r="F55" s="4"/>
      <c r="G55" s="4"/>
      <c r="H55" s="4">
        <v>120000</v>
      </c>
      <c r="I55" s="5">
        <v>2</v>
      </c>
      <c r="J55" s="5">
        <v>1</v>
      </c>
      <c r="K55" s="5">
        <v>274</v>
      </c>
      <c r="L55" s="5"/>
    </row>
    <row r="56" spans="1:12" x14ac:dyDescent="0.2">
      <c r="A56" t="s">
        <v>1254</v>
      </c>
      <c r="B56" s="4">
        <v>120000</v>
      </c>
      <c r="C56" s="4"/>
      <c r="D56" s="4"/>
      <c r="E56" s="4"/>
      <c r="F56" s="4"/>
      <c r="G56" s="4">
        <v>120000</v>
      </c>
      <c r="H56" s="4"/>
      <c r="I56" s="5"/>
      <c r="J56" s="5"/>
      <c r="K56" s="5"/>
      <c r="L56" s="5"/>
    </row>
    <row r="57" spans="1:12" x14ac:dyDescent="0.2">
      <c r="A57" t="s">
        <v>356</v>
      </c>
      <c r="B57" s="4">
        <v>117570</v>
      </c>
      <c r="C57" s="4"/>
      <c r="D57" s="4"/>
      <c r="E57" s="4"/>
      <c r="F57" s="4"/>
      <c r="G57" s="4"/>
      <c r="H57" s="4">
        <v>117570</v>
      </c>
      <c r="I57" s="5">
        <v>1</v>
      </c>
      <c r="J57" s="5"/>
      <c r="K57" s="5"/>
      <c r="L57" s="5"/>
    </row>
    <row r="58" spans="1:12" x14ac:dyDescent="0.2">
      <c r="A58" t="s">
        <v>277</v>
      </c>
      <c r="B58" s="4">
        <v>111586.6</v>
      </c>
      <c r="C58" s="4"/>
      <c r="D58" s="4"/>
      <c r="E58" s="4"/>
      <c r="F58" s="4"/>
      <c r="G58" s="4"/>
      <c r="H58" s="4">
        <v>111586.6</v>
      </c>
      <c r="I58" s="5">
        <v>8</v>
      </c>
      <c r="J58" s="5">
        <v>1</v>
      </c>
      <c r="K58" s="5">
        <v>134</v>
      </c>
      <c r="L58" s="5">
        <v>352.875</v>
      </c>
    </row>
    <row r="59" spans="1:12" x14ac:dyDescent="0.2">
      <c r="A59" t="s">
        <v>1069</v>
      </c>
      <c r="B59" s="4">
        <v>109186.98</v>
      </c>
      <c r="C59" s="4"/>
      <c r="D59" s="4"/>
      <c r="E59" s="4"/>
      <c r="F59" s="4"/>
      <c r="G59" s="4"/>
      <c r="H59" s="4">
        <v>109186.98</v>
      </c>
      <c r="I59" s="5"/>
      <c r="J59" s="5"/>
      <c r="K59" s="5"/>
      <c r="L59" s="5"/>
    </row>
    <row r="60" spans="1:12" x14ac:dyDescent="0.2">
      <c r="A60" t="s">
        <v>962</v>
      </c>
      <c r="B60" s="4">
        <v>100000</v>
      </c>
      <c r="C60" s="4"/>
      <c r="D60" s="4"/>
      <c r="E60" s="4"/>
      <c r="F60" s="4"/>
      <c r="G60" s="4"/>
      <c r="H60" s="4">
        <v>100000</v>
      </c>
      <c r="I60" s="5"/>
      <c r="J60" s="5"/>
      <c r="K60" s="5"/>
      <c r="L60" s="5"/>
    </row>
    <row r="61" spans="1:12" x14ac:dyDescent="0.2">
      <c r="A61" t="s">
        <v>981</v>
      </c>
      <c r="B61" s="4">
        <v>100000</v>
      </c>
      <c r="C61" s="4"/>
      <c r="D61" s="4"/>
      <c r="E61" s="4"/>
      <c r="F61" s="4"/>
      <c r="G61" s="4"/>
      <c r="H61" s="4">
        <v>100000</v>
      </c>
      <c r="I61" s="5"/>
      <c r="J61" s="5"/>
      <c r="K61" s="5"/>
      <c r="L61" s="5"/>
    </row>
    <row r="62" spans="1:12" x14ac:dyDescent="0.2">
      <c r="A62" t="s">
        <v>1104</v>
      </c>
      <c r="B62" s="4">
        <v>97621</v>
      </c>
      <c r="C62" s="4"/>
      <c r="D62" s="4"/>
      <c r="E62" s="4"/>
      <c r="F62" s="4"/>
      <c r="G62" s="4"/>
      <c r="H62" s="4">
        <v>97621</v>
      </c>
      <c r="I62" s="5"/>
      <c r="J62" s="5"/>
      <c r="K62" s="5"/>
      <c r="L62" s="5"/>
    </row>
    <row r="63" spans="1:12" x14ac:dyDescent="0.2">
      <c r="A63" t="s">
        <v>240</v>
      </c>
      <c r="B63" s="4">
        <v>96658.73</v>
      </c>
      <c r="C63" s="4"/>
      <c r="D63" s="4"/>
      <c r="E63" s="4">
        <v>96000</v>
      </c>
      <c r="F63" s="4">
        <v>658.72999999999604</v>
      </c>
      <c r="G63" s="4"/>
      <c r="H63" s="4"/>
      <c r="I63" s="5">
        <v>7</v>
      </c>
      <c r="J63" s="5">
        <v>1</v>
      </c>
      <c r="K63" s="5">
        <v>31</v>
      </c>
      <c r="L63" s="5">
        <v>357.71428571428572</v>
      </c>
    </row>
    <row r="64" spans="1:12" x14ac:dyDescent="0.2">
      <c r="A64" t="s">
        <v>1092</v>
      </c>
      <c r="B64" s="4">
        <v>94500</v>
      </c>
      <c r="C64" s="4"/>
      <c r="D64" s="4"/>
      <c r="E64" s="4"/>
      <c r="F64" s="4"/>
      <c r="G64" s="4"/>
      <c r="H64" s="4">
        <v>94500</v>
      </c>
      <c r="I64" s="5"/>
      <c r="J64" s="5"/>
      <c r="K64" s="5"/>
      <c r="L64" s="5"/>
    </row>
    <row r="65" spans="1:12" x14ac:dyDescent="0.2">
      <c r="A65" t="s">
        <v>1147</v>
      </c>
      <c r="B65" s="4">
        <v>92000</v>
      </c>
      <c r="C65" s="4"/>
      <c r="D65" s="4"/>
      <c r="E65" s="4"/>
      <c r="F65" s="4"/>
      <c r="G65" s="4"/>
      <c r="H65" s="4">
        <v>92000</v>
      </c>
      <c r="I65" s="5"/>
      <c r="J65" s="5"/>
      <c r="K65" s="5"/>
      <c r="L65" s="5"/>
    </row>
    <row r="66" spans="1:12" x14ac:dyDescent="0.2">
      <c r="A66" t="s">
        <v>1090</v>
      </c>
      <c r="B66" s="4">
        <v>89000</v>
      </c>
      <c r="C66" s="4"/>
      <c r="D66" s="4"/>
      <c r="E66" s="4"/>
      <c r="F66" s="4"/>
      <c r="G66" s="4"/>
      <c r="H66" s="4">
        <v>89000</v>
      </c>
      <c r="I66" s="5"/>
      <c r="J66" s="5"/>
      <c r="K66" s="5"/>
      <c r="L66" s="5"/>
    </row>
    <row r="67" spans="1:12" x14ac:dyDescent="0.2">
      <c r="A67" t="s">
        <v>860</v>
      </c>
      <c r="B67" s="4">
        <v>86540</v>
      </c>
      <c r="C67" s="4"/>
      <c r="D67" s="4"/>
      <c r="E67" s="4"/>
      <c r="F67" s="4"/>
      <c r="G67" s="4"/>
      <c r="H67" s="4">
        <v>86540</v>
      </c>
      <c r="I67" s="5"/>
      <c r="J67" s="5"/>
      <c r="K67" s="5"/>
      <c r="L67" s="5"/>
    </row>
    <row r="68" spans="1:12" x14ac:dyDescent="0.2">
      <c r="A68" t="s">
        <v>564</v>
      </c>
      <c r="B68" s="4">
        <v>86000</v>
      </c>
      <c r="C68" s="4"/>
      <c r="D68" s="4"/>
      <c r="E68" s="4"/>
      <c r="F68" s="4"/>
      <c r="G68" s="4">
        <v>86000</v>
      </c>
      <c r="H68" s="4"/>
      <c r="I68" s="5">
        <v>1</v>
      </c>
      <c r="J68" s="5"/>
      <c r="K68" s="5"/>
      <c r="L68" s="5">
        <v>64</v>
      </c>
    </row>
    <row r="69" spans="1:12" x14ac:dyDescent="0.2">
      <c r="A69" t="s">
        <v>1047</v>
      </c>
      <c r="B69" s="4">
        <v>85000</v>
      </c>
      <c r="C69" s="4"/>
      <c r="D69" s="4"/>
      <c r="E69" s="4"/>
      <c r="F69" s="4"/>
      <c r="G69" s="4"/>
      <c r="H69" s="4">
        <v>85000</v>
      </c>
      <c r="I69" s="5"/>
      <c r="J69" s="5"/>
      <c r="K69" s="5"/>
      <c r="L69" s="5"/>
    </row>
    <row r="70" spans="1:12" x14ac:dyDescent="0.2">
      <c r="A70" t="s">
        <v>1238</v>
      </c>
      <c r="B70" s="4">
        <v>84000</v>
      </c>
      <c r="C70" s="4"/>
      <c r="D70" s="4"/>
      <c r="E70" s="4"/>
      <c r="F70" s="4"/>
      <c r="G70" s="4"/>
      <c r="H70" s="4">
        <v>84000</v>
      </c>
      <c r="I70" s="5"/>
      <c r="J70" s="5"/>
      <c r="K70" s="5"/>
      <c r="L70" s="5"/>
    </row>
    <row r="71" spans="1:12" x14ac:dyDescent="0.2">
      <c r="A71" t="s">
        <v>42</v>
      </c>
      <c r="B71" s="4">
        <v>76600</v>
      </c>
      <c r="C71" s="4"/>
      <c r="D71" s="4"/>
      <c r="E71" s="4"/>
      <c r="F71" s="4"/>
      <c r="G71" s="4"/>
      <c r="H71" s="4">
        <v>76600</v>
      </c>
      <c r="I71" s="5">
        <v>9</v>
      </c>
      <c r="J71" s="5">
        <v>3</v>
      </c>
      <c r="K71" s="5">
        <v>74</v>
      </c>
      <c r="L71" s="5">
        <v>410.33333333333331</v>
      </c>
    </row>
    <row r="72" spans="1:12" x14ac:dyDescent="0.2">
      <c r="A72" t="s">
        <v>122</v>
      </c>
      <c r="B72" s="4">
        <v>75573</v>
      </c>
      <c r="C72" s="4"/>
      <c r="D72" s="4"/>
      <c r="E72" s="4"/>
      <c r="F72" s="4"/>
      <c r="G72" s="4"/>
      <c r="H72" s="4">
        <v>75573</v>
      </c>
      <c r="I72" s="5">
        <v>3</v>
      </c>
      <c r="J72" s="5">
        <v>2</v>
      </c>
      <c r="K72" s="5">
        <v>38</v>
      </c>
      <c r="L72" s="5">
        <v>230</v>
      </c>
    </row>
    <row r="73" spans="1:12" x14ac:dyDescent="0.2">
      <c r="A73" t="s">
        <v>937</v>
      </c>
      <c r="B73" s="4">
        <v>73800</v>
      </c>
      <c r="C73" s="4"/>
      <c r="D73" s="4"/>
      <c r="E73" s="4"/>
      <c r="F73" s="4"/>
      <c r="G73" s="4"/>
      <c r="H73" s="4">
        <v>73800</v>
      </c>
      <c r="I73" s="5"/>
      <c r="J73" s="5"/>
      <c r="K73" s="5"/>
      <c r="L73" s="5"/>
    </row>
    <row r="74" spans="1:12" x14ac:dyDescent="0.2">
      <c r="A74" t="s">
        <v>268</v>
      </c>
      <c r="B74" s="4">
        <v>73530</v>
      </c>
      <c r="C74" s="4"/>
      <c r="D74" s="4"/>
      <c r="E74" s="4"/>
      <c r="F74" s="4"/>
      <c r="G74" s="4"/>
      <c r="H74" s="4">
        <v>73530</v>
      </c>
      <c r="I74" s="5">
        <v>2</v>
      </c>
      <c r="J74" s="5">
        <v>1</v>
      </c>
      <c r="K74" s="5">
        <v>208</v>
      </c>
      <c r="L74" s="5">
        <v>457</v>
      </c>
    </row>
    <row r="75" spans="1:12" x14ac:dyDescent="0.2">
      <c r="A75" t="s">
        <v>1177</v>
      </c>
      <c r="B75" s="4">
        <v>72000</v>
      </c>
      <c r="C75" s="4"/>
      <c r="D75" s="4"/>
      <c r="E75" s="4"/>
      <c r="F75" s="4"/>
      <c r="G75" s="4"/>
      <c r="H75" s="4">
        <v>72000</v>
      </c>
      <c r="I75" s="5"/>
      <c r="J75" s="5"/>
      <c r="K75" s="5"/>
      <c r="L75" s="5"/>
    </row>
    <row r="76" spans="1:12" x14ac:dyDescent="0.2">
      <c r="A76" t="s">
        <v>850</v>
      </c>
      <c r="B76" s="4">
        <v>71916</v>
      </c>
      <c r="C76" s="4"/>
      <c r="D76" s="4"/>
      <c r="E76" s="4"/>
      <c r="F76" s="4"/>
      <c r="G76" s="4"/>
      <c r="H76" s="4">
        <v>71916</v>
      </c>
      <c r="I76" s="5"/>
      <c r="J76" s="5"/>
      <c r="K76" s="5"/>
      <c r="L76" s="5"/>
    </row>
    <row r="77" spans="1:12" x14ac:dyDescent="0.2">
      <c r="A77" t="s">
        <v>63</v>
      </c>
      <c r="B77" s="4">
        <v>70865</v>
      </c>
      <c r="C77" s="4"/>
      <c r="D77" s="4"/>
      <c r="E77" s="4"/>
      <c r="F77" s="4"/>
      <c r="G77" s="4"/>
      <c r="H77" s="4">
        <v>70865</v>
      </c>
      <c r="I77" s="5">
        <v>3</v>
      </c>
      <c r="J77" s="5">
        <v>1</v>
      </c>
      <c r="K77" s="5">
        <v>43</v>
      </c>
      <c r="L77" s="5"/>
    </row>
    <row r="78" spans="1:12" x14ac:dyDescent="0.2">
      <c r="A78" t="s">
        <v>38</v>
      </c>
      <c r="B78" s="4">
        <v>70800</v>
      </c>
      <c r="C78" s="4"/>
      <c r="D78" s="4"/>
      <c r="E78" s="4"/>
      <c r="F78" s="4"/>
      <c r="G78" s="4"/>
      <c r="H78" s="4">
        <v>70800</v>
      </c>
      <c r="I78" s="5">
        <v>3</v>
      </c>
      <c r="J78" s="5">
        <v>1</v>
      </c>
      <c r="K78" s="5">
        <v>115</v>
      </c>
      <c r="L78" s="5">
        <v>424</v>
      </c>
    </row>
    <row r="79" spans="1:12" x14ac:dyDescent="0.2">
      <c r="A79" t="s">
        <v>1276</v>
      </c>
      <c r="B79" s="4">
        <v>70000</v>
      </c>
      <c r="C79" s="4"/>
      <c r="D79" s="4"/>
      <c r="E79" s="4"/>
      <c r="F79" s="4">
        <v>70000</v>
      </c>
      <c r="G79" s="4"/>
      <c r="H79" s="4"/>
      <c r="I79" s="5"/>
      <c r="J79" s="5"/>
      <c r="K79" s="5"/>
      <c r="L79" s="5"/>
    </row>
    <row r="80" spans="1:12" x14ac:dyDescent="0.2">
      <c r="A80" t="s">
        <v>1070</v>
      </c>
      <c r="B80" s="4">
        <v>70000</v>
      </c>
      <c r="C80" s="4"/>
      <c r="D80" s="4"/>
      <c r="E80" s="4"/>
      <c r="F80" s="4"/>
      <c r="G80" s="4"/>
      <c r="H80" s="4">
        <v>70000</v>
      </c>
      <c r="I80" s="5"/>
      <c r="J80" s="5"/>
      <c r="K80" s="5"/>
      <c r="L80" s="5"/>
    </row>
    <row r="81" spans="1:12" x14ac:dyDescent="0.2">
      <c r="A81" t="s">
        <v>1010</v>
      </c>
      <c r="B81" s="4">
        <v>69800</v>
      </c>
      <c r="C81" s="4"/>
      <c r="D81" s="4"/>
      <c r="E81" s="4"/>
      <c r="F81" s="4"/>
      <c r="G81" s="4"/>
      <c r="H81" s="4">
        <v>69800</v>
      </c>
      <c r="I81" s="5"/>
      <c r="J81" s="5"/>
      <c r="K81" s="5"/>
      <c r="L81" s="5"/>
    </row>
    <row r="82" spans="1:12" x14ac:dyDescent="0.2">
      <c r="A82" t="s">
        <v>29</v>
      </c>
      <c r="B82" s="4">
        <v>65260</v>
      </c>
      <c r="C82" s="4"/>
      <c r="D82" s="4"/>
      <c r="E82" s="4"/>
      <c r="F82" s="4"/>
      <c r="G82" s="4">
        <v>17260</v>
      </c>
      <c r="H82" s="4">
        <v>48000</v>
      </c>
      <c r="I82" s="5">
        <v>18</v>
      </c>
      <c r="J82" s="5">
        <v>5</v>
      </c>
      <c r="K82" s="5">
        <v>98.4</v>
      </c>
      <c r="L82" s="5">
        <v>212.7777777777778</v>
      </c>
    </row>
    <row r="83" spans="1:12" x14ac:dyDescent="0.2">
      <c r="A83" t="s">
        <v>1170</v>
      </c>
      <c r="B83" s="4">
        <v>65156</v>
      </c>
      <c r="C83" s="4"/>
      <c r="D83" s="4"/>
      <c r="E83" s="4"/>
      <c r="F83" s="4"/>
      <c r="G83" s="4"/>
      <c r="H83" s="4">
        <v>65156</v>
      </c>
      <c r="I83" s="5"/>
      <c r="J83" s="5"/>
      <c r="K83" s="5"/>
      <c r="L83" s="5"/>
    </row>
    <row r="84" spans="1:12" x14ac:dyDescent="0.2">
      <c r="A84" t="s">
        <v>1127</v>
      </c>
      <c r="B84" s="4">
        <v>64765</v>
      </c>
      <c r="C84" s="4"/>
      <c r="D84" s="4"/>
      <c r="E84" s="4"/>
      <c r="F84" s="4"/>
      <c r="G84" s="4"/>
      <c r="H84" s="4">
        <v>64765</v>
      </c>
      <c r="I84" s="5"/>
      <c r="J84" s="5"/>
      <c r="K84" s="5"/>
      <c r="L84" s="5"/>
    </row>
    <row r="85" spans="1:12" x14ac:dyDescent="0.2">
      <c r="A85" t="s">
        <v>605</v>
      </c>
      <c r="B85" s="4">
        <v>63000</v>
      </c>
      <c r="C85" s="4"/>
      <c r="D85" s="4"/>
      <c r="E85" s="4"/>
      <c r="F85" s="4"/>
      <c r="G85" s="4">
        <v>63000</v>
      </c>
      <c r="H85" s="4"/>
      <c r="I85" s="5">
        <v>2</v>
      </c>
      <c r="J85" s="5">
        <v>1</v>
      </c>
      <c r="K85" s="5">
        <v>62</v>
      </c>
      <c r="L85" s="5">
        <v>19</v>
      </c>
    </row>
    <row r="86" spans="1:12" x14ac:dyDescent="0.2">
      <c r="A86" t="s">
        <v>888</v>
      </c>
      <c r="B86" s="4">
        <v>62272.8100000001</v>
      </c>
      <c r="C86" s="4"/>
      <c r="D86" s="4"/>
      <c r="E86" s="4"/>
      <c r="F86" s="4"/>
      <c r="G86" s="4"/>
      <c r="H86" s="4">
        <v>62272.8100000001</v>
      </c>
      <c r="I86" s="5"/>
      <c r="J86" s="5"/>
      <c r="K86" s="5"/>
      <c r="L86" s="5"/>
    </row>
    <row r="87" spans="1:12" x14ac:dyDescent="0.2">
      <c r="A87" t="s">
        <v>1141</v>
      </c>
      <c r="B87" s="4">
        <v>62000</v>
      </c>
      <c r="C87" s="4"/>
      <c r="D87" s="4"/>
      <c r="E87" s="4"/>
      <c r="F87" s="4"/>
      <c r="G87" s="4"/>
      <c r="H87" s="4">
        <v>62000</v>
      </c>
      <c r="I87" s="5"/>
      <c r="J87" s="5"/>
      <c r="K87" s="5"/>
      <c r="L87" s="5"/>
    </row>
    <row r="88" spans="1:12" x14ac:dyDescent="0.2">
      <c r="A88" t="s">
        <v>136</v>
      </c>
      <c r="B88" s="4">
        <v>61750</v>
      </c>
      <c r="C88" s="4"/>
      <c r="D88" s="4"/>
      <c r="E88" s="4"/>
      <c r="F88" s="4"/>
      <c r="G88" s="4"/>
      <c r="H88" s="4">
        <v>61750</v>
      </c>
      <c r="I88" s="5">
        <v>2</v>
      </c>
      <c r="J88" s="5"/>
      <c r="K88" s="5"/>
      <c r="L88" s="5">
        <v>486</v>
      </c>
    </row>
    <row r="89" spans="1:12" x14ac:dyDescent="0.2">
      <c r="A89" t="s">
        <v>187</v>
      </c>
      <c r="B89" s="4">
        <v>60000</v>
      </c>
      <c r="C89" s="4"/>
      <c r="D89" s="4"/>
      <c r="E89" s="4"/>
      <c r="F89" s="4"/>
      <c r="G89" s="4"/>
      <c r="H89" s="4">
        <v>60000</v>
      </c>
      <c r="I89" s="5">
        <v>9</v>
      </c>
      <c r="J89" s="5">
        <v>3</v>
      </c>
      <c r="K89" s="5">
        <v>95.666666666666671</v>
      </c>
      <c r="L89" s="5">
        <v>195.33333333333329</v>
      </c>
    </row>
    <row r="90" spans="1:12" x14ac:dyDescent="0.2">
      <c r="A90" t="s">
        <v>345</v>
      </c>
      <c r="B90" s="4">
        <v>60000</v>
      </c>
      <c r="C90" s="4">
        <v>60000</v>
      </c>
      <c r="D90" s="4"/>
      <c r="E90" s="4"/>
      <c r="F90" s="4"/>
      <c r="G90" s="4"/>
      <c r="H90" s="4"/>
      <c r="I90" s="5">
        <v>6</v>
      </c>
      <c r="J90" s="5">
        <v>3</v>
      </c>
      <c r="K90" s="5">
        <v>25.333333333333329</v>
      </c>
      <c r="L90" s="5">
        <v>530.66666666666663</v>
      </c>
    </row>
    <row r="91" spans="1:12" x14ac:dyDescent="0.2">
      <c r="A91" t="s">
        <v>964</v>
      </c>
      <c r="B91" s="4">
        <v>60000</v>
      </c>
      <c r="C91" s="4"/>
      <c r="D91" s="4"/>
      <c r="E91" s="4"/>
      <c r="F91" s="4"/>
      <c r="G91" s="4"/>
      <c r="H91" s="4">
        <v>60000</v>
      </c>
      <c r="I91" s="5"/>
      <c r="J91" s="5"/>
      <c r="K91" s="5"/>
      <c r="L91" s="5"/>
    </row>
    <row r="92" spans="1:12" x14ac:dyDescent="0.2">
      <c r="A92" t="s">
        <v>868</v>
      </c>
      <c r="B92" s="4">
        <v>60000</v>
      </c>
      <c r="C92" s="4"/>
      <c r="D92" s="4"/>
      <c r="E92" s="4"/>
      <c r="F92" s="4"/>
      <c r="G92" s="4"/>
      <c r="H92" s="4">
        <v>60000</v>
      </c>
      <c r="I92" s="5"/>
      <c r="J92" s="5"/>
      <c r="K92" s="5"/>
      <c r="L92" s="5"/>
    </row>
    <row r="93" spans="1:12" x14ac:dyDescent="0.2">
      <c r="A93" t="s">
        <v>903</v>
      </c>
      <c r="B93" s="4">
        <v>58000</v>
      </c>
      <c r="C93" s="4"/>
      <c r="D93" s="4"/>
      <c r="E93" s="4"/>
      <c r="F93" s="4"/>
      <c r="G93" s="4"/>
      <c r="H93" s="4">
        <v>58000</v>
      </c>
      <c r="I93" s="5"/>
      <c r="J93" s="5"/>
      <c r="K93" s="5"/>
      <c r="L93" s="5"/>
    </row>
    <row r="94" spans="1:12" x14ac:dyDescent="0.2">
      <c r="A94" t="s">
        <v>947</v>
      </c>
      <c r="B94" s="4">
        <v>57700</v>
      </c>
      <c r="C94" s="4"/>
      <c r="D94" s="4"/>
      <c r="E94" s="4"/>
      <c r="F94" s="4"/>
      <c r="G94" s="4"/>
      <c r="H94" s="4">
        <v>57700</v>
      </c>
      <c r="I94" s="5"/>
      <c r="J94" s="5"/>
      <c r="K94" s="5"/>
      <c r="L94" s="5"/>
    </row>
    <row r="95" spans="1:12" x14ac:dyDescent="0.2">
      <c r="A95" t="s">
        <v>1012</v>
      </c>
      <c r="B95" s="4">
        <v>55000</v>
      </c>
      <c r="C95" s="4"/>
      <c r="D95" s="4"/>
      <c r="E95" s="4"/>
      <c r="F95" s="4"/>
      <c r="G95" s="4"/>
      <c r="H95" s="4">
        <v>55000</v>
      </c>
      <c r="I95" s="5"/>
      <c r="J95" s="5"/>
      <c r="K95" s="5"/>
      <c r="L95" s="5"/>
    </row>
    <row r="96" spans="1:12" x14ac:dyDescent="0.2">
      <c r="A96" t="s">
        <v>670</v>
      </c>
      <c r="B96" s="4">
        <v>50000</v>
      </c>
      <c r="C96" s="4"/>
      <c r="D96" s="4"/>
      <c r="E96" s="4"/>
      <c r="F96" s="4"/>
      <c r="G96" s="4"/>
      <c r="H96" s="4">
        <v>50000</v>
      </c>
      <c r="I96" s="5">
        <v>1</v>
      </c>
      <c r="J96" s="5"/>
      <c r="K96" s="5"/>
      <c r="L96" s="5">
        <v>113</v>
      </c>
    </row>
    <row r="97" spans="1:12" x14ac:dyDescent="0.2">
      <c r="A97" t="s">
        <v>1194</v>
      </c>
      <c r="B97" s="4">
        <v>50000</v>
      </c>
      <c r="C97" s="4"/>
      <c r="D97" s="4"/>
      <c r="E97" s="4"/>
      <c r="F97" s="4"/>
      <c r="G97" s="4"/>
      <c r="H97" s="4">
        <v>50000</v>
      </c>
      <c r="I97" s="5"/>
      <c r="J97" s="5"/>
      <c r="K97" s="5"/>
      <c r="L97" s="5"/>
    </row>
    <row r="98" spans="1:12" x14ac:dyDescent="0.2">
      <c r="A98" t="s">
        <v>814</v>
      </c>
      <c r="B98" s="4">
        <v>48000</v>
      </c>
      <c r="C98" s="4"/>
      <c r="D98" s="4"/>
      <c r="E98" s="4"/>
      <c r="F98" s="4"/>
      <c r="G98" s="4"/>
      <c r="H98" s="4">
        <v>48000</v>
      </c>
      <c r="I98" s="5">
        <v>1</v>
      </c>
      <c r="J98" s="5"/>
      <c r="K98" s="5"/>
      <c r="L98" s="5"/>
    </row>
    <row r="99" spans="1:12" x14ac:dyDescent="0.2">
      <c r="A99" t="s">
        <v>798</v>
      </c>
      <c r="B99" s="4">
        <v>45500</v>
      </c>
      <c r="C99" s="4"/>
      <c r="D99" s="4"/>
      <c r="E99" s="4"/>
      <c r="F99" s="4">
        <v>45500</v>
      </c>
      <c r="G99" s="4"/>
      <c r="H99" s="4"/>
      <c r="I99" s="5">
        <v>2</v>
      </c>
      <c r="J99" s="5"/>
      <c r="K99" s="5"/>
      <c r="L99" s="5">
        <v>9.5</v>
      </c>
    </row>
    <row r="100" spans="1:12" x14ac:dyDescent="0.2">
      <c r="A100" t="s">
        <v>884</v>
      </c>
      <c r="B100" s="4">
        <v>43000</v>
      </c>
      <c r="C100" s="4"/>
      <c r="D100" s="4"/>
      <c r="E100" s="4"/>
      <c r="F100" s="4"/>
      <c r="G100" s="4"/>
      <c r="H100" s="4">
        <v>43000</v>
      </c>
      <c r="I100" s="5"/>
      <c r="J100" s="5"/>
      <c r="K100" s="5"/>
      <c r="L100" s="5"/>
    </row>
    <row r="101" spans="1:12" x14ac:dyDescent="0.2">
      <c r="A101" t="s">
        <v>524</v>
      </c>
      <c r="B101" s="4">
        <v>42000</v>
      </c>
      <c r="C101" s="4"/>
      <c r="D101" s="4"/>
      <c r="E101" s="4"/>
      <c r="F101" s="4"/>
      <c r="G101" s="4"/>
      <c r="H101" s="4">
        <v>42000</v>
      </c>
      <c r="I101" s="5">
        <v>1</v>
      </c>
      <c r="J101" s="5"/>
      <c r="K101" s="5"/>
      <c r="L101" s="5">
        <v>15</v>
      </c>
    </row>
    <row r="102" spans="1:12" x14ac:dyDescent="0.2">
      <c r="A102" t="s">
        <v>855</v>
      </c>
      <c r="B102" s="4">
        <v>40425</v>
      </c>
      <c r="C102" s="4"/>
      <c r="D102" s="4"/>
      <c r="E102" s="4"/>
      <c r="F102" s="4"/>
      <c r="G102" s="4"/>
      <c r="H102" s="4">
        <v>40425</v>
      </c>
      <c r="I102" s="5"/>
      <c r="J102" s="5"/>
      <c r="K102" s="5"/>
      <c r="L102" s="5"/>
    </row>
    <row r="103" spans="1:12" x14ac:dyDescent="0.2">
      <c r="A103" t="s">
        <v>206</v>
      </c>
      <c r="B103" s="4">
        <v>39990</v>
      </c>
      <c r="C103" s="4"/>
      <c r="D103" s="4"/>
      <c r="E103" s="4"/>
      <c r="F103" s="4"/>
      <c r="G103" s="4"/>
      <c r="H103" s="4">
        <v>39990</v>
      </c>
      <c r="I103" s="5">
        <v>2</v>
      </c>
      <c r="J103" s="5"/>
      <c r="K103" s="5"/>
      <c r="L103" s="5"/>
    </row>
    <row r="104" spans="1:12" x14ac:dyDescent="0.2">
      <c r="A104" t="s">
        <v>867</v>
      </c>
      <c r="B104" s="4">
        <v>39264</v>
      </c>
      <c r="C104" s="4"/>
      <c r="D104" s="4"/>
      <c r="E104" s="4"/>
      <c r="F104" s="4"/>
      <c r="G104" s="4"/>
      <c r="H104" s="4">
        <v>39264</v>
      </c>
      <c r="I104" s="5"/>
      <c r="J104" s="5"/>
      <c r="K104" s="5"/>
      <c r="L104" s="5"/>
    </row>
    <row r="105" spans="1:12" x14ac:dyDescent="0.2">
      <c r="A105" t="s">
        <v>926</v>
      </c>
      <c r="B105" s="4">
        <v>38800</v>
      </c>
      <c r="C105" s="4"/>
      <c r="D105" s="4"/>
      <c r="E105" s="4"/>
      <c r="F105" s="4"/>
      <c r="G105" s="4"/>
      <c r="H105" s="4">
        <v>38800</v>
      </c>
      <c r="I105" s="5"/>
      <c r="J105" s="5"/>
      <c r="K105" s="5"/>
      <c r="L105" s="5"/>
    </row>
    <row r="106" spans="1:12" x14ac:dyDescent="0.2">
      <c r="A106" t="s">
        <v>589</v>
      </c>
      <c r="B106" s="4">
        <v>38000</v>
      </c>
      <c r="C106" s="4"/>
      <c r="D106" s="4"/>
      <c r="E106" s="4"/>
      <c r="F106" s="4"/>
      <c r="G106" s="4"/>
      <c r="H106" s="4">
        <v>38000</v>
      </c>
      <c r="I106" s="5">
        <v>1</v>
      </c>
      <c r="J106" s="5">
        <v>1</v>
      </c>
      <c r="K106" s="5">
        <v>43</v>
      </c>
      <c r="L106" s="5">
        <v>409</v>
      </c>
    </row>
    <row r="107" spans="1:12" x14ac:dyDescent="0.2">
      <c r="A107" t="s">
        <v>1187</v>
      </c>
      <c r="B107" s="4">
        <v>38000</v>
      </c>
      <c r="C107" s="4"/>
      <c r="D107" s="4"/>
      <c r="E107" s="4"/>
      <c r="F107" s="4"/>
      <c r="G107" s="4"/>
      <c r="H107" s="4">
        <v>38000</v>
      </c>
      <c r="I107" s="5"/>
      <c r="J107" s="5"/>
      <c r="K107" s="5"/>
      <c r="L107" s="5"/>
    </row>
    <row r="108" spans="1:12" x14ac:dyDescent="0.2">
      <c r="A108" t="s">
        <v>877</v>
      </c>
      <c r="B108" s="4">
        <v>38000</v>
      </c>
      <c r="C108" s="4"/>
      <c r="D108" s="4"/>
      <c r="E108" s="4"/>
      <c r="F108" s="4"/>
      <c r="G108" s="4"/>
      <c r="H108" s="4">
        <v>38000</v>
      </c>
      <c r="I108" s="5"/>
      <c r="J108" s="5"/>
      <c r="K108" s="5"/>
      <c r="L108" s="5"/>
    </row>
    <row r="109" spans="1:12" x14ac:dyDescent="0.2">
      <c r="A109" t="s">
        <v>945</v>
      </c>
      <c r="B109" s="4">
        <v>37600</v>
      </c>
      <c r="C109" s="4"/>
      <c r="D109" s="4"/>
      <c r="E109" s="4"/>
      <c r="F109" s="4"/>
      <c r="G109" s="4"/>
      <c r="H109" s="4">
        <v>37600</v>
      </c>
      <c r="I109" s="5"/>
      <c r="J109" s="5"/>
      <c r="K109" s="5"/>
      <c r="L109" s="5"/>
    </row>
    <row r="110" spans="1:12" x14ac:dyDescent="0.2">
      <c r="A110" t="s">
        <v>951</v>
      </c>
      <c r="B110" s="4">
        <v>36000</v>
      </c>
      <c r="C110" s="4"/>
      <c r="D110" s="4"/>
      <c r="E110" s="4"/>
      <c r="F110" s="4"/>
      <c r="G110" s="4"/>
      <c r="H110" s="4">
        <v>36000</v>
      </c>
      <c r="I110" s="5"/>
      <c r="J110" s="5"/>
      <c r="K110" s="5"/>
      <c r="L110" s="5"/>
    </row>
    <row r="111" spans="1:12" x14ac:dyDescent="0.2">
      <c r="A111" t="s">
        <v>915</v>
      </c>
      <c r="B111" s="4">
        <v>35460</v>
      </c>
      <c r="C111" s="4"/>
      <c r="D111" s="4"/>
      <c r="E111" s="4"/>
      <c r="F111" s="4"/>
      <c r="G111" s="4"/>
      <c r="H111" s="4">
        <v>35460</v>
      </c>
      <c r="I111" s="5"/>
      <c r="J111" s="5"/>
      <c r="K111" s="5"/>
      <c r="L111" s="5"/>
    </row>
    <row r="112" spans="1:12" x14ac:dyDescent="0.2">
      <c r="A112" t="s">
        <v>537</v>
      </c>
      <c r="B112" s="4">
        <v>35000</v>
      </c>
      <c r="C112" s="4"/>
      <c r="D112" s="4"/>
      <c r="E112" s="4"/>
      <c r="F112" s="4"/>
      <c r="G112" s="4"/>
      <c r="H112" s="4">
        <v>35000</v>
      </c>
      <c r="I112" s="5">
        <v>1</v>
      </c>
      <c r="J112" s="5"/>
      <c r="K112" s="5"/>
      <c r="L112" s="5"/>
    </row>
    <row r="113" spans="1:12" x14ac:dyDescent="0.2">
      <c r="A113" t="s">
        <v>569</v>
      </c>
      <c r="B113" s="4">
        <v>34844</v>
      </c>
      <c r="C113" s="4"/>
      <c r="D113" s="4"/>
      <c r="E113" s="4"/>
      <c r="F113" s="4"/>
      <c r="G113" s="4"/>
      <c r="H113" s="4">
        <v>34844</v>
      </c>
      <c r="I113" s="5">
        <v>8</v>
      </c>
      <c r="J113" s="5"/>
      <c r="K113" s="5"/>
      <c r="L113" s="5">
        <v>96</v>
      </c>
    </row>
    <row r="114" spans="1:12" x14ac:dyDescent="0.2">
      <c r="A114" t="s">
        <v>137</v>
      </c>
      <c r="B114" s="4">
        <v>33460</v>
      </c>
      <c r="C114" s="4"/>
      <c r="D114" s="4"/>
      <c r="E114" s="4"/>
      <c r="F114" s="4"/>
      <c r="G114" s="4"/>
      <c r="H114" s="4">
        <v>33460</v>
      </c>
      <c r="I114" s="5">
        <v>1</v>
      </c>
      <c r="J114" s="5"/>
      <c r="K114" s="5"/>
      <c r="L114" s="5"/>
    </row>
    <row r="115" spans="1:12" x14ac:dyDescent="0.2">
      <c r="A115" t="s">
        <v>875</v>
      </c>
      <c r="B115" s="4">
        <v>31327.5</v>
      </c>
      <c r="C115" s="4"/>
      <c r="D115" s="4"/>
      <c r="E115" s="4"/>
      <c r="F115" s="4"/>
      <c r="G115" s="4"/>
      <c r="H115" s="4">
        <v>31327.5</v>
      </c>
      <c r="I115" s="5"/>
      <c r="J115" s="5"/>
      <c r="K115" s="5"/>
      <c r="L115" s="5"/>
    </row>
    <row r="116" spans="1:12" x14ac:dyDescent="0.2">
      <c r="A116" t="s">
        <v>1249</v>
      </c>
      <c r="B116" s="4">
        <v>30000</v>
      </c>
      <c r="C116" s="4"/>
      <c r="D116" s="4"/>
      <c r="E116" s="4"/>
      <c r="F116" s="4"/>
      <c r="G116" s="4"/>
      <c r="H116" s="4">
        <v>30000</v>
      </c>
      <c r="I116" s="5"/>
      <c r="J116" s="5"/>
      <c r="K116" s="5"/>
      <c r="L116" s="5"/>
    </row>
    <row r="117" spans="1:12" x14ac:dyDescent="0.2">
      <c r="A117" t="s">
        <v>328</v>
      </c>
      <c r="B117" s="4">
        <v>29800</v>
      </c>
      <c r="C117" s="4"/>
      <c r="D117" s="4"/>
      <c r="E117" s="4"/>
      <c r="F117" s="4"/>
      <c r="G117" s="4"/>
      <c r="H117" s="4">
        <v>29800</v>
      </c>
      <c r="I117" s="5">
        <v>3</v>
      </c>
      <c r="J117" s="5">
        <v>3</v>
      </c>
      <c r="K117" s="5">
        <v>52.333333333333343</v>
      </c>
      <c r="L117" s="5">
        <v>373</v>
      </c>
    </row>
    <row r="118" spans="1:12" x14ac:dyDescent="0.2">
      <c r="A118" t="s">
        <v>870</v>
      </c>
      <c r="B118" s="4">
        <v>28600</v>
      </c>
      <c r="C118" s="4"/>
      <c r="D118" s="4"/>
      <c r="E118" s="4"/>
      <c r="F118" s="4"/>
      <c r="G118" s="4"/>
      <c r="H118" s="4">
        <v>28600</v>
      </c>
      <c r="I118" s="5"/>
      <c r="J118" s="5"/>
      <c r="K118" s="5"/>
      <c r="L118" s="5"/>
    </row>
    <row r="119" spans="1:12" x14ac:dyDescent="0.2">
      <c r="A119" t="s">
        <v>1158</v>
      </c>
      <c r="B119" s="4">
        <v>28250</v>
      </c>
      <c r="C119" s="4"/>
      <c r="D119" s="4"/>
      <c r="E119" s="4"/>
      <c r="F119" s="4"/>
      <c r="G119" s="4"/>
      <c r="H119" s="4">
        <v>28250</v>
      </c>
      <c r="I119" s="5"/>
      <c r="J119" s="5"/>
      <c r="K119" s="5"/>
      <c r="L119" s="5"/>
    </row>
    <row r="120" spans="1:12" x14ac:dyDescent="0.2">
      <c r="A120" t="s">
        <v>727</v>
      </c>
      <c r="B120" s="4">
        <v>28167</v>
      </c>
      <c r="C120" s="4"/>
      <c r="D120" s="4"/>
      <c r="E120" s="4"/>
      <c r="F120" s="4">
        <v>28167</v>
      </c>
      <c r="G120" s="4"/>
      <c r="H120" s="4"/>
      <c r="I120" s="5">
        <v>1</v>
      </c>
      <c r="J120" s="5"/>
      <c r="K120" s="5"/>
      <c r="L120" s="5">
        <v>120</v>
      </c>
    </row>
    <row r="121" spans="1:12" x14ac:dyDescent="0.2">
      <c r="A121" t="s">
        <v>997</v>
      </c>
      <c r="B121" s="4">
        <v>28150</v>
      </c>
      <c r="C121" s="4"/>
      <c r="D121" s="4"/>
      <c r="E121" s="4"/>
      <c r="F121" s="4"/>
      <c r="G121" s="4"/>
      <c r="H121" s="4">
        <v>28150</v>
      </c>
      <c r="I121" s="5"/>
      <c r="J121" s="5"/>
      <c r="K121" s="5"/>
      <c r="L121" s="5"/>
    </row>
    <row r="122" spans="1:12" x14ac:dyDescent="0.2">
      <c r="A122" t="s">
        <v>900</v>
      </c>
      <c r="B122" s="4">
        <v>28070.079999999991</v>
      </c>
      <c r="C122" s="4"/>
      <c r="D122" s="4"/>
      <c r="E122" s="4"/>
      <c r="F122" s="4"/>
      <c r="G122" s="4"/>
      <c r="H122" s="4">
        <v>28070.079999999991</v>
      </c>
      <c r="I122" s="5"/>
      <c r="J122" s="5"/>
      <c r="K122" s="5"/>
      <c r="L122" s="5"/>
    </row>
    <row r="123" spans="1:12" x14ac:dyDescent="0.2">
      <c r="A123" t="s">
        <v>886</v>
      </c>
      <c r="B123" s="4">
        <v>27590.898275860101</v>
      </c>
      <c r="C123" s="4"/>
      <c r="D123" s="4"/>
      <c r="E123" s="4"/>
      <c r="F123" s="4"/>
      <c r="G123" s="4"/>
      <c r="H123" s="4">
        <v>27590.898275860101</v>
      </c>
      <c r="I123" s="5"/>
      <c r="J123" s="5"/>
      <c r="K123" s="5"/>
      <c r="L123" s="5"/>
    </row>
    <row r="124" spans="1:12" x14ac:dyDescent="0.2">
      <c r="A124" t="s">
        <v>924</v>
      </c>
      <c r="B124" s="4">
        <v>27000</v>
      </c>
      <c r="C124" s="4"/>
      <c r="D124" s="4"/>
      <c r="E124" s="4"/>
      <c r="F124" s="4"/>
      <c r="G124" s="4"/>
      <c r="H124" s="4">
        <v>27000</v>
      </c>
      <c r="I124" s="5"/>
      <c r="J124" s="5"/>
      <c r="K124" s="5"/>
      <c r="L124" s="5"/>
    </row>
    <row r="125" spans="1:12" x14ac:dyDescent="0.2">
      <c r="A125" t="s">
        <v>922</v>
      </c>
      <c r="B125" s="4">
        <v>26400</v>
      </c>
      <c r="C125" s="4"/>
      <c r="D125" s="4"/>
      <c r="E125" s="4"/>
      <c r="F125" s="4"/>
      <c r="G125" s="4"/>
      <c r="H125" s="4">
        <v>26400</v>
      </c>
      <c r="I125" s="5"/>
      <c r="J125" s="5"/>
      <c r="K125" s="5"/>
      <c r="L125" s="5"/>
    </row>
    <row r="126" spans="1:12" x14ac:dyDescent="0.2">
      <c r="A126" t="s">
        <v>1215</v>
      </c>
      <c r="B126" s="4">
        <v>25000</v>
      </c>
      <c r="C126" s="4"/>
      <c r="D126" s="4"/>
      <c r="E126" s="4"/>
      <c r="F126" s="4"/>
      <c r="G126" s="4"/>
      <c r="H126" s="4">
        <v>25000</v>
      </c>
      <c r="I126" s="5"/>
      <c r="J126" s="5"/>
      <c r="K126" s="5"/>
      <c r="L126" s="5"/>
    </row>
    <row r="127" spans="1:12" x14ac:dyDescent="0.2">
      <c r="A127" t="s">
        <v>305</v>
      </c>
      <c r="B127" s="4">
        <v>24964.65</v>
      </c>
      <c r="C127" s="4"/>
      <c r="D127" s="4"/>
      <c r="E127" s="4"/>
      <c r="F127" s="4"/>
      <c r="G127" s="4"/>
      <c r="H127" s="4">
        <v>24964.65</v>
      </c>
      <c r="I127" s="5">
        <v>3</v>
      </c>
      <c r="J127" s="5"/>
      <c r="K127" s="5"/>
      <c r="L127" s="5">
        <v>145.66666666666671</v>
      </c>
    </row>
    <row r="128" spans="1:12" x14ac:dyDescent="0.2">
      <c r="A128" t="s">
        <v>283</v>
      </c>
      <c r="B128" s="4">
        <v>24200</v>
      </c>
      <c r="C128" s="4"/>
      <c r="D128" s="4"/>
      <c r="E128" s="4"/>
      <c r="F128" s="4"/>
      <c r="G128" s="4"/>
      <c r="H128" s="4">
        <v>24200</v>
      </c>
      <c r="I128" s="5">
        <v>7</v>
      </c>
      <c r="J128" s="5">
        <v>2</v>
      </c>
      <c r="K128" s="5">
        <v>361.5</v>
      </c>
      <c r="L128" s="5">
        <v>451.71428571428572</v>
      </c>
    </row>
    <row r="129" spans="1:12" x14ac:dyDescent="0.2">
      <c r="A129" t="s">
        <v>1184</v>
      </c>
      <c r="B129" s="4">
        <v>24000</v>
      </c>
      <c r="C129" s="4"/>
      <c r="D129" s="4"/>
      <c r="E129" s="4"/>
      <c r="F129" s="4"/>
      <c r="G129" s="4"/>
      <c r="H129" s="4">
        <v>24000</v>
      </c>
      <c r="I129" s="5"/>
      <c r="J129" s="5"/>
      <c r="K129" s="5"/>
      <c r="L129" s="5"/>
    </row>
    <row r="130" spans="1:12" x14ac:dyDescent="0.2">
      <c r="A130" t="s">
        <v>731</v>
      </c>
      <c r="B130" s="4">
        <v>22501.799999999901</v>
      </c>
      <c r="C130" s="4"/>
      <c r="D130" s="4"/>
      <c r="E130" s="4"/>
      <c r="F130" s="4"/>
      <c r="G130" s="4"/>
      <c r="H130" s="4">
        <v>22501.799999999901</v>
      </c>
      <c r="I130" s="5">
        <v>1</v>
      </c>
      <c r="J130" s="5"/>
      <c r="K130" s="5"/>
      <c r="L130" s="5">
        <v>17</v>
      </c>
    </row>
    <row r="131" spans="1:12" x14ac:dyDescent="0.2">
      <c r="A131" t="s">
        <v>421</v>
      </c>
      <c r="B131" s="4">
        <v>22000</v>
      </c>
      <c r="C131" s="4"/>
      <c r="D131" s="4"/>
      <c r="E131" s="4"/>
      <c r="F131" s="4"/>
      <c r="G131" s="4"/>
      <c r="H131" s="4">
        <v>22000</v>
      </c>
      <c r="I131" s="5">
        <v>1</v>
      </c>
      <c r="J131" s="5">
        <v>1</v>
      </c>
      <c r="K131" s="5">
        <v>70</v>
      </c>
      <c r="L131" s="5"/>
    </row>
    <row r="132" spans="1:12" x14ac:dyDescent="0.2">
      <c r="A132" t="s">
        <v>755</v>
      </c>
      <c r="B132" s="4">
        <v>21936</v>
      </c>
      <c r="C132" s="4"/>
      <c r="D132" s="4"/>
      <c r="E132" s="4"/>
      <c r="F132" s="4"/>
      <c r="G132" s="4"/>
      <c r="H132" s="4">
        <v>21936</v>
      </c>
      <c r="I132" s="5">
        <v>1</v>
      </c>
      <c r="J132" s="5"/>
      <c r="K132" s="5"/>
      <c r="L132" s="5">
        <v>4</v>
      </c>
    </row>
    <row r="133" spans="1:12" x14ac:dyDescent="0.2">
      <c r="A133" t="s">
        <v>1156</v>
      </c>
      <c r="B133" s="4">
        <v>21659.18</v>
      </c>
      <c r="C133" s="4"/>
      <c r="D133" s="4"/>
      <c r="E133" s="4"/>
      <c r="F133" s="4"/>
      <c r="G133" s="4"/>
      <c r="H133" s="4">
        <v>21659.18</v>
      </c>
      <c r="I133" s="5"/>
      <c r="J133" s="5"/>
      <c r="K133" s="5"/>
      <c r="L133" s="5"/>
    </row>
    <row r="134" spans="1:12" x14ac:dyDescent="0.2">
      <c r="A134" t="s">
        <v>740</v>
      </c>
      <c r="B134" s="4">
        <v>21470</v>
      </c>
      <c r="C134" s="4"/>
      <c r="D134" s="4"/>
      <c r="E134" s="4"/>
      <c r="F134" s="4"/>
      <c r="G134" s="4"/>
      <c r="H134" s="4">
        <v>21470</v>
      </c>
      <c r="I134" s="5">
        <v>4</v>
      </c>
      <c r="J134" s="5"/>
      <c r="K134" s="5"/>
      <c r="L134" s="5">
        <v>11.25</v>
      </c>
    </row>
    <row r="135" spans="1:12" x14ac:dyDescent="0.2">
      <c r="A135" t="s">
        <v>675</v>
      </c>
      <c r="B135" s="4">
        <v>21280</v>
      </c>
      <c r="C135" s="4"/>
      <c r="D135" s="4"/>
      <c r="E135" s="4"/>
      <c r="F135" s="4"/>
      <c r="G135" s="4"/>
      <c r="H135" s="4">
        <v>21280</v>
      </c>
      <c r="I135" s="5">
        <v>1</v>
      </c>
      <c r="J135" s="5"/>
      <c r="K135" s="5"/>
      <c r="L135" s="5">
        <v>56</v>
      </c>
    </row>
    <row r="136" spans="1:12" x14ac:dyDescent="0.2">
      <c r="A136" t="s">
        <v>1119</v>
      </c>
      <c r="B136" s="4">
        <v>20000</v>
      </c>
      <c r="C136" s="4"/>
      <c r="D136" s="4"/>
      <c r="E136" s="4"/>
      <c r="F136" s="4"/>
      <c r="G136" s="4"/>
      <c r="H136" s="4">
        <v>20000</v>
      </c>
      <c r="I136" s="5"/>
      <c r="J136" s="5"/>
      <c r="K136" s="5"/>
      <c r="L136" s="5"/>
    </row>
    <row r="137" spans="1:12" x14ac:dyDescent="0.2">
      <c r="A137" t="s">
        <v>955</v>
      </c>
      <c r="B137" s="4">
        <v>20000</v>
      </c>
      <c r="C137" s="4"/>
      <c r="D137" s="4"/>
      <c r="E137" s="4"/>
      <c r="F137" s="4"/>
      <c r="G137" s="4"/>
      <c r="H137" s="4">
        <v>20000</v>
      </c>
      <c r="I137" s="5"/>
      <c r="J137" s="5"/>
      <c r="K137" s="5"/>
      <c r="L137" s="5"/>
    </row>
    <row r="138" spans="1:12" x14ac:dyDescent="0.2">
      <c r="A138" t="s">
        <v>1007</v>
      </c>
      <c r="B138" s="4">
        <v>20000</v>
      </c>
      <c r="C138" s="4"/>
      <c r="D138" s="4"/>
      <c r="E138" s="4"/>
      <c r="F138" s="4"/>
      <c r="G138" s="4"/>
      <c r="H138" s="4">
        <v>20000</v>
      </c>
      <c r="I138" s="5"/>
      <c r="J138" s="5"/>
      <c r="K138" s="5"/>
      <c r="L138" s="5"/>
    </row>
    <row r="139" spans="1:12" x14ac:dyDescent="0.2">
      <c r="A139" t="s">
        <v>1259</v>
      </c>
      <c r="B139" s="4">
        <v>20000</v>
      </c>
      <c r="C139" s="4"/>
      <c r="D139" s="4"/>
      <c r="E139" s="4"/>
      <c r="F139" s="4"/>
      <c r="G139" s="4"/>
      <c r="H139" s="4">
        <v>20000</v>
      </c>
      <c r="I139" s="5"/>
      <c r="J139" s="5"/>
      <c r="K139" s="5"/>
      <c r="L139" s="5"/>
    </row>
    <row r="140" spans="1:12" x14ac:dyDescent="0.2">
      <c r="A140" t="s">
        <v>152</v>
      </c>
      <c r="B140" s="4">
        <v>19805.004000000001</v>
      </c>
      <c r="C140" s="4"/>
      <c r="D140" s="4"/>
      <c r="E140" s="4"/>
      <c r="F140" s="4"/>
      <c r="G140" s="4"/>
      <c r="H140" s="4">
        <v>19805.004000000001</v>
      </c>
      <c r="I140" s="5">
        <v>2</v>
      </c>
      <c r="J140" s="5">
        <v>2</v>
      </c>
      <c r="K140" s="5">
        <v>48.5</v>
      </c>
      <c r="L140" s="5">
        <v>160</v>
      </c>
    </row>
    <row r="141" spans="1:12" x14ac:dyDescent="0.2">
      <c r="A141" t="s">
        <v>49</v>
      </c>
      <c r="B141" s="4">
        <v>19648.5</v>
      </c>
      <c r="C141" s="4"/>
      <c r="D141" s="4"/>
      <c r="E141" s="4"/>
      <c r="F141" s="4">
        <v>19648.5</v>
      </c>
      <c r="G141" s="4"/>
      <c r="H141" s="4"/>
      <c r="I141" s="5">
        <v>7</v>
      </c>
      <c r="J141" s="5">
        <v>1</v>
      </c>
      <c r="K141" s="5">
        <v>41</v>
      </c>
      <c r="L141" s="5">
        <v>385.71428571428572</v>
      </c>
    </row>
    <row r="142" spans="1:12" x14ac:dyDescent="0.2">
      <c r="A142" t="s">
        <v>734</v>
      </c>
      <c r="B142" s="4">
        <v>18600</v>
      </c>
      <c r="C142" s="4"/>
      <c r="D142" s="4"/>
      <c r="E142" s="4"/>
      <c r="F142" s="4"/>
      <c r="G142" s="4">
        <v>18600</v>
      </c>
      <c r="H142" s="4"/>
      <c r="I142" s="5">
        <v>4</v>
      </c>
      <c r="J142" s="5"/>
      <c r="K142" s="5"/>
      <c r="L142" s="5">
        <v>56.333333333333343</v>
      </c>
    </row>
    <row r="143" spans="1:12" x14ac:dyDescent="0.2">
      <c r="A143" t="s">
        <v>52</v>
      </c>
      <c r="B143" s="4">
        <v>18500</v>
      </c>
      <c r="C143" s="4"/>
      <c r="D143" s="4"/>
      <c r="E143" s="4"/>
      <c r="F143" s="4"/>
      <c r="G143" s="4"/>
      <c r="H143" s="4">
        <v>18500</v>
      </c>
      <c r="I143" s="5">
        <v>2</v>
      </c>
      <c r="J143" s="5"/>
      <c r="K143" s="5"/>
      <c r="L143" s="5">
        <v>414</v>
      </c>
    </row>
    <row r="144" spans="1:12" x14ac:dyDescent="0.2">
      <c r="A144" t="s">
        <v>1014</v>
      </c>
      <c r="B144" s="4">
        <v>18251.2</v>
      </c>
      <c r="C144" s="4"/>
      <c r="D144" s="4"/>
      <c r="E144" s="4"/>
      <c r="F144" s="4"/>
      <c r="G144" s="4"/>
      <c r="H144" s="4">
        <v>18251.2</v>
      </c>
      <c r="I144" s="5"/>
      <c r="J144" s="5"/>
      <c r="K144" s="5"/>
      <c r="L144" s="5"/>
    </row>
    <row r="145" spans="1:12" x14ac:dyDescent="0.2">
      <c r="A145" t="s">
        <v>275</v>
      </c>
      <c r="B145" s="4">
        <v>18000</v>
      </c>
      <c r="C145" s="4"/>
      <c r="D145" s="4"/>
      <c r="E145" s="4"/>
      <c r="F145" s="4"/>
      <c r="G145" s="4"/>
      <c r="H145" s="4">
        <v>18000</v>
      </c>
      <c r="I145" s="5">
        <v>3</v>
      </c>
      <c r="J145" s="5">
        <v>1</v>
      </c>
      <c r="K145" s="5">
        <v>6</v>
      </c>
      <c r="L145" s="5"/>
    </row>
    <row r="146" spans="1:12" x14ac:dyDescent="0.2">
      <c r="A146" t="s">
        <v>753</v>
      </c>
      <c r="B146" s="4">
        <v>18000</v>
      </c>
      <c r="C146" s="4"/>
      <c r="D146" s="4"/>
      <c r="E146" s="4"/>
      <c r="F146" s="4"/>
      <c r="G146" s="4"/>
      <c r="H146" s="4">
        <v>18000</v>
      </c>
      <c r="I146" s="5">
        <v>1</v>
      </c>
      <c r="J146" s="5"/>
      <c r="K146" s="5"/>
      <c r="L146" s="5">
        <v>58</v>
      </c>
    </row>
    <row r="147" spans="1:12" x14ac:dyDescent="0.2">
      <c r="A147" t="s">
        <v>1165</v>
      </c>
      <c r="B147" s="4">
        <v>17016.580000000002</v>
      </c>
      <c r="C147" s="4"/>
      <c r="D147" s="4"/>
      <c r="E147" s="4"/>
      <c r="F147" s="4"/>
      <c r="G147" s="4"/>
      <c r="H147" s="4">
        <v>17016.580000000002</v>
      </c>
      <c r="I147" s="5"/>
      <c r="J147" s="5"/>
      <c r="K147" s="5"/>
      <c r="L147" s="5"/>
    </row>
    <row r="148" spans="1:12" x14ac:dyDescent="0.2">
      <c r="A148" t="s">
        <v>996</v>
      </c>
      <c r="B148" s="4">
        <v>16817.68</v>
      </c>
      <c r="C148" s="4"/>
      <c r="D148" s="4"/>
      <c r="E148" s="4"/>
      <c r="F148" s="4"/>
      <c r="G148" s="4"/>
      <c r="H148" s="4">
        <v>16817.68</v>
      </c>
      <c r="I148" s="5"/>
      <c r="J148" s="5"/>
      <c r="K148" s="5"/>
      <c r="L148" s="5"/>
    </row>
    <row r="149" spans="1:12" x14ac:dyDescent="0.2">
      <c r="A149" t="s">
        <v>719</v>
      </c>
      <c r="B149" s="4">
        <v>16144</v>
      </c>
      <c r="C149" s="4"/>
      <c r="D149" s="4"/>
      <c r="E149" s="4"/>
      <c r="F149" s="4"/>
      <c r="G149" s="4"/>
      <c r="H149" s="4">
        <v>16144</v>
      </c>
      <c r="I149" s="5">
        <v>1</v>
      </c>
      <c r="J149" s="5"/>
      <c r="K149" s="5"/>
      <c r="L149" s="5">
        <v>13</v>
      </c>
    </row>
    <row r="150" spans="1:12" x14ac:dyDescent="0.2">
      <c r="A150" t="s">
        <v>647</v>
      </c>
      <c r="B150" s="4">
        <v>16000</v>
      </c>
      <c r="C150" s="4"/>
      <c r="D150" s="4"/>
      <c r="E150" s="4"/>
      <c r="F150" s="4"/>
      <c r="G150" s="4"/>
      <c r="H150" s="4">
        <v>16000</v>
      </c>
      <c r="I150" s="5">
        <v>5</v>
      </c>
      <c r="J150" s="5">
        <v>3</v>
      </c>
      <c r="K150" s="5"/>
      <c r="L150" s="5">
        <v>24.8</v>
      </c>
    </row>
    <row r="151" spans="1:12" x14ac:dyDescent="0.2">
      <c r="A151" t="s">
        <v>423</v>
      </c>
      <c r="B151" s="4">
        <v>16000</v>
      </c>
      <c r="C151" s="4"/>
      <c r="D151" s="4"/>
      <c r="E151" s="4"/>
      <c r="F151" s="4"/>
      <c r="G151" s="4"/>
      <c r="H151" s="4">
        <v>16000</v>
      </c>
      <c r="I151" s="5">
        <v>1</v>
      </c>
      <c r="J151" s="5">
        <v>1</v>
      </c>
      <c r="K151" s="5">
        <v>24</v>
      </c>
      <c r="L151" s="5"/>
    </row>
    <row r="152" spans="1:12" x14ac:dyDescent="0.2">
      <c r="A152" t="s">
        <v>979</v>
      </c>
      <c r="B152" s="4">
        <v>16000</v>
      </c>
      <c r="C152" s="4"/>
      <c r="D152" s="4"/>
      <c r="E152" s="4"/>
      <c r="F152" s="4"/>
      <c r="G152" s="4"/>
      <c r="H152" s="4">
        <v>16000</v>
      </c>
      <c r="I152" s="5"/>
      <c r="J152" s="5"/>
      <c r="K152" s="5"/>
      <c r="L152" s="5"/>
    </row>
    <row r="153" spans="1:12" x14ac:dyDescent="0.2">
      <c r="A153" t="s">
        <v>960</v>
      </c>
      <c r="B153" s="4">
        <v>15800</v>
      </c>
      <c r="C153" s="4"/>
      <c r="D153" s="4"/>
      <c r="E153" s="4"/>
      <c r="F153" s="4"/>
      <c r="G153" s="4"/>
      <c r="H153" s="4">
        <v>15800</v>
      </c>
      <c r="I153" s="5"/>
      <c r="J153" s="5"/>
      <c r="K153" s="5"/>
      <c r="L153" s="5"/>
    </row>
    <row r="154" spans="1:12" x14ac:dyDescent="0.2">
      <c r="A154" t="s">
        <v>1096</v>
      </c>
      <c r="B154" s="4">
        <v>15500</v>
      </c>
      <c r="C154" s="4"/>
      <c r="D154" s="4"/>
      <c r="E154" s="4"/>
      <c r="F154" s="4"/>
      <c r="G154" s="4"/>
      <c r="H154" s="4">
        <v>15500</v>
      </c>
      <c r="I154" s="5"/>
      <c r="J154" s="5"/>
      <c r="K154" s="5"/>
      <c r="L154" s="5"/>
    </row>
    <row r="155" spans="1:12" x14ac:dyDescent="0.2">
      <c r="A155" t="s">
        <v>977</v>
      </c>
      <c r="B155" s="4">
        <v>14800</v>
      </c>
      <c r="C155" s="4"/>
      <c r="D155" s="4"/>
      <c r="E155" s="4"/>
      <c r="F155" s="4"/>
      <c r="G155" s="4"/>
      <c r="H155" s="4">
        <v>14800</v>
      </c>
      <c r="I155" s="5"/>
      <c r="J155" s="5"/>
      <c r="K155" s="5"/>
      <c r="L155" s="5"/>
    </row>
    <row r="156" spans="1:12" x14ac:dyDescent="0.2">
      <c r="A156" t="s">
        <v>1164</v>
      </c>
      <c r="B156" s="4">
        <v>14655</v>
      </c>
      <c r="C156" s="4"/>
      <c r="D156" s="4"/>
      <c r="E156" s="4"/>
      <c r="F156" s="4"/>
      <c r="G156" s="4"/>
      <c r="H156" s="4">
        <v>14655</v>
      </c>
      <c r="I156" s="5"/>
      <c r="J156" s="5"/>
      <c r="K156" s="5"/>
      <c r="L156" s="5"/>
    </row>
    <row r="157" spans="1:12" x14ac:dyDescent="0.2">
      <c r="A157" t="s">
        <v>992</v>
      </c>
      <c r="B157" s="4">
        <v>14650</v>
      </c>
      <c r="C157" s="4"/>
      <c r="D157" s="4"/>
      <c r="E157" s="4"/>
      <c r="F157" s="4"/>
      <c r="G157" s="4"/>
      <c r="H157" s="4">
        <v>14650</v>
      </c>
      <c r="I157" s="5"/>
      <c r="J157" s="5"/>
      <c r="K157" s="5"/>
      <c r="L157" s="5"/>
    </row>
    <row r="158" spans="1:12" x14ac:dyDescent="0.2">
      <c r="A158" t="s">
        <v>1153</v>
      </c>
      <c r="B158" s="4">
        <v>14500</v>
      </c>
      <c r="C158" s="4"/>
      <c r="D158" s="4"/>
      <c r="E158" s="4"/>
      <c r="F158" s="4"/>
      <c r="G158" s="4"/>
      <c r="H158" s="4">
        <v>14500</v>
      </c>
      <c r="I158" s="5"/>
      <c r="J158" s="5"/>
      <c r="K158" s="5"/>
      <c r="L158" s="5"/>
    </row>
    <row r="159" spans="1:12" x14ac:dyDescent="0.2">
      <c r="A159" t="s">
        <v>1145</v>
      </c>
      <c r="B159" s="4">
        <v>14098.772999999999</v>
      </c>
      <c r="C159" s="4"/>
      <c r="D159" s="4"/>
      <c r="E159" s="4"/>
      <c r="F159" s="4"/>
      <c r="G159" s="4"/>
      <c r="H159" s="4">
        <v>14098.772999999999</v>
      </c>
      <c r="I159" s="5"/>
      <c r="J159" s="5"/>
      <c r="K159" s="5"/>
      <c r="L159" s="5"/>
    </row>
    <row r="160" spans="1:12" x14ac:dyDescent="0.2">
      <c r="A160" t="s">
        <v>1230</v>
      </c>
      <c r="B160" s="4">
        <v>14000</v>
      </c>
      <c r="C160" s="4"/>
      <c r="D160" s="4"/>
      <c r="E160" s="4"/>
      <c r="F160" s="4"/>
      <c r="G160" s="4"/>
      <c r="H160" s="4">
        <v>14000</v>
      </c>
      <c r="I160" s="5"/>
      <c r="J160" s="5"/>
      <c r="K160" s="5"/>
      <c r="L160" s="5"/>
    </row>
    <row r="161" spans="1:12" x14ac:dyDescent="0.2">
      <c r="A161" t="s">
        <v>1179</v>
      </c>
      <c r="B161" s="4">
        <v>13875.71</v>
      </c>
      <c r="C161" s="4"/>
      <c r="D161" s="4"/>
      <c r="E161" s="4"/>
      <c r="F161" s="4"/>
      <c r="G161" s="4"/>
      <c r="H161" s="4">
        <v>13875.71</v>
      </c>
      <c r="I161" s="5"/>
      <c r="J161" s="5"/>
      <c r="K161" s="5"/>
      <c r="L161" s="5"/>
    </row>
    <row r="162" spans="1:12" x14ac:dyDescent="0.2">
      <c r="A162" t="s">
        <v>770</v>
      </c>
      <c r="B162" s="4">
        <v>13200</v>
      </c>
      <c r="C162" s="4"/>
      <c r="D162" s="4"/>
      <c r="E162" s="4"/>
      <c r="F162" s="4"/>
      <c r="G162" s="4">
        <v>13200</v>
      </c>
      <c r="H162" s="4"/>
      <c r="I162" s="5">
        <v>1</v>
      </c>
      <c r="J162" s="5"/>
      <c r="K162" s="5"/>
      <c r="L162" s="5">
        <v>105</v>
      </c>
    </row>
    <row r="163" spans="1:12" x14ac:dyDescent="0.2">
      <c r="A163" t="s">
        <v>1160</v>
      </c>
      <c r="B163" s="4">
        <v>13047.95999999999</v>
      </c>
      <c r="C163" s="4"/>
      <c r="D163" s="4"/>
      <c r="E163" s="4"/>
      <c r="F163" s="4"/>
      <c r="G163" s="4"/>
      <c r="H163" s="4">
        <v>13047.95999999999</v>
      </c>
      <c r="I163" s="5"/>
      <c r="J163" s="5"/>
      <c r="K163" s="5"/>
      <c r="L163" s="5"/>
    </row>
    <row r="164" spans="1:12" x14ac:dyDescent="0.2">
      <c r="A164" t="s">
        <v>36</v>
      </c>
      <c r="B164" s="4">
        <v>13000</v>
      </c>
      <c r="C164" s="4"/>
      <c r="D164" s="4"/>
      <c r="E164" s="4"/>
      <c r="F164" s="4"/>
      <c r="G164" s="4"/>
      <c r="H164" s="4">
        <v>13000</v>
      </c>
      <c r="I164" s="5">
        <v>14</v>
      </c>
      <c r="J164" s="5">
        <v>1</v>
      </c>
      <c r="K164" s="5">
        <v>352</v>
      </c>
      <c r="L164" s="5">
        <v>115.0714285714286</v>
      </c>
    </row>
    <row r="165" spans="1:12" x14ac:dyDescent="0.2">
      <c r="A165" t="s">
        <v>482</v>
      </c>
      <c r="B165" s="4">
        <v>12236</v>
      </c>
      <c r="C165" s="4"/>
      <c r="D165" s="4"/>
      <c r="E165" s="4"/>
      <c r="F165" s="4"/>
      <c r="G165" s="4"/>
      <c r="H165" s="4">
        <v>12236</v>
      </c>
      <c r="I165" s="5">
        <v>3</v>
      </c>
      <c r="J165" s="5">
        <v>1</v>
      </c>
      <c r="K165" s="5">
        <v>65</v>
      </c>
      <c r="L165" s="5">
        <v>230</v>
      </c>
    </row>
    <row r="166" spans="1:12" x14ac:dyDescent="0.2">
      <c r="A166" t="s">
        <v>85</v>
      </c>
      <c r="B166" s="4">
        <v>12175</v>
      </c>
      <c r="C166" s="4"/>
      <c r="D166" s="4"/>
      <c r="E166" s="4"/>
      <c r="F166" s="4"/>
      <c r="G166" s="4"/>
      <c r="H166" s="4">
        <v>12175</v>
      </c>
      <c r="I166" s="5">
        <v>4</v>
      </c>
      <c r="J166" s="5">
        <v>1</v>
      </c>
      <c r="K166" s="5">
        <v>34</v>
      </c>
      <c r="L166" s="5">
        <v>289</v>
      </c>
    </row>
    <row r="167" spans="1:12" x14ac:dyDescent="0.2">
      <c r="A167" t="s">
        <v>880</v>
      </c>
      <c r="B167" s="4">
        <v>12000</v>
      </c>
      <c r="C167" s="4"/>
      <c r="D167" s="4"/>
      <c r="E167" s="4">
        <v>12000</v>
      </c>
      <c r="F167" s="4"/>
      <c r="G167" s="4"/>
      <c r="H167" s="4"/>
      <c r="I167" s="5"/>
      <c r="J167" s="5"/>
      <c r="K167" s="5"/>
      <c r="L167" s="5"/>
    </row>
    <row r="168" spans="1:12" x14ac:dyDescent="0.2">
      <c r="A168" t="s">
        <v>1076</v>
      </c>
      <c r="B168" s="4">
        <v>12000</v>
      </c>
      <c r="C168" s="4"/>
      <c r="D168" s="4"/>
      <c r="E168" s="4"/>
      <c r="F168" s="4"/>
      <c r="G168" s="4"/>
      <c r="H168" s="4">
        <v>12000</v>
      </c>
      <c r="I168" s="5"/>
      <c r="J168" s="5"/>
      <c r="K168" s="5"/>
      <c r="L168" s="5"/>
    </row>
    <row r="169" spans="1:12" x14ac:dyDescent="0.2">
      <c r="A169" t="s">
        <v>502</v>
      </c>
      <c r="B169" s="4">
        <v>10927</v>
      </c>
      <c r="C169" s="4"/>
      <c r="D169" s="4"/>
      <c r="E169" s="4"/>
      <c r="F169" s="4"/>
      <c r="G169" s="4">
        <v>6000</v>
      </c>
      <c r="H169" s="4">
        <v>4927</v>
      </c>
      <c r="I169" s="5">
        <v>6</v>
      </c>
      <c r="J169" s="5"/>
      <c r="K169" s="5"/>
      <c r="L169" s="5">
        <v>261</v>
      </c>
    </row>
    <row r="170" spans="1:12" x14ac:dyDescent="0.2">
      <c r="A170" t="s">
        <v>463</v>
      </c>
      <c r="B170" s="4">
        <v>10500</v>
      </c>
      <c r="C170" s="4"/>
      <c r="D170" s="4"/>
      <c r="E170" s="4"/>
      <c r="F170" s="4"/>
      <c r="G170" s="4"/>
      <c r="H170" s="4">
        <v>10500</v>
      </c>
      <c r="I170" s="5">
        <v>4</v>
      </c>
      <c r="J170" s="5">
        <v>1</v>
      </c>
      <c r="K170" s="5">
        <v>212</v>
      </c>
      <c r="L170" s="5">
        <v>96.25</v>
      </c>
    </row>
    <row r="171" spans="1:12" x14ac:dyDescent="0.2">
      <c r="A171" t="s">
        <v>1033</v>
      </c>
      <c r="B171" s="4">
        <v>10125</v>
      </c>
      <c r="C171" s="4"/>
      <c r="D171" s="4"/>
      <c r="E171" s="4"/>
      <c r="F171" s="4"/>
      <c r="G171" s="4"/>
      <c r="H171" s="4">
        <v>10125</v>
      </c>
      <c r="I171" s="5"/>
      <c r="J171" s="5"/>
      <c r="K171" s="5"/>
      <c r="L171" s="5"/>
    </row>
    <row r="172" spans="1:12" x14ac:dyDescent="0.2">
      <c r="A172" t="s">
        <v>173</v>
      </c>
      <c r="B172" s="4">
        <v>10000</v>
      </c>
      <c r="C172" s="4"/>
      <c r="D172" s="4"/>
      <c r="E172" s="4"/>
      <c r="F172" s="4"/>
      <c r="G172" s="4"/>
      <c r="H172" s="4">
        <v>10000</v>
      </c>
      <c r="I172" s="5">
        <v>1</v>
      </c>
      <c r="J172" s="5">
        <v>1</v>
      </c>
      <c r="K172" s="5">
        <v>25</v>
      </c>
      <c r="L172" s="5"/>
    </row>
    <row r="173" spans="1:12" x14ac:dyDescent="0.2">
      <c r="A173" t="s">
        <v>1001</v>
      </c>
      <c r="B173" s="4">
        <v>10000</v>
      </c>
      <c r="C173" s="4"/>
      <c r="D173" s="4"/>
      <c r="E173" s="4"/>
      <c r="F173" s="4"/>
      <c r="G173" s="4"/>
      <c r="H173" s="4">
        <v>10000</v>
      </c>
      <c r="I173" s="5"/>
      <c r="J173" s="5"/>
      <c r="K173" s="5"/>
      <c r="L173" s="5"/>
    </row>
    <row r="174" spans="1:12" x14ac:dyDescent="0.2">
      <c r="A174" t="s">
        <v>1181</v>
      </c>
      <c r="B174" s="4">
        <v>10000</v>
      </c>
      <c r="C174" s="4"/>
      <c r="D174" s="4"/>
      <c r="E174" s="4"/>
      <c r="F174" s="4"/>
      <c r="G174" s="4"/>
      <c r="H174" s="4">
        <v>10000</v>
      </c>
      <c r="I174" s="5"/>
      <c r="J174" s="5"/>
      <c r="K174" s="5"/>
      <c r="L174" s="5"/>
    </row>
    <row r="175" spans="1:12" x14ac:dyDescent="0.2">
      <c r="A175" t="s">
        <v>1228</v>
      </c>
      <c r="B175" s="4">
        <v>9900</v>
      </c>
      <c r="C175" s="4"/>
      <c r="D175" s="4"/>
      <c r="E175" s="4"/>
      <c r="F175" s="4"/>
      <c r="G175" s="4"/>
      <c r="H175" s="4">
        <v>9900</v>
      </c>
      <c r="I175" s="5"/>
      <c r="J175" s="5"/>
      <c r="K175" s="5"/>
      <c r="L175" s="5"/>
    </row>
    <row r="176" spans="1:12" x14ac:dyDescent="0.2">
      <c r="A176" t="s">
        <v>1242</v>
      </c>
      <c r="B176" s="4">
        <v>9705</v>
      </c>
      <c r="C176" s="4"/>
      <c r="D176" s="4"/>
      <c r="E176" s="4"/>
      <c r="F176" s="4"/>
      <c r="G176" s="4"/>
      <c r="H176" s="4">
        <v>9705</v>
      </c>
      <c r="I176" s="5"/>
      <c r="J176" s="5"/>
      <c r="K176" s="5"/>
      <c r="L176" s="5"/>
    </row>
    <row r="177" spans="1:12" x14ac:dyDescent="0.2">
      <c r="A177" t="s">
        <v>1233</v>
      </c>
      <c r="B177" s="4">
        <v>9520</v>
      </c>
      <c r="C177" s="4"/>
      <c r="D177" s="4"/>
      <c r="E177" s="4"/>
      <c r="F177" s="4"/>
      <c r="G177" s="4"/>
      <c r="H177" s="4">
        <v>9520</v>
      </c>
      <c r="I177" s="5"/>
      <c r="J177" s="5"/>
      <c r="K177" s="5"/>
      <c r="L177" s="5"/>
    </row>
    <row r="178" spans="1:12" x14ac:dyDescent="0.2">
      <c r="A178" t="s">
        <v>1219</v>
      </c>
      <c r="B178" s="4">
        <v>9200</v>
      </c>
      <c r="C178" s="4"/>
      <c r="D178" s="4"/>
      <c r="E178" s="4"/>
      <c r="F178" s="4"/>
      <c r="G178" s="4"/>
      <c r="H178" s="4">
        <v>9200</v>
      </c>
      <c r="I178" s="5"/>
      <c r="J178" s="5"/>
      <c r="K178" s="5"/>
      <c r="L178" s="5"/>
    </row>
    <row r="179" spans="1:12" x14ac:dyDescent="0.2">
      <c r="A179" t="s">
        <v>248</v>
      </c>
      <c r="B179" s="4">
        <v>8988</v>
      </c>
      <c r="C179" s="4"/>
      <c r="D179" s="4"/>
      <c r="E179" s="4"/>
      <c r="F179" s="4"/>
      <c r="G179" s="4"/>
      <c r="H179" s="4">
        <v>8988</v>
      </c>
      <c r="I179" s="5">
        <v>2</v>
      </c>
      <c r="J179" s="5">
        <v>2</v>
      </c>
      <c r="K179" s="5">
        <v>46</v>
      </c>
      <c r="L179" s="5">
        <v>224</v>
      </c>
    </row>
    <row r="180" spans="1:12" x14ac:dyDescent="0.2">
      <c r="A180" t="s">
        <v>1207</v>
      </c>
      <c r="B180" s="4">
        <v>8800</v>
      </c>
      <c r="C180" s="4"/>
      <c r="D180" s="4"/>
      <c r="E180" s="4"/>
      <c r="F180" s="4"/>
      <c r="G180" s="4"/>
      <c r="H180" s="4">
        <v>8800</v>
      </c>
      <c r="I180" s="5"/>
      <c r="J180" s="5"/>
      <c r="K180" s="5"/>
      <c r="L180" s="5"/>
    </row>
    <row r="181" spans="1:12" x14ac:dyDescent="0.2">
      <c r="A181" t="s">
        <v>1080</v>
      </c>
      <c r="B181" s="4">
        <v>8600</v>
      </c>
      <c r="C181" s="4"/>
      <c r="D181" s="4"/>
      <c r="E181" s="4"/>
      <c r="F181" s="4"/>
      <c r="G181" s="4"/>
      <c r="H181" s="4">
        <v>8600</v>
      </c>
      <c r="I181" s="5"/>
      <c r="J181" s="5"/>
      <c r="K181" s="5"/>
      <c r="L181" s="5"/>
    </row>
    <row r="182" spans="1:12" x14ac:dyDescent="0.2">
      <c r="A182" t="s">
        <v>918</v>
      </c>
      <c r="B182" s="4">
        <v>8300</v>
      </c>
      <c r="C182" s="4"/>
      <c r="D182" s="4"/>
      <c r="E182" s="4"/>
      <c r="F182" s="4"/>
      <c r="G182" s="4"/>
      <c r="H182" s="4">
        <v>8300</v>
      </c>
      <c r="I182" s="5"/>
      <c r="J182" s="5"/>
      <c r="K182" s="5"/>
      <c r="L182" s="5"/>
    </row>
    <row r="183" spans="1:12" x14ac:dyDescent="0.2">
      <c r="A183" t="s">
        <v>373</v>
      </c>
      <c r="B183" s="4">
        <v>8280</v>
      </c>
      <c r="C183" s="4"/>
      <c r="D183" s="4"/>
      <c r="E183" s="4"/>
      <c r="F183" s="4"/>
      <c r="G183" s="4"/>
      <c r="H183" s="4">
        <v>8280</v>
      </c>
      <c r="I183" s="5">
        <v>6</v>
      </c>
      <c r="J183" s="5"/>
      <c r="K183" s="5"/>
      <c r="L183" s="5">
        <v>146</v>
      </c>
    </row>
    <row r="184" spans="1:12" x14ac:dyDescent="0.2">
      <c r="A184" t="s">
        <v>958</v>
      </c>
      <c r="B184" s="4">
        <v>8160</v>
      </c>
      <c r="C184" s="4"/>
      <c r="D184" s="4"/>
      <c r="E184" s="4"/>
      <c r="F184" s="4"/>
      <c r="G184" s="4"/>
      <c r="H184" s="4">
        <v>8160</v>
      </c>
      <c r="I184" s="5"/>
      <c r="J184" s="5"/>
      <c r="K184" s="5"/>
      <c r="L184" s="5"/>
    </row>
    <row r="185" spans="1:12" x14ac:dyDescent="0.2">
      <c r="A185" t="s">
        <v>290</v>
      </c>
      <c r="B185" s="4">
        <v>8000</v>
      </c>
      <c r="C185" s="4"/>
      <c r="D185" s="4"/>
      <c r="E185" s="4"/>
      <c r="F185" s="4"/>
      <c r="G185" s="4"/>
      <c r="H185" s="4">
        <v>8000</v>
      </c>
      <c r="I185" s="5">
        <v>7</v>
      </c>
      <c r="J185" s="5"/>
      <c r="K185" s="5"/>
      <c r="L185" s="5">
        <v>368.57142857142861</v>
      </c>
    </row>
    <row r="186" spans="1:12" x14ac:dyDescent="0.2">
      <c r="A186" t="s">
        <v>933</v>
      </c>
      <c r="B186" s="4">
        <v>7800</v>
      </c>
      <c r="C186" s="4"/>
      <c r="D186" s="4"/>
      <c r="E186" s="4"/>
      <c r="F186" s="4"/>
      <c r="G186" s="4"/>
      <c r="H186" s="4">
        <v>7800</v>
      </c>
      <c r="I186" s="5"/>
      <c r="J186" s="5"/>
      <c r="K186" s="5"/>
      <c r="L186" s="5"/>
    </row>
    <row r="187" spans="1:12" x14ac:dyDescent="0.2">
      <c r="A187" t="s">
        <v>847</v>
      </c>
      <c r="B187" s="4">
        <v>7707</v>
      </c>
      <c r="C187" s="4"/>
      <c r="D187" s="4"/>
      <c r="E187" s="4"/>
      <c r="F187" s="4"/>
      <c r="G187" s="4"/>
      <c r="H187" s="4">
        <v>7707</v>
      </c>
      <c r="I187" s="5"/>
      <c r="J187" s="5"/>
      <c r="K187" s="5"/>
      <c r="L187" s="5"/>
    </row>
    <row r="188" spans="1:12" x14ac:dyDescent="0.2">
      <c r="A188" t="s">
        <v>776</v>
      </c>
      <c r="B188" s="4">
        <v>7500</v>
      </c>
      <c r="C188" s="4"/>
      <c r="D188" s="4"/>
      <c r="E188" s="4"/>
      <c r="F188" s="4"/>
      <c r="G188" s="4"/>
      <c r="H188" s="4">
        <v>7500</v>
      </c>
      <c r="I188" s="5">
        <v>1</v>
      </c>
      <c r="J188" s="5"/>
      <c r="K188" s="5"/>
      <c r="L188" s="5">
        <v>80</v>
      </c>
    </row>
    <row r="189" spans="1:12" x14ac:dyDescent="0.2">
      <c r="A189" t="s">
        <v>920</v>
      </c>
      <c r="B189" s="4">
        <v>7500</v>
      </c>
      <c r="C189" s="4"/>
      <c r="D189" s="4"/>
      <c r="E189" s="4"/>
      <c r="F189" s="4"/>
      <c r="G189" s="4"/>
      <c r="H189" s="4">
        <v>7500</v>
      </c>
      <c r="I189" s="5"/>
      <c r="J189" s="5"/>
      <c r="K189" s="5"/>
      <c r="L189" s="5"/>
    </row>
    <row r="190" spans="1:12" x14ac:dyDescent="0.2">
      <c r="A190" t="s">
        <v>779</v>
      </c>
      <c r="B190" s="4">
        <v>7377.5</v>
      </c>
      <c r="C190" s="4"/>
      <c r="D190" s="4"/>
      <c r="E190" s="4"/>
      <c r="F190" s="4">
        <v>7377.5</v>
      </c>
      <c r="G190" s="4"/>
      <c r="H190" s="4"/>
      <c r="I190" s="5">
        <v>1</v>
      </c>
      <c r="J190" s="5"/>
      <c r="K190" s="5"/>
      <c r="L190" s="5">
        <v>36</v>
      </c>
    </row>
    <row r="191" spans="1:12" x14ac:dyDescent="0.2">
      <c r="A191" t="s">
        <v>1247</v>
      </c>
      <c r="B191" s="4">
        <v>7310.3999999999896</v>
      </c>
      <c r="C191" s="4"/>
      <c r="D191" s="4"/>
      <c r="E191" s="4"/>
      <c r="F191" s="4"/>
      <c r="G191" s="4"/>
      <c r="H191" s="4">
        <v>7310.3999999999896</v>
      </c>
      <c r="I191" s="5"/>
      <c r="J191" s="5"/>
      <c r="K191" s="5"/>
      <c r="L191" s="5"/>
    </row>
    <row r="192" spans="1:12" x14ac:dyDescent="0.2">
      <c r="A192" t="s">
        <v>1182</v>
      </c>
      <c r="B192" s="4">
        <v>7079</v>
      </c>
      <c r="C192" s="4"/>
      <c r="D192" s="4"/>
      <c r="E192" s="4"/>
      <c r="F192" s="4"/>
      <c r="G192" s="4"/>
      <c r="H192" s="4">
        <v>7079</v>
      </c>
      <c r="I192" s="5"/>
      <c r="J192" s="5"/>
      <c r="K192" s="5"/>
      <c r="L192" s="5"/>
    </row>
    <row r="193" spans="1:12" x14ac:dyDescent="0.2">
      <c r="A193" t="s">
        <v>1061</v>
      </c>
      <c r="B193" s="4">
        <v>7000</v>
      </c>
      <c r="C193" s="4"/>
      <c r="D193" s="4"/>
      <c r="E193" s="4"/>
      <c r="F193" s="4"/>
      <c r="G193" s="4"/>
      <c r="H193" s="4">
        <v>7000</v>
      </c>
      <c r="I193" s="5"/>
      <c r="J193" s="5"/>
      <c r="K193" s="5"/>
      <c r="L193" s="5"/>
    </row>
    <row r="194" spans="1:12" x14ac:dyDescent="0.2">
      <c r="A194" t="s">
        <v>294</v>
      </c>
      <c r="B194" s="4">
        <v>6600.0039823008992</v>
      </c>
      <c r="C194" s="4"/>
      <c r="D194" s="4"/>
      <c r="E194" s="4"/>
      <c r="F194" s="4"/>
      <c r="G194" s="4"/>
      <c r="H194" s="4">
        <v>6600.0039823008992</v>
      </c>
      <c r="I194" s="5">
        <v>1</v>
      </c>
      <c r="J194" s="5">
        <v>1</v>
      </c>
      <c r="K194" s="5">
        <v>334</v>
      </c>
      <c r="L194" s="5">
        <v>487</v>
      </c>
    </row>
    <row r="195" spans="1:12" x14ac:dyDescent="0.2">
      <c r="A195" t="s">
        <v>1211</v>
      </c>
      <c r="B195" s="4">
        <v>6400</v>
      </c>
      <c r="C195" s="4"/>
      <c r="D195" s="4"/>
      <c r="E195" s="4"/>
      <c r="F195" s="4"/>
      <c r="G195" s="4"/>
      <c r="H195" s="4">
        <v>6400</v>
      </c>
      <c r="I195" s="5"/>
      <c r="J195" s="5"/>
      <c r="K195" s="5"/>
      <c r="L195" s="5"/>
    </row>
    <row r="196" spans="1:12" x14ac:dyDescent="0.2">
      <c r="A196" t="s">
        <v>1044</v>
      </c>
      <c r="B196" s="4">
        <v>6250</v>
      </c>
      <c r="C196" s="4"/>
      <c r="D196" s="4"/>
      <c r="E196" s="4"/>
      <c r="F196" s="4"/>
      <c r="G196" s="4"/>
      <c r="H196" s="4">
        <v>6250</v>
      </c>
      <c r="I196" s="5"/>
      <c r="J196" s="5"/>
      <c r="K196" s="5"/>
      <c r="L196" s="5"/>
    </row>
    <row r="197" spans="1:12" x14ac:dyDescent="0.2">
      <c r="A197" t="s">
        <v>966</v>
      </c>
      <c r="B197" s="4">
        <v>6000</v>
      </c>
      <c r="C197" s="4"/>
      <c r="D197" s="4"/>
      <c r="E197" s="4"/>
      <c r="F197" s="4"/>
      <c r="G197" s="4"/>
      <c r="H197" s="4">
        <v>6000</v>
      </c>
      <c r="I197" s="5"/>
      <c r="J197" s="5"/>
      <c r="K197" s="5"/>
      <c r="L197" s="5"/>
    </row>
    <row r="198" spans="1:12" x14ac:dyDescent="0.2">
      <c r="A198" t="s">
        <v>929</v>
      </c>
      <c r="B198" s="4">
        <v>6000</v>
      </c>
      <c r="C198" s="4"/>
      <c r="D198" s="4"/>
      <c r="E198" s="4"/>
      <c r="F198" s="4"/>
      <c r="G198" s="4"/>
      <c r="H198" s="4">
        <v>6000</v>
      </c>
      <c r="I198" s="5"/>
      <c r="J198" s="5"/>
      <c r="K198" s="5"/>
      <c r="L198" s="5"/>
    </row>
    <row r="199" spans="1:12" x14ac:dyDescent="0.2">
      <c r="A199" t="s">
        <v>1064</v>
      </c>
      <c r="B199" s="4">
        <v>5936.5</v>
      </c>
      <c r="C199" s="4"/>
      <c r="D199" s="4"/>
      <c r="E199" s="4"/>
      <c r="F199" s="4"/>
      <c r="G199" s="4"/>
      <c r="H199" s="4">
        <v>5936.5</v>
      </c>
      <c r="I199" s="5"/>
      <c r="J199" s="5"/>
      <c r="K199" s="5"/>
      <c r="L199" s="5"/>
    </row>
    <row r="200" spans="1:12" x14ac:dyDescent="0.2">
      <c r="A200" t="s">
        <v>941</v>
      </c>
      <c r="B200" s="4">
        <v>5800</v>
      </c>
      <c r="C200" s="4"/>
      <c r="D200" s="4"/>
      <c r="E200" s="4"/>
      <c r="F200" s="4"/>
      <c r="G200" s="4"/>
      <c r="H200" s="4">
        <v>5800</v>
      </c>
      <c r="I200" s="5"/>
      <c r="J200" s="5"/>
      <c r="K200" s="5"/>
      <c r="L200" s="5"/>
    </row>
    <row r="201" spans="1:12" x14ac:dyDescent="0.2">
      <c r="A201" t="s">
        <v>139</v>
      </c>
      <c r="B201" s="4">
        <v>5500</v>
      </c>
      <c r="C201" s="4"/>
      <c r="D201" s="4"/>
      <c r="E201" s="4"/>
      <c r="F201" s="4"/>
      <c r="G201" s="4"/>
      <c r="H201" s="4">
        <v>5500</v>
      </c>
      <c r="I201" s="5">
        <v>3</v>
      </c>
      <c r="J201" s="5"/>
      <c r="K201" s="5"/>
      <c r="L201" s="5">
        <v>166.33333333333329</v>
      </c>
    </row>
    <row r="202" spans="1:12" x14ac:dyDescent="0.2">
      <c r="A202" t="s">
        <v>217</v>
      </c>
      <c r="B202" s="4">
        <v>5424</v>
      </c>
      <c r="C202" s="4"/>
      <c r="D202" s="4"/>
      <c r="E202" s="4"/>
      <c r="F202" s="4"/>
      <c r="G202" s="4"/>
      <c r="H202" s="4">
        <v>5424</v>
      </c>
      <c r="I202" s="5">
        <v>3</v>
      </c>
      <c r="J202" s="5">
        <v>2</v>
      </c>
      <c r="K202" s="5">
        <v>67.5</v>
      </c>
      <c r="L202" s="5">
        <v>204.33333333333329</v>
      </c>
    </row>
    <row r="203" spans="1:12" x14ac:dyDescent="0.2">
      <c r="A203" t="s">
        <v>1086</v>
      </c>
      <c r="B203" s="4">
        <v>5120</v>
      </c>
      <c r="C203" s="4"/>
      <c r="D203" s="4"/>
      <c r="E203" s="4"/>
      <c r="F203" s="4"/>
      <c r="G203" s="4"/>
      <c r="H203" s="4">
        <v>5120</v>
      </c>
      <c r="I203" s="5"/>
      <c r="J203" s="5"/>
      <c r="K203" s="5"/>
      <c r="L203" s="5"/>
    </row>
    <row r="204" spans="1:12" x14ac:dyDescent="0.2">
      <c r="A204" t="s">
        <v>939</v>
      </c>
      <c r="B204" s="4">
        <v>5100</v>
      </c>
      <c r="C204" s="4"/>
      <c r="D204" s="4"/>
      <c r="E204" s="4"/>
      <c r="F204" s="4"/>
      <c r="G204" s="4"/>
      <c r="H204" s="4">
        <v>5100</v>
      </c>
      <c r="I204" s="5"/>
      <c r="J204" s="5"/>
      <c r="K204" s="5"/>
      <c r="L204" s="5"/>
    </row>
    <row r="205" spans="1:12" x14ac:dyDescent="0.2">
      <c r="A205" t="s">
        <v>383</v>
      </c>
      <c r="B205" s="4">
        <v>5090</v>
      </c>
      <c r="C205" s="4"/>
      <c r="D205" s="4"/>
      <c r="E205" s="4"/>
      <c r="F205" s="4"/>
      <c r="G205" s="4"/>
      <c r="H205" s="4">
        <v>5090</v>
      </c>
      <c r="I205" s="5">
        <v>2</v>
      </c>
      <c r="J205" s="5">
        <v>1</v>
      </c>
      <c r="K205" s="5">
        <v>90</v>
      </c>
      <c r="L205" s="5">
        <v>275</v>
      </c>
    </row>
    <row r="206" spans="1:12" x14ac:dyDescent="0.2">
      <c r="A206" t="s">
        <v>385</v>
      </c>
      <c r="B206" s="4">
        <v>5000</v>
      </c>
      <c r="C206" s="4"/>
      <c r="D206" s="4"/>
      <c r="E206" s="4"/>
      <c r="F206" s="4"/>
      <c r="G206" s="4"/>
      <c r="H206" s="4">
        <v>5000</v>
      </c>
      <c r="I206" s="5">
        <v>2</v>
      </c>
      <c r="J206" s="5"/>
      <c r="K206" s="5"/>
      <c r="L206" s="5">
        <v>341.5</v>
      </c>
    </row>
    <row r="207" spans="1:12" x14ac:dyDescent="0.2">
      <c r="A207" t="s">
        <v>379</v>
      </c>
      <c r="B207" s="4">
        <v>5000</v>
      </c>
      <c r="C207" s="4"/>
      <c r="D207" s="4"/>
      <c r="E207" s="4"/>
      <c r="F207" s="4"/>
      <c r="G207" s="4"/>
      <c r="H207" s="4">
        <v>5000</v>
      </c>
      <c r="I207" s="5">
        <v>1</v>
      </c>
      <c r="J207" s="5">
        <v>1</v>
      </c>
      <c r="K207" s="5">
        <v>30</v>
      </c>
      <c r="L207" s="5">
        <v>418</v>
      </c>
    </row>
    <row r="208" spans="1:12" x14ac:dyDescent="0.2">
      <c r="A208" t="s">
        <v>987</v>
      </c>
      <c r="B208" s="4">
        <v>5000</v>
      </c>
      <c r="C208" s="4"/>
      <c r="D208" s="4"/>
      <c r="E208" s="4"/>
      <c r="F208" s="4"/>
      <c r="G208" s="4"/>
      <c r="H208" s="4">
        <v>5000</v>
      </c>
      <c r="I208" s="5"/>
      <c r="J208" s="5"/>
      <c r="K208" s="5"/>
      <c r="L208" s="5"/>
    </row>
    <row r="209" spans="1:12" x14ac:dyDescent="0.2">
      <c r="A209" t="s">
        <v>1030</v>
      </c>
      <c r="B209" s="4">
        <v>5000</v>
      </c>
      <c r="C209" s="4"/>
      <c r="D209" s="4"/>
      <c r="E209" s="4"/>
      <c r="F209" s="4"/>
      <c r="G209" s="4"/>
      <c r="H209" s="4">
        <v>5000</v>
      </c>
      <c r="I209" s="5"/>
      <c r="J209" s="5"/>
      <c r="K209" s="5"/>
      <c r="L209" s="5"/>
    </row>
    <row r="210" spans="1:12" x14ac:dyDescent="0.2">
      <c r="A210" t="s">
        <v>1094</v>
      </c>
      <c r="B210" s="4">
        <v>5000</v>
      </c>
      <c r="C210" s="4"/>
      <c r="D210" s="4"/>
      <c r="E210" s="4"/>
      <c r="F210" s="4"/>
      <c r="G210" s="4"/>
      <c r="H210" s="4">
        <v>5000</v>
      </c>
      <c r="I210" s="5"/>
      <c r="J210" s="5"/>
      <c r="K210" s="5"/>
      <c r="L210" s="5"/>
    </row>
    <row r="211" spans="1:12" x14ac:dyDescent="0.2">
      <c r="A211" t="s">
        <v>308</v>
      </c>
      <c r="B211" s="4">
        <v>4900</v>
      </c>
      <c r="C211" s="4"/>
      <c r="D211" s="4"/>
      <c r="E211" s="4"/>
      <c r="F211" s="4"/>
      <c r="G211" s="4"/>
      <c r="H211" s="4">
        <v>4900</v>
      </c>
      <c r="I211" s="5">
        <v>6</v>
      </c>
      <c r="J211" s="5">
        <v>2</v>
      </c>
      <c r="K211" s="5">
        <v>169</v>
      </c>
      <c r="L211" s="5">
        <v>240</v>
      </c>
    </row>
    <row r="212" spans="1:12" x14ac:dyDescent="0.2">
      <c r="A212" t="s">
        <v>585</v>
      </c>
      <c r="B212" s="4">
        <v>4900</v>
      </c>
      <c r="C212" s="4"/>
      <c r="D212" s="4"/>
      <c r="E212" s="4"/>
      <c r="F212" s="4"/>
      <c r="G212" s="4"/>
      <c r="H212" s="4">
        <v>4900</v>
      </c>
      <c r="I212" s="5">
        <v>1</v>
      </c>
      <c r="J212" s="5">
        <v>1</v>
      </c>
      <c r="K212" s="5">
        <v>105</v>
      </c>
      <c r="L212" s="5">
        <v>135</v>
      </c>
    </row>
    <row r="213" spans="1:12" x14ac:dyDescent="0.2">
      <c r="A213" t="s">
        <v>975</v>
      </c>
      <c r="B213" s="4">
        <v>4800</v>
      </c>
      <c r="C213" s="4"/>
      <c r="D213" s="4"/>
      <c r="E213" s="4"/>
      <c r="F213" s="4"/>
      <c r="G213" s="4"/>
      <c r="H213" s="4">
        <v>4800</v>
      </c>
      <c r="I213" s="5"/>
      <c r="J213" s="5"/>
      <c r="K213" s="5"/>
      <c r="L213" s="5"/>
    </row>
    <row r="214" spans="1:12" x14ac:dyDescent="0.2">
      <c r="A214" t="s">
        <v>429</v>
      </c>
      <c r="B214" s="4">
        <v>4504.26</v>
      </c>
      <c r="C214" s="4"/>
      <c r="D214" s="4"/>
      <c r="E214" s="4"/>
      <c r="F214" s="4"/>
      <c r="G214" s="4">
        <v>1200</v>
      </c>
      <c r="H214" s="4">
        <v>3304.26</v>
      </c>
      <c r="I214" s="5">
        <v>6</v>
      </c>
      <c r="J214" s="5">
        <v>1</v>
      </c>
      <c r="K214" s="5">
        <v>245</v>
      </c>
      <c r="L214" s="5">
        <v>148.5</v>
      </c>
    </row>
    <row r="215" spans="1:12" x14ac:dyDescent="0.2">
      <c r="A215" t="s">
        <v>1191</v>
      </c>
      <c r="B215" s="4">
        <v>4368.16</v>
      </c>
      <c r="C215" s="4"/>
      <c r="D215" s="4"/>
      <c r="E215" s="4"/>
      <c r="F215" s="4"/>
      <c r="G215" s="4"/>
      <c r="H215" s="4">
        <v>4368.16</v>
      </c>
      <c r="I215" s="5"/>
      <c r="J215" s="5"/>
      <c r="K215" s="5"/>
      <c r="L215" s="5"/>
    </row>
    <row r="216" spans="1:12" x14ac:dyDescent="0.2">
      <c r="A216" t="s">
        <v>1067</v>
      </c>
      <c r="B216" s="4">
        <v>4300</v>
      </c>
      <c r="C216" s="4"/>
      <c r="D216" s="4"/>
      <c r="E216" s="4"/>
      <c r="F216" s="4"/>
      <c r="G216" s="4"/>
      <c r="H216" s="4">
        <v>4300</v>
      </c>
      <c r="I216" s="5"/>
      <c r="J216" s="5"/>
      <c r="K216" s="5"/>
      <c r="L216" s="5"/>
    </row>
    <row r="217" spans="1:12" x14ac:dyDescent="0.2">
      <c r="A217" t="s">
        <v>377</v>
      </c>
      <c r="B217" s="4">
        <v>4000</v>
      </c>
      <c r="C217" s="4"/>
      <c r="D217" s="4"/>
      <c r="E217" s="4"/>
      <c r="F217" s="4"/>
      <c r="G217" s="4"/>
      <c r="H217" s="4">
        <v>4000</v>
      </c>
      <c r="I217" s="5">
        <v>1</v>
      </c>
      <c r="J217" s="5">
        <v>1</v>
      </c>
      <c r="K217" s="5">
        <v>386</v>
      </c>
      <c r="L217" s="5"/>
    </row>
    <row r="218" spans="1:12" x14ac:dyDescent="0.2">
      <c r="A218" t="s">
        <v>973</v>
      </c>
      <c r="B218" s="4">
        <v>4000</v>
      </c>
      <c r="C218" s="4"/>
      <c r="D218" s="4"/>
      <c r="E218" s="4"/>
      <c r="F218" s="4"/>
      <c r="G218" s="4"/>
      <c r="H218" s="4">
        <v>4000</v>
      </c>
      <c r="I218" s="5"/>
      <c r="J218" s="5"/>
      <c r="K218" s="5"/>
      <c r="L218" s="5"/>
    </row>
    <row r="219" spans="1:12" x14ac:dyDescent="0.2">
      <c r="A219" t="s">
        <v>1040</v>
      </c>
      <c r="B219" s="4">
        <v>3990</v>
      </c>
      <c r="C219" s="4"/>
      <c r="D219" s="4"/>
      <c r="E219" s="4"/>
      <c r="F219" s="4"/>
      <c r="G219" s="4"/>
      <c r="H219" s="4">
        <v>3990</v>
      </c>
      <c r="I219" s="5"/>
      <c r="J219" s="5"/>
      <c r="K219" s="5"/>
      <c r="L219" s="5"/>
    </row>
    <row r="220" spans="1:12" x14ac:dyDescent="0.2">
      <c r="A220" t="s">
        <v>118</v>
      </c>
      <c r="B220" s="4">
        <v>3950</v>
      </c>
      <c r="C220" s="4"/>
      <c r="D220" s="4"/>
      <c r="E220" s="4"/>
      <c r="F220" s="4"/>
      <c r="G220" s="4"/>
      <c r="H220" s="4">
        <v>3950</v>
      </c>
      <c r="I220" s="5">
        <v>2</v>
      </c>
      <c r="J220" s="5">
        <v>1</v>
      </c>
      <c r="K220" s="5">
        <v>194</v>
      </c>
      <c r="L220" s="5"/>
    </row>
    <row r="221" spans="1:12" x14ac:dyDescent="0.2">
      <c r="A221" t="s">
        <v>115</v>
      </c>
      <c r="B221" s="4">
        <v>3945.2</v>
      </c>
      <c r="C221" s="4"/>
      <c r="D221" s="4"/>
      <c r="E221" s="4"/>
      <c r="F221" s="4"/>
      <c r="G221" s="4"/>
      <c r="H221" s="4">
        <v>3945.2</v>
      </c>
      <c r="I221" s="5">
        <v>10</v>
      </c>
      <c r="J221" s="5">
        <v>1</v>
      </c>
      <c r="K221" s="5">
        <v>52</v>
      </c>
      <c r="L221" s="5">
        <v>318.60000000000002</v>
      </c>
    </row>
    <row r="222" spans="1:12" x14ac:dyDescent="0.2">
      <c r="A222" t="s">
        <v>748</v>
      </c>
      <c r="B222" s="4">
        <v>3900</v>
      </c>
      <c r="C222" s="4"/>
      <c r="D222" s="4"/>
      <c r="E222" s="4"/>
      <c r="F222" s="4"/>
      <c r="G222" s="4">
        <v>3900</v>
      </c>
      <c r="H222" s="4"/>
      <c r="I222" s="5">
        <v>1</v>
      </c>
      <c r="J222" s="5"/>
      <c r="K222" s="5"/>
      <c r="L222" s="5">
        <v>13</v>
      </c>
    </row>
    <row r="223" spans="1:12" x14ac:dyDescent="0.2">
      <c r="A223" t="s">
        <v>970</v>
      </c>
      <c r="B223" s="4">
        <v>3660</v>
      </c>
      <c r="C223" s="4"/>
      <c r="D223" s="4"/>
      <c r="E223" s="4"/>
      <c r="F223" s="4"/>
      <c r="G223" s="4"/>
      <c r="H223" s="4">
        <v>3660</v>
      </c>
      <c r="I223" s="5"/>
      <c r="J223" s="5"/>
      <c r="K223" s="5"/>
      <c r="L223" s="5"/>
    </row>
    <row r="224" spans="1:12" x14ac:dyDescent="0.2">
      <c r="A224" t="s">
        <v>512</v>
      </c>
      <c r="B224" s="4">
        <v>3650</v>
      </c>
      <c r="C224" s="4"/>
      <c r="D224" s="4"/>
      <c r="E224" s="4"/>
      <c r="F224" s="4"/>
      <c r="G224" s="4"/>
      <c r="H224" s="4">
        <v>3650</v>
      </c>
      <c r="I224" s="5">
        <v>1</v>
      </c>
      <c r="J224" s="5">
        <v>1</v>
      </c>
      <c r="K224" s="5">
        <v>49</v>
      </c>
      <c r="L224" s="5">
        <v>37</v>
      </c>
    </row>
    <row r="225" spans="1:12" x14ac:dyDescent="0.2">
      <c r="A225" t="s">
        <v>898</v>
      </c>
      <c r="B225" s="4">
        <v>3511.56</v>
      </c>
      <c r="C225" s="4"/>
      <c r="D225" s="4"/>
      <c r="E225" s="4"/>
      <c r="F225" s="4"/>
      <c r="G225" s="4"/>
      <c r="H225" s="4">
        <v>3511.56</v>
      </c>
      <c r="I225" s="5"/>
      <c r="J225" s="5"/>
      <c r="K225" s="5"/>
      <c r="L225" s="5"/>
    </row>
    <row r="226" spans="1:12" x14ac:dyDescent="0.2">
      <c r="A226" t="s">
        <v>943</v>
      </c>
      <c r="B226" s="4">
        <v>3400</v>
      </c>
      <c r="C226" s="4"/>
      <c r="D226" s="4"/>
      <c r="E226" s="4"/>
      <c r="F226" s="4"/>
      <c r="G226" s="4"/>
      <c r="H226" s="4">
        <v>3400</v>
      </c>
      <c r="I226" s="5"/>
      <c r="J226" s="5"/>
      <c r="K226" s="5"/>
      <c r="L226" s="5"/>
    </row>
    <row r="227" spans="1:12" x14ac:dyDescent="0.2">
      <c r="A227" t="s">
        <v>1125</v>
      </c>
      <c r="B227" s="4">
        <v>3376</v>
      </c>
      <c r="C227" s="4"/>
      <c r="D227" s="4"/>
      <c r="E227" s="4"/>
      <c r="F227" s="4"/>
      <c r="G227" s="4"/>
      <c r="H227" s="4">
        <v>3376</v>
      </c>
      <c r="I227" s="5"/>
      <c r="J227" s="5"/>
      <c r="K227" s="5"/>
      <c r="L227" s="5"/>
    </row>
    <row r="228" spans="1:12" x14ac:dyDescent="0.2">
      <c r="A228" t="s">
        <v>1003</v>
      </c>
      <c r="B228" s="4">
        <v>3000</v>
      </c>
      <c r="C228" s="4"/>
      <c r="D228" s="4"/>
      <c r="E228" s="4"/>
      <c r="F228" s="4"/>
      <c r="G228" s="4"/>
      <c r="H228" s="4">
        <v>3000</v>
      </c>
      <c r="I228" s="5"/>
      <c r="J228" s="5"/>
      <c r="K228" s="5"/>
      <c r="L228" s="5"/>
    </row>
    <row r="229" spans="1:12" x14ac:dyDescent="0.2">
      <c r="A229" t="s">
        <v>1049</v>
      </c>
      <c r="B229" s="4">
        <v>2800.0177586207101</v>
      </c>
      <c r="C229" s="4"/>
      <c r="D229" s="4"/>
      <c r="E229" s="4"/>
      <c r="F229" s="4"/>
      <c r="G229" s="4"/>
      <c r="H229" s="4">
        <v>2800.0177586207101</v>
      </c>
      <c r="I229" s="5"/>
      <c r="J229" s="5"/>
      <c r="K229" s="5"/>
      <c r="L229" s="5"/>
    </row>
    <row r="230" spans="1:12" x14ac:dyDescent="0.2">
      <c r="A230" t="s">
        <v>931</v>
      </c>
      <c r="B230" s="4">
        <v>2740</v>
      </c>
      <c r="C230" s="4"/>
      <c r="D230" s="4"/>
      <c r="E230" s="4"/>
      <c r="F230" s="4"/>
      <c r="G230" s="4"/>
      <c r="H230" s="4">
        <v>2740</v>
      </c>
      <c r="I230" s="5"/>
      <c r="J230" s="5"/>
      <c r="K230" s="5"/>
      <c r="L230" s="5"/>
    </row>
    <row r="231" spans="1:12" x14ac:dyDescent="0.2">
      <c r="A231" t="s">
        <v>1051</v>
      </c>
      <c r="B231" s="4">
        <v>2572.92</v>
      </c>
      <c r="C231" s="4"/>
      <c r="D231" s="4"/>
      <c r="E231" s="4"/>
      <c r="F231" s="4"/>
      <c r="G231" s="4"/>
      <c r="H231" s="4">
        <v>2572.92</v>
      </c>
      <c r="I231" s="5"/>
      <c r="J231" s="5"/>
      <c r="K231" s="5"/>
      <c r="L231" s="5"/>
    </row>
    <row r="232" spans="1:12" x14ac:dyDescent="0.2">
      <c r="A232" t="s">
        <v>882</v>
      </c>
      <c r="B232" s="4">
        <v>2565.2082999999911</v>
      </c>
      <c r="C232" s="4"/>
      <c r="D232" s="4"/>
      <c r="E232" s="4"/>
      <c r="F232" s="4"/>
      <c r="G232" s="4"/>
      <c r="H232" s="4">
        <v>2565.2082999999911</v>
      </c>
      <c r="I232" s="5"/>
      <c r="J232" s="5"/>
      <c r="K232" s="5"/>
      <c r="L232" s="5"/>
    </row>
    <row r="233" spans="1:12" x14ac:dyDescent="0.2">
      <c r="A233" t="s">
        <v>1168</v>
      </c>
      <c r="B233" s="4">
        <v>2542.5</v>
      </c>
      <c r="C233" s="4"/>
      <c r="D233" s="4"/>
      <c r="E233" s="4"/>
      <c r="F233" s="4"/>
      <c r="G233" s="4"/>
      <c r="H233" s="4">
        <v>2542.5</v>
      </c>
      <c r="I233" s="5"/>
      <c r="J233" s="5"/>
      <c r="K233" s="5"/>
      <c r="L233" s="5"/>
    </row>
    <row r="234" spans="1:12" x14ac:dyDescent="0.2">
      <c r="A234" t="s">
        <v>1121</v>
      </c>
      <c r="B234" s="4">
        <v>2485</v>
      </c>
      <c r="C234" s="4"/>
      <c r="D234" s="4"/>
      <c r="E234" s="4"/>
      <c r="F234" s="4"/>
      <c r="G234" s="4"/>
      <c r="H234" s="4">
        <v>2485</v>
      </c>
      <c r="I234" s="5"/>
      <c r="J234" s="5"/>
      <c r="K234" s="5"/>
      <c r="L234" s="5"/>
    </row>
    <row r="235" spans="1:12" x14ac:dyDescent="0.2">
      <c r="A235" t="s">
        <v>1229</v>
      </c>
      <c r="B235" s="4">
        <v>2400</v>
      </c>
      <c r="C235" s="4"/>
      <c r="D235" s="4"/>
      <c r="E235" s="4"/>
      <c r="F235" s="4"/>
      <c r="G235" s="4"/>
      <c r="H235" s="4">
        <v>2400</v>
      </c>
      <c r="I235" s="5"/>
      <c r="J235" s="5"/>
      <c r="K235" s="5"/>
      <c r="L235" s="5"/>
    </row>
    <row r="236" spans="1:12" x14ac:dyDescent="0.2">
      <c r="A236" t="s">
        <v>846</v>
      </c>
      <c r="B236" s="4">
        <v>2339.98</v>
      </c>
      <c r="C236" s="4"/>
      <c r="D236" s="4"/>
      <c r="E236" s="4"/>
      <c r="F236" s="4"/>
      <c r="G236" s="4"/>
      <c r="H236" s="4">
        <v>2339.98</v>
      </c>
      <c r="I236" s="5"/>
      <c r="J236" s="5"/>
      <c r="K236" s="5"/>
      <c r="L236" s="5"/>
    </row>
    <row r="237" spans="1:12" x14ac:dyDescent="0.2">
      <c r="A237" t="s">
        <v>1053</v>
      </c>
      <c r="B237" s="4">
        <v>2318.9699999999998</v>
      </c>
      <c r="C237" s="4"/>
      <c r="D237" s="4"/>
      <c r="E237" s="4"/>
      <c r="F237" s="4"/>
      <c r="G237" s="4"/>
      <c r="H237" s="4">
        <v>2318.9699999999998</v>
      </c>
      <c r="I237" s="5"/>
      <c r="J237" s="5"/>
      <c r="K237" s="5"/>
      <c r="L237" s="5"/>
    </row>
    <row r="238" spans="1:12" x14ac:dyDescent="0.2">
      <c r="A238" t="s">
        <v>175</v>
      </c>
      <c r="B238" s="4">
        <v>2247.5</v>
      </c>
      <c r="C238" s="4"/>
      <c r="D238" s="4"/>
      <c r="E238" s="4"/>
      <c r="F238" s="4"/>
      <c r="G238" s="4"/>
      <c r="H238" s="4">
        <v>2247.5</v>
      </c>
      <c r="I238" s="5">
        <v>3</v>
      </c>
      <c r="J238" s="5">
        <v>2</v>
      </c>
      <c r="K238" s="5">
        <v>49.5</v>
      </c>
      <c r="L238" s="5">
        <v>611</v>
      </c>
    </row>
    <row r="239" spans="1:12" x14ac:dyDescent="0.2">
      <c r="A239" t="s">
        <v>156</v>
      </c>
      <c r="B239" s="4">
        <v>2120</v>
      </c>
      <c r="C239" s="4"/>
      <c r="D239" s="4"/>
      <c r="E239" s="4"/>
      <c r="F239" s="4"/>
      <c r="G239" s="4"/>
      <c r="H239" s="4">
        <v>2120</v>
      </c>
      <c r="I239" s="5">
        <v>1</v>
      </c>
      <c r="J239" s="5">
        <v>1</v>
      </c>
      <c r="K239" s="5">
        <v>67</v>
      </c>
      <c r="L239" s="5"/>
    </row>
    <row r="240" spans="1:12" x14ac:dyDescent="0.2">
      <c r="A240" t="s">
        <v>211</v>
      </c>
      <c r="B240" s="4">
        <v>2000</v>
      </c>
      <c r="C240" s="4"/>
      <c r="D240" s="4"/>
      <c r="E240" s="4"/>
      <c r="F240" s="4"/>
      <c r="G240" s="4"/>
      <c r="H240" s="4">
        <v>2000</v>
      </c>
      <c r="I240" s="5">
        <v>2</v>
      </c>
      <c r="J240" s="5">
        <v>2</v>
      </c>
      <c r="K240" s="5">
        <v>127</v>
      </c>
      <c r="L240" s="5">
        <v>164</v>
      </c>
    </row>
    <row r="241" spans="1:12" x14ac:dyDescent="0.2">
      <c r="A241" t="s">
        <v>1098</v>
      </c>
      <c r="B241" s="4">
        <v>1939.34</v>
      </c>
      <c r="C241" s="4"/>
      <c r="D241" s="4"/>
      <c r="E241" s="4"/>
      <c r="F241" s="4"/>
      <c r="G241" s="4"/>
      <c r="H241" s="4">
        <v>1939.34</v>
      </c>
      <c r="I241" s="5"/>
      <c r="J241" s="5"/>
      <c r="K241" s="5"/>
      <c r="L241" s="5"/>
    </row>
    <row r="242" spans="1:12" x14ac:dyDescent="0.2">
      <c r="A242" t="s">
        <v>454</v>
      </c>
      <c r="B242" s="4">
        <v>1881</v>
      </c>
      <c r="C242" s="4"/>
      <c r="D242" s="4"/>
      <c r="E242" s="4"/>
      <c r="F242" s="4"/>
      <c r="G242" s="4"/>
      <c r="H242" s="4">
        <v>1881</v>
      </c>
      <c r="I242" s="5">
        <v>4</v>
      </c>
      <c r="J242" s="5">
        <v>1</v>
      </c>
      <c r="K242" s="5">
        <v>611</v>
      </c>
      <c r="L242" s="5">
        <v>203</v>
      </c>
    </row>
    <row r="243" spans="1:12" x14ac:dyDescent="0.2">
      <c r="A243" t="s">
        <v>94</v>
      </c>
      <c r="B243" s="4">
        <v>1850</v>
      </c>
      <c r="C243" s="4"/>
      <c r="D243" s="4"/>
      <c r="E243" s="4"/>
      <c r="F243" s="4"/>
      <c r="G243" s="4"/>
      <c r="H243" s="4">
        <v>1850</v>
      </c>
      <c r="I243" s="5">
        <v>4</v>
      </c>
      <c r="J243" s="5">
        <v>2</v>
      </c>
      <c r="K243" s="5">
        <v>13.5</v>
      </c>
      <c r="L243" s="5">
        <v>208.25</v>
      </c>
    </row>
    <row r="244" spans="1:12" x14ac:dyDescent="0.2">
      <c r="A244" t="s">
        <v>1084</v>
      </c>
      <c r="B244" s="4">
        <v>1840</v>
      </c>
      <c r="C244" s="4"/>
      <c r="D244" s="4"/>
      <c r="E244" s="4"/>
      <c r="F244" s="4"/>
      <c r="G244" s="4"/>
      <c r="H244" s="4">
        <v>1840</v>
      </c>
      <c r="I244" s="5"/>
      <c r="J244" s="5"/>
      <c r="K244" s="5"/>
      <c r="L244" s="5"/>
    </row>
    <row r="245" spans="1:12" x14ac:dyDescent="0.2">
      <c r="A245" t="s">
        <v>1102</v>
      </c>
      <c r="B245" s="4">
        <v>1750</v>
      </c>
      <c r="C245" s="4"/>
      <c r="D245" s="4"/>
      <c r="E245" s="4"/>
      <c r="F245" s="4"/>
      <c r="G245" s="4"/>
      <c r="H245" s="4">
        <v>1750</v>
      </c>
      <c r="I245" s="5"/>
      <c r="J245" s="5"/>
      <c r="K245" s="5"/>
      <c r="L245" s="5"/>
    </row>
    <row r="246" spans="1:12" x14ac:dyDescent="0.2">
      <c r="A246" t="s">
        <v>1110</v>
      </c>
      <c r="B246" s="4">
        <v>1750</v>
      </c>
      <c r="C246" s="4"/>
      <c r="D246" s="4"/>
      <c r="E246" s="4"/>
      <c r="F246" s="4"/>
      <c r="G246" s="4"/>
      <c r="H246" s="4">
        <v>1750</v>
      </c>
      <c r="I246" s="5"/>
      <c r="J246" s="5"/>
      <c r="K246" s="5"/>
      <c r="L246" s="5"/>
    </row>
    <row r="247" spans="1:12" x14ac:dyDescent="0.2">
      <c r="A247" t="s">
        <v>1016</v>
      </c>
      <c r="B247" s="4">
        <v>1614</v>
      </c>
      <c r="C247" s="4"/>
      <c r="D247" s="4"/>
      <c r="E247" s="4"/>
      <c r="F247" s="4"/>
      <c r="G247" s="4"/>
      <c r="H247" s="4">
        <v>1614</v>
      </c>
      <c r="I247" s="5"/>
      <c r="J247" s="5"/>
      <c r="K247" s="5"/>
      <c r="L247" s="5"/>
    </row>
    <row r="248" spans="1:12" x14ac:dyDescent="0.2">
      <c r="A248" t="s">
        <v>848</v>
      </c>
      <c r="B248" s="4">
        <v>1350</v>
      </c>
      <c r="C248" s="4"/>
      <c r="D248" s="4"/>
      <c r="E248" s="4"/>
      <c r="F248" s="4"/>
      <c r="G248" s="4"/>
      <c r="H248" s="4">
        <v>1350</v>
      </c>
      <c r="I248" s="5"/>
      <c r="J248" s="5"/>
      <c r="K248" s="5"/>
      <c r="L248" s="5"/>
    </row>
    <row r="249" spans="1:12" x14ac:dyDescent="0.2">
      <c r="A249" t="s">
        <v>317</v>
      </c>
      <c r="B249" s="4">
        <v>1176</v>
      </c>
      <c r="C249" s="4"/>
      <c r="D249" s="4"/>
      <c r="E249" s="4"/>
      <c r="F249" s="4"/>
      <c r="G249" s="4"/>
      <c r="H249" s="4">
        <v>1176</v>
      </c>
      <c r="I249" s="5">
        <v>3</v>
      </c>
      <c r="J249" s="5"/>
      <c r="K249" s="5"/>
      <c r="L249" s="5">
        <v>487</v>
      </c>
    </row>
    <row r="250" spans="1:12" x14ac:dyDescent="0.2">
      <c r="A250" t="s">
        <v>141</v>
      </c>
      <c r="B250" s="4">
        <v>1064.8079999999841</v>
      </c>
      <c r="C250" s="4"/>
      <c r="D250" s="4"/>
      <c r="E250" s="4"/>
      <c r="F250" s="4"/>
      <c r="G250" s="4"/>
      <c r="H250" s="4">
        <v>1064.8079999999841</v>
      </c>
      <c r="I250" s="5">
        <v>3</v>
      </c>
      <c r="J250" s="5">
        <v>1</v>
      </c>
      <c r="K250" s="5">
        <v>120</v>
      </c>
      <c r="L250" s="5">
        <v>418.33333333333331</v>
      </c>
    </row>
    <row r="251" spans="1:12" x14ac:dyDescent="0.2">
      <c r="A251" t="s">
        <v>411</v>
      </c>
      <c r="B251" s="4">
        <v>1056.2</v>
      </c>
      <c r="C251" s="4"/>
      <c r="D251" s="4"/>
      <c r="E251" s="4"/>
      <c r="F251" s="4"/>
      <c r="G251" s="4"/>
      <c r="H251" s="4">
        <v>1056.2</v>
      </c>
      <c r="I251" s="5">
        <v>10</v>
      </c>
      <c r="J251" s="5">
        <v>1</v>
      </c>
      <c r="K251" s="5">
        <v>139</v>
      </c>
      <c r="L251" s="5">
        <v>311.10000000000002</v>
      </c>
    </row>
    <row r="252" spans="1:12" x14ac:dyDescent="0.2">
      <c r="A252" t="s">
        <v>1020</v>
      </c>
      <c r="B252" s="4">
        <v>1005.24670000002</v>
      </c>
      <c r="C252" s="4"/>
      <c r="D252" s="4"/>
      <c r="E252" s="4"/>
      <c r="F252" s="4"/>
      <c r="G252" s="4"/>
      <c r="H252" s="4">
        <v>1005.24670000002</v>
      </c>
      <c r="I252" s="5"/>
      <c r="J252" s="5"/>
      <c r="K252" s="5"/>
      <c r="L252" s="5"/>
    </row>
    <row r="253" spans="1:12" x14ac:dyDescent="0.2">
      <c r="A253" t="s">
        <v>105</v>
      </c>
      <c r="B253" s="4">
        <v>1000</v>
      </c>
      <c r="C253" s="4"/>
      <c r="D253" s="4"/>
      <c r="E253" s="4"/>
      <c r="F253" s="4"/>
      <c r="G253" s="4"/>
      <c r="H253" s="4">
        <v>1000</v>
      </c>
      <c r="I253" s="5">
        <v>1</v>
      </c>
      <c r="J253" s="5">
        <v>1</v>
      </c>
      <c r="K253" s="5">
        <v>10</v>
      </c>
      <c r="L253" s="5"/>
    </row>
    <row r="254" spans="1:12" x14ac:dyDescent="0.2">
      <c r="A254" t="s">
        <v>348</v>
      </c>
      <c r="B254" s="4">
        <v>300</v>
      </c>
      <c r="C254" s="4"/>
      <c r="D254" s="4"/>
      <c r="E254" s="4"/>
      <c r="F254" s="4"/>
      <c r="G254" s="4"/>
      <c r="H254" s="4">
        <v>300</v>
      </c>
      <c r="I254" s="5">
        <v>1</v>
      </c>
      <c r="J254" s="5">
        <v>1</v>
      </c>
      <c r="K254" s="5">
        <v>395</v>
      </c>
      <c r="L254" s="5"/>
    </row>
    <row r="255" spans="1:12" x14ac:dyDescent="0.2">
      <c r="A255" t="s">
        <v>160</v>
      </c>
      <c r="B255" s="4">
        <v>4.0000000008149099E-3</v>
      </c>
      <c r="C255" s="4"/>
      <c r="D255" s="4"/>
      <c r="E255" s="4"/>
      <c r="F255" s="4"/>
      <c r="G255" s="4"/>
      <c r="H255" s="4">
        <v>4.0000000008149099E-3</v>
      </c>
      <c r="I255" s="5">
        <v>3</v>
      </c>
      <c r="J255" s="5">
        <v>2</v>
      </c>
      <c r="K255" s="5">
        <v>57</v>
      </c>
      <c r="L255" s="5">
        <v>567.66666666666663</v>
      </c>
    </row>
    <row r="256" spans="1:12" x14ac:dyDescent="0.2">
      <c r="A256" t="s">
        <v>1107</v>
      </c>
      <c r="B256" s="4">
        <v>4.0000000008149099E-3</v>
      </c>
      <c r="C256" s="4"/>
      <c r="D256" s="4"/>
      <c r="E256" s="4"/>
      <c r="F256" s="4"/>
      <c r="G256" s="4"/>
      <c r="H256" s="4">
        <v>4.0000000008149099E-3</v>
      </c>
      <c r="I256" s="5"/>
      <c r="J256" s="5"/>
      <c r="K256" s="5"/>
      <c r="L256" s="5"/>
    </row>
    <row r="257" spans="1:12" x14ac:dyDescent="0.2">
      <c r="A257" t="s">
        <v>1117</v>
      </c>
      <c r="B257" s="4">
        <v>3.8295999984256902E-3</v>
      </c>
      <c r="C257" s="4"/>
      <c r="D257" s="4"/>
      <c r="E257" s="4"/>
      <c r="F257" s="4"/>
      <c r="G257" s="4"/>
      <c r="H257" s="4">
        <v>3.8295999984256902E-3</v>
      </c>
      <c r="I257" s="5"/>
      <c r="J257" s="5"/>
      <c r="K257" s="5"/>
      <c r="L257" s="5"/>
    </row>
    <row r="258" spans="1:12" x14ac:dyDescent="0.2">
      <c r="A258" t="s">
        <v>558</v>
      </c>
      <c r="B258" s="4"/>
      <c r="C258" s="4"/>
      <c r="D258" s="4"/>
      <c r="E258" s="4"/>
      <c r="F258" s="4"/>
      <c r="G258" s="4"/>
      <c r="H258" s="4"/>
      <c r="I258" s="5">
        <v>101</v>
      </c>
      <c r="J258" s="5"/>
      <c r="K258" s="5"/>
      <c r="L258" s="5"/>
    </row>
    <row r="259" spans="1:12" x14ac:dyDescent="0.2">
      <c r="A259" t="s">
        <v>677</v>
      </c>
      <c r="B259" s="4"/>
      <c r="C259" s="4"/>
      <c r="D259" s="4"/>
      <c r="E259" s="4"/>
      <c r="F259" s="4"/>
      <c r="G259" s="4"/>
      <c r="H259" s="4"/>
      <c r="I259" s="5">
        <v>71</v>
      </c>
      <c r="J259" s="5"/>
      <c r="K259" s="5"/>
      <c r="L259" s="5"/>
    </row>
    <row r="260" spans="1:12" x14ac:dyDescent="0.2">
      <c r="A260" t="s">
        <v>600</v>
      </c>
      <c r="B260" s="4"/>
      <c r="C260" s="4"/>
      <c r="D260" s="4"/>
      <c r="E260" s="4"/>
      <c r="F260" s="4"/>
      <c r="G260" s="4"/>
      <c r="H260" s="4"/>
      <c r="I260" s="5">
        <v>56</v>
      </c>
      <c r="J260" s="5"/>
      <c r="K260" s="5"/>
      <c r="L260" s="5"/>
    </row>
    <row r="261" spans="1:12" x14ac:dyDescent="0.2">
      <c r="A261" t="s">
        <v>697</v>
      </c>
      <c r="B261" s="4"/>
      <c r="C261" s="4"/>
      <c r="D261" s="4"/>
      <c r="E261" s="4"/>
      <c r="F261" s="4"/>
      <c r="G261" s="4"/>
      <c r="H261" s="4"/>
      <c r="I261" s="5">
        <v>34</v>
      </c>
      <c r="J261" s="5"/>
      <c r="K261" s="5"/>
      <c r="L261" s="5"/>
    </row>
    <row r="262" spans="1:12" x14ac:dyDescent="0.2">
      <c r="A262" t="s">
        <v>364</v>
      </c>
      <c r="B262" s="4"/>
      <c r="C262" s="4"/>
      <c r="D262" s="4"/>
      <c r="E262" s="4"/>
      <c r="F262" s="4"/>
      <c r="G262" s="4"/>
      <c r="H262" s="4"/>
      <c r="I262" s="5">
        <v>23</v>
      </c>
      <c r="J262" s="5">
        <v>6</v>
      </c>
      <c r="K262" s="5">
        <v>858.66666666666663</v>
      </c>
      <c r="L262" s="5">
        <v>362.30434782608688</v>
      </c>
    </row>
    <row r="263" spans="1:12" x14ac:dyDescent="0.2">
      <c r="A263" t="s">
        <v>271</v>
      </c>
      <c r="B263" s="4"/>
      <c r="C263" s="4"/>
      <c r="D263" s="4"/>
      <c r="E263" s="4"/>
      <c r="F263" s="4"/>
      <c r="G263" s="4"/>
      <c r="H263" s="4"/>
      <c r="I263" s="5">
        <v>12</v>
      </c>
      <c r="J263" s="5">
        <v>1</v>
      </c>
      <c r="K263" s="5">
        <v>88</v>
      </c>
      <c r="L263" s="5">
        <v>95.333333333333329</v>
      </c>
    </row>
    <row r="264" spans="1:12" x14ac:dyDescent="0.2">
      <c r="A264" t="s">
        <v>228</v>
      </c>
      <c r="B264" s="4"/>
      <c r="C264" s="4"/>
      <c r="D264" s="4"/>
      <c r="E264" s="4"/>
      <c r="F264" s="4"/>
      <c r="G264" s="4"/>
      <c r="H264" s="4"/>
      <c r="I264" s="5">
        <v>9</v>
      </c>
      <c r="J264" s="5"/>
      <c r="K264" s="5"/>
      <c r="L264" s="5">
        <v>253.33333333333329</v>
      </c>
    </row>
    <row r="265" spans="1:12" x14ac:dyDescent="0.2">
      <c r="A265" t="s">
        <v>419</v>
      </c>
      <c r="B265" s="4"/>
      <c r="C265" s="4"/>
      <c r="D265" s="4"/>
      <c r="E265" s="4"/>
      <c r="F265" s="4"/>
      <c r="G265" s="4"/>
      <c r="H265" s="4"/>
      <c r="I265" s="5">
        <v>9</v>
      </c>
      <c r="J265" s="5"/>
      <c r="K265" s="5"/>
      <c r="L265" s="5">
        <v>108</v>
      </c>
    </row>
    <row r="266" spans="1:12" x14ac:dyDescent="0.2">
      <c r="A266" t="s">
        <v>71</v>
      </c>
      <c r="B266" s="4"/>
      <c r="C266" s="4"/>
      <c r="D266" s="4"/>
      <c r="E266" s="4"/>
      <c r="F266" s="4"/>
      <c r="G266" s="4"/>
      <c r="H266" s="4"/>
      <c r="I266" s="5">
        <v>9</v>
      </c>
      <c r="J266" s="5">
        <v>2</v>
      </c>
      <c r="K266" s="5">
        <v>61</v>
      </c>
      <c r="L266" s="5">
        <v>149.33333333333329</v>
      </c>
    </row>
    <row r="267" spans="1:12" x14ac:dyDescent="0.2">
      <c r="A267" t="s">
        <v>165</v>
      </c>
      <c r="B267" s="4"/>
      <c r="C267" s="4"/>
      <c r="D267" s="4"/>
      <c r="E267" s="4"/>
      <c r="F267" s="4"/>
      <c r="G267" s="4"/>
      <c r="H267" s="4"/>
      <c r="I267" s="5">
        <v>9</v>
      </c>
      <c r="J267" s="5">
        <v>4</v>
      </c>
      <c r="K267" s="5">
        <v>171</v>
      </c>
      <c r="L267" s="5">
        <v>377.33333333333331</v>
      </c>
    </row>
    <row r="268" spans="1:12" x14ac:dyDescent="0.2">
      <c r="A268" t="s">
        <v>45</v>
      </c>
      <c r="B268" s="4"/>
      <c r="C268" s="4"/>
      <c r="D268" s="4"/>
      <c r="E268" s="4"/>
      <c r="F268" s="4"/>
      <c r="G268" s="4"/>
      <c r="H268" s="4"/>
      <c r="I268" s="5">
        <v>8</v>
      </c>
      <c r="J268" s="5"/>
      <c r="K268" s="5"/>
      <c r="L268" s="5">
        <v>133</v>
      </c>
    </row>
    <row r="269" spans="1:12" x14ac:dyDescent="0.2">
      <c r="A269" t="s">
        <v>723</v>
      </c>
      <c r="B269" s="4"/>
      <c r="C269" s="4"/>
      <c r="D269" s="4"/>
      <c r="E269" s="4"/>
      <c r="F269" s="4"/>
      <c r="G269" s="4"/>
      <c r="H269" s="4"/>
      <c r="I269" s="5">
        <v>7</v>
      </c>
      <c r="J269" s="5"/>
      <c r="K269" s="5"/>
      <c r="L269" s="5">
        <v>18.333333333333329</v>
      </c>
    </row>
    <row r="270" spans="1:12" x14ac:dyDescent="0.2">
      <c r="A270" t="s">
        <v>618</v>
      </c>
      <c r="B270" s="4"/>
      <c r="C270" s="4"/>
      <c r="D270" s="4"/>
      <c r="E270" s="4"/>
      <c r="F270" s="4"/>
      <c r="G270" s="4"/>
      <c r="H270" s="4"/>
      <c r="I270" s="5">
        <v>7</v>
      </c>
      <c r="J270" s="5"/>
      <c r="K270" s="5"/>
      <c r="L270" s="5">
        <v>112.8571428571429</v>
      </c>
    </row>
    <row r="271" spans="1:12" x14ac:dyDescent="0.2">
      <c r="A271" t="s">
        <v>478</v>
      </c>
      <c r="B271" s="4"/>
      <c r="C271" s="4"/>
      <c r="D271" s="4"/>
      <c r="E271" s="4"/>
      <c r="F271" s="4"/>
      <c r="G271" s="4"/>
      <c r="H271" s="4"/>
      <c r="I271" s="5">
        <v>7</v>
      </c>
      <c r="J271" s="5">
        <v>1</v>
      </c>
      <c r="K271" s="5">
        <v>83</v>
      </c>
      <c r="L271" s="5">
        <v>64.571428571428569</v>
      </c>
    </row>
    <row r="272" spans="1:12" x14ac:dyDescent="0.2">
      <c r="A272" t="s">
        <v>182</v>
      </c>
      <c r="B272" s="4"/>
      <c r="C272" s="4"/>
      <c r="D272" s="4"/>
      <c r="E272" s="4"/>
      <c r="F272" s="4"/>
      <c r="G272" s="4"/>
      <c r="H272" s="4"/>
      <c r="I272" s="5">
        <v>7</v>
      </c>
      <c r="J272" s="5"/>
      <c r="K272" s="5"/>
      <c r="L272" s="5">
        <v>290.66666666666669</v>
      </c>
    </row>
    <row r="273" spans="1:12" x14ac:dyDescent="0.2">
      <c r="A273" t="s">
        <v>189</v>
      </c>
      <c r="B273" s="4"/>
      <c r="C273" s="4"/>
      <c r="D273" s="4"/>
      <c r="E273" s="4"/>
      <c r="F273" s="4"/>
      <c r="G273" s="4"/>
      <c r="H273" s="4"/>
      <c r="I273" s="5">
        <v>6</v>
      </c>
      <c r="J273" s="5">
        <v>1</v>
      </c>
      <c r="K273" s="5">
        <v>66</v>
      </c>
      <c r="L273" s="5">
        <v>896</v>
      </c>
    </row>
    <row r="274" spans="1:12" x14ac:dyDescent="0.2">
      <c r="A274" t="s">
        <v>315</v>
      </c>
      <c r="B274" s="4"/>
      <c r="C274" s="4"/>
      <c r="D274" s="4"/>
      <c r="E274" s="4"/>
      <c r="F274" s="4"/>
      <c r="G274" s="4"/>
      <c r="H274" s="4"/>
      <c r="I274" s="5">
        <v>5</v>
      </c>
      <c r="J274" s="5"/>
      <c r="K274" s="5"/>
      <c r="L274" s="5"/>
    </row>
    <row r="275" spans="1:12" x14ac:dyDescent="0.2">
      <c r="A275" t="s">
        <v>27</v>
      </c>
      <c r="B275" s="4"/>
      <c r="C275" s="4"/>
      <c r="D275" s="4"/>
      <c r="E275" s="4"/>
      <c r="F275" s="4"/>
      <c r="G275" s="4"/>
      <c r="H275" s="4"/>
      <c r="I275" s="5">
        <v>5</v>
      </c>
      <c r="J275" s="5">
        <v>1</v>
      </c>
      <c r="K275" s="5">
        <v>23</v>
      </c>
      <c r="L275" s="5">
        <v>198.4</v>
      </c>
    </row>
    <row r="276" spans="1:12" x14ac:dyDescent="0.2">
      <c r="A276" t="s">
        <v>158</v>
      </c>
      <c r="B276" s="4"/>
      <c r="C276" s="4"/>
      <c r="D276" s="4"/>
      <c r="E276" s="4"/>
      <c r="F276" s="4"/>
      <c r="G276" s="4"/>
      <c r="H276" s="4"/>
      <c r="I276" s="5">
        <v>4</v>
      </c>
      <c r="J276" s="5">
        <v>2</v>
      </c>
      <c r="K276" s="5">
        <v>684.5</v>
      </c>
      <c r="L276" s="5">
        <v>523</v>
      </c>
    </row>
    <row r="277" spans="1:12" x14ac:dyDescent="0.2">
      <c r="A277" t="s">
        <v>184</v>
      </c>
      <c r="B277" s="4"/>
      <c r="C277" s="4"/>
      <c r="D277" s="4"/>
      <c r="E277" s="4"/>
      <c r="F277" s="4"/>
      <c r="G277" s="4"/>
      <c r="H277" s="4"/>
      <c r="I277" s="5">
        <v>4</v>
      </c>
      <c r="J277" s="5">
        <v>2</v>
      </c>
      <c r="K277" s="5">
        <v>160.5</v>
      </c>
      <c r="L277" s="5">
        <v>472.25</v>
      </c>
    </row>
    <row r="278" spans="1:12" x14ac:dyDescent="0.2">
      <c r="A278" t="s">
        <v>242</v>
      </c>
      <c r="B278" s="4"/>
      <c r="C278" s="4"/>
      <c r="D278" s="4"/>
      <c r="E278" s="4"/>
      <c r="F278" s="4"/>
      <c r="G278" s="4"/>
      <c r="H278" s="4"/>
      <c r="I278" s="5">
        <v>4</v>
      </c>
      <c r="J278" s="5"/>
      <c r="K278" s="5"/>
      <c r="L278" s="5">
        <v>551</v>
      </c>
    </row>
    <row r="279" spans="1:12" x14ac:dyDescent="0.2">
      <c r="A279" t="s">
        <v>196</v>
      </c>
      <c r="B279" s="4"/>
      <c r="C279" s="4"/>
      <c r="D279" s="4"/>
      <c r="E279" s="4"/>
      <c r="F279" s="4"/>
      <c r="G279" s="4"/>
      <c r="H279" s="4"/>
      <c r="I279" s="5">
        <v>4</v>
      </c>
      <c r="J279" s="5">
        <v>2</v>
      </c>
      <c r="K279" s="5">
        <v>16.5</v>
      </c>
      <c r="L279" s="5"/>
    </row>
    <row r="280" spans="1:12" x14ac:dyDescent="0.2">
      <c r="A280" t="s">
        <v>391</v>
      </c>
      <c r="B280" s="4"/>
      <c r="C280" s="4"/>
      <c r="D280" s="4"/>
      <c r="E280" s="4"/>
      <c r="F280" s="4"/>
      <c r="G280" s="4"/>
      <c r="H280" s="4"/>
      <c r="I280" s="5">
        <v>4</v>
      </c>
      <c r="J280" s="5"/>
      <c r="K280" s="5"/>
      <c r="L280" s="5">
        <v>401</v>
      </c>
    </row>
    <row r="281" spans="1:12" x14ac:dyDescent="0.2">
      <c r="A281" t="s">
        <v>96</v>
      </c>
      <c r="B281" s="4"/>
      <c r="C281" s="4"/>
      <c r="D281" s="4"/>
      <c r="E281" s="4"/>
      <c r="F281" s="4"/>
      <c r="G281" s="4"/>
      <c r="H281" s="4"/>
      <c r="I281" s="5">
        <v>4</v>
      </c>
      <c r="J281" s="5">
        <v>4</v>
      </c>
      <c r="K281" s="5">
        <v>66.5</v>
      </c>
      <c r="L281" s="5">
        <v>279.75</v>
      </c>
    </row>
    <row r="282" spans="1:12" x14ac:dyDescent="0.2">
      <c r="A282" t="s">
        <v>299</v>
      </c>
      <c r="B282" s="4"/>
      <c r="C282" s="4"/>
      <c r="D282" s="4"/>
      <c r="E282" s="4"/>
      <c r="F282" s="4"/>
      <c r="G282" s="4"/>
      <c r="H282" s="4"/>
      <c r="I282" s="5">
        <v>4</v>
      </c>
      <c r="J282" s="5">
        <v>2</v>
      </c>
      <c r="K282" s="5">
        <v>50</v>
      </c>
      <c r="L282" s="5">
        <v>98.5</v>
      </c>
    </row>
    <row r="283" spans="1:12" x14ac:dyDescent="0.2">
      <c r="A283" t="s">
        <v>77</v>
      </c>
      <c r="B283" s="4"/>
      <c r="C283" s="4"/>
      <c r="D283" s="4"/>
      <c r="E283" s="4"/>
      <c r="F283" s="4"/>
      <c r="G283" s="4"/>
      <c r="H283" s="4"/>
      <c r="I283" s="5">
        <v>4</v>
      </c>
      <c r="J283" s="5">
        <v>2</v>
      </c>
      <c r="K283" s="5">
        <v>201.5</v>
      </c>
      <c r="L283" s="5">
        <v>523</v>
      </c>
    </row>
    <row r="284" spans="1:12" x14ac:dyDescent="0.2">
      <c r="A284" t="s">
        <v>689</v>
      </c>
      <c r="B284" s="4"/>
      <c r="C284" s="4"/>
      <c r="D284" s="4"/>
      <c r="E284" s="4"/>
      <c r="F284" s="4"/>
      <c r="G284" s="4"/>
      <c r="H284" s="4"/>
      <c r="I284" s="5">
        <v>3</v>
      </c>
      <c r="J284" s="5"/>
      <c r="K284" s="5"/>
      <c r="L284" s="5"/>
    </row>
    <row r="285" spans="1:12" x14ac:dyDescent="0.2">
      <c r="A285" t="s">
        <v>125</v>
      </c>
      <c r="B285" s="4"/>
      <c r="C285" s="4"/>
      <c r="D285" s="4"/>
      <c r="E285" s="4"/>
      <c r="F285" s="4"/>
      <c r="G285" s="4"/>
      <c r="H285" s="4"/>
      <c r="I285" s="5">
        <v>3</v>
      </c>
      <c r="J285" s="5"/>
      <c r="K285" s="5"/>
      <c r="L285" s="5">
        <v>322</v>
      </c>
    </row>
    <row r="286" spans="1:12" x14ac:dyDescent="0.2">
      <c r="A286" t="s">
        <v>162</v>
      </c>
      <c r="B286" s="4"/>
      <c r="C286" s="4"/>
      <c r="D286" s="4"/>
      <c r="E286" s="4"/>
      <c r="F286" s="4"/>
      <c r="G286" s="4"/>
      <c r="H286" s="4"/>
      <c r="I286" s="5">
        <v>3</v>
      </c>
      <c r="J286" s="5">
        <v>2</v>
      </c>
      <c r="K286" s="5">
        <v>49.5</v>
      </c>
      <c r="L286" s="5">
        <v>223.66666666666671</v>
      </c>
    </row>
    <row r="287" spans="1:12" x14ac:dyDescent="0.2">
      <c r="A287" t="s">
        <v>22</v>
      </c>
      <c r="B287" s="4"/>
      <c r="C287" s="4"/>
      <c r="D287" s="4"/>
      <c r="E287" s="4"/>
      <c r="F287" s="4"/>
      <c r="G287" s="4"/>
      <c r="H287" s="4"/>
      <c r="I287" s="5">
        <v>3</v>
      </c>
      <c r="J287" s="5">
        <v>1</v>
      </c>
      <c r="K287" s="5">
        <v>57</v>
      </c>
      <c r="L287" s="5"/>
    </row>
    <row r="288" spans="1:12" x14ac:dyDescent="0.2">
      <c r="A288" t="s">
        <v>67</v>
      </c>
      <c r="B288" s="4"/>
      <c r="C288" s="4"/>
      <c r="D288" s="4"/>
      <c r="E288" s="4"/>
      <c r="F288" s="4"/>
      <c r="G288" s="4"/>
      <c r="H288" s="4"/>
      <c r="I288" s="5">
        <v>3</v>
      </c>
      <c r="J288" s="5">
        <v>3</v>
      </c>
      <c r="K288" s="5">
        <v>327</v>
      </c>
      <c r="L288" s="5"/>
    </row>
    <row r="289" spans="1:12" x14ac:dyDescent="0.2">
      <c r="A289" t="s">
        <v>31</v>
      </c>
      <c r="B289" s="4"/>
      <c r="C289" s="4"/>
      <c r="D289" s="4"/>
      <c r="E289" s="4"/>
      <c r="F289" s="4"/>
      <c r="G289" s="4"/>
      <c r="H289" s="4"/>
      <c r="I289" s="5">
        <v>3</v>
      </c>
      <c r="J289" s="5">
        <v>2</v>
      </c>
      <c r="K289" s="5">
        <v>22.5</v>
      </c>
      <c r="L289" s="5">
        <v>515.33333333333337</v>
      </c>
    </row>
    <row r="290" spans="1:12" x14ac:dyDescent="0.2">
      <c r="A290" t="s">
        <v>111</v>
      </c>
      <c r="B290" s="4"/>
      <c r="C290" s="4"/>
      <c r="D290" s="4"/>
      <c r="E290" s="4"/>
      <c r="F290" s="4"/>
      <c r="G290" s="4"/>
      <c r="H290" s="4"/>
      <c r="I290" s="5">
        <v>3</v>
      </c>
      <c r="J290" s="5">
        <v>1</v>
      </c>
      <c r="K290" s="5">
        <v>47</v>
      </c>
      <c r="L290" s="5">
        <v>463.33333333333331</v>
      </c>
    </row>
    <row r="291" spans="1:12" x14ac:dyDescent="0.2">
      <c r="A291" t="s">
        <v>92</v>
      </c>
      <c r="B291" s="4"/>
      <c r="C291" s="4"/>
      <c r="D291" s="4"/>
      <c r="E291" s="4"/>
      <c r="F291" s="4"/>
      <c r="G291" s="4"/>
      <c r="H291" s="4"/>
      <c r="I291" s="5">
        <v>3</v>
      </c>
      <c r="J291" s="5"/>
      <c r="K291" s="5"/>
      <c r="L291" s="5">
        <v>918</v>
      </c>
    </row>
    <row r="292" spans="1:12" x14ac:dyDescent="0.2">
      <c r="A292" t="s">
        <v>103</v>
      </c>
      <c r="B292" s="4"/>
      <c r="C292" s="4"/>
      <c r="D292" s="4"/>
      <c r="E292" s="4"/>
      <c r="F292" s="4"/>
      <c r="G292" s="4"/>
      <c r="H292" s="4"/>
      <c r="I292" s="5">
        <v>3</v>
      </c>
      <c r="J292" s="5"/>
      <c r="K292" s="5"/>
      <c r="L292" s="5">
        <v>362.33333333333331</v>
      </c>
    </row>
    <row r="293" spans="1:12" x14ac:dyDescent="0.2">
      <c r="A293" t="s">
        <v>555</v>
      </c>
      <c r="B293" s="4"/>
      <c r="C293" s="4"/>
      <c r="D293" s="4"/>
      <c r="E293" s="4"/>
      <c r="F293" s="4"/>
      <c r="G293" s="4"/>
      <c r="H293" s="4"/>
      <c r="I293" s="5">
        <v>3</v>
      </c>
      <c r="J293" s="5">
        <v>1</v>
      </c>
      <c r="K293" s="5">
        <v>1161</v>
      </c>
      <c r="L293" s="5"/>
    </row>
    <row r="294" spans="1:12" x14ac:dyDescent="0.2">
      <c r="A294" t="s">
        <v>129</v>
      </c>
      <c r="B294" s="4"/>
      <c r="C294" s="4"/>
      <c r="D294" s="4"/>
      <c r="E294" s="4"/>
      <c r="F294" s="4"/>
      <c r="G294" s="4"/>
      <c r="H294" s="4"/>
      <c r="I294" s="5">
        <v>3</v>
      </c>
      <c r="J294" s="5">
        <v>1</v>
      </c>
      <c r="K294" s="5">
        <v>57</v>
      </c>
      <c r="L294" s="5">
        <v>263</v>
      </c>
    </row>
    <row r="295" spans="1:12" x14ac:dyDescent="0.2">
      <c r="A295" t="s">
        <v>100</v>
      </c>
      <c r="B295" s="4"/>
      <c r="C295" s="4"/>
      <c r="D295" s="4"/>
      <c r="E295" s="4"/>
      <c r="F295" s="4"/>
      <c r="G295" s="4"/>
      <c r="H295" s="4"/>
      <c r="I295" s="5">
        <v>3</v>
      </c>
      <c r="J295" s="5"/>
      <c r="K295" s="5"/>
      <c r="L295" s="5">
        <v>717</v>
      </c>
    </row>
    <row r="296" spans="1:12" x14ac:dyDescent="0.2">
      <c r="A296" t="s">
        <v>83</v>
      </c>
      <c r="B296" s="4"/>
      <c r="C296" s="4"/>
      <c r="D296" s="4"/>
      <c r="E296" s="4"/>
      <c r="F296" s="4"/>
      <c r="G296" s="4"/>
      <c r="H296" s="4"/>
      <c r="I296" s="5">
        <v>3</v>
      </c>
      <c r="J296" s="5"/>
      <c r="K296" s="5"/>
      <c r="L296" s="5"/>
    </row>
    <row r="297" spans="1:12" x14ac:dyDescent="0.2">
      <c r="A297" t="s">
        <v>840</v>
      </c>
      <c r="B297" s="4"/>
      <c r="C297" s="4"/>
      <c r="D297" s="4"/>
      <c r="E297" s="4"/>
      <c r="F297" s="4"/>
      <c r="G297" s="4"/>
      <c r="H297" s="4"/>
      <c r="I297" s="5">
        <v>3</v>
      </c>
      <c r="J297" s="5"/>
      <c r="K297" s="5"/>
      <c r="L297" s="5"/>
    </row>
    <row r="298" spans="1:12" x14ac:dyDescent="0.2">
      <c r="A298" t="s">
        <v>338</v>
      </c>
      <c r="B298" s="4"/>
      <c r="C298" s="4"/>
      <c r="D298" s="4"/>
      <c r="E298" s="4"/>
      <c r="F298" s="4"/>
      <c r="G298" s="4"/>
      <c r="H298" s="4"/>
      <c r="I298" s="5">
        <v>3</v>
      </c>
      <c r="J298" s="5">
        <v>1</v>
      </c>
      <c r="K298" s="5">
        <v>139</v>
      </c>
      <c r="L298" s="5">
        <v>245</v>
      </c>
    </row>
    <row r="299" spans="1:12" x14ac:dyDescent="0.2">
      <c r="A299" t="s">
        <v>506</v>
      </c>
      <c r="B299" s="4"/>
      <c r="C299" s="4"/>
      <c r="D299" s="4"/>
      <c r="E299" s="4"/>
      <c r="F299" s="4"/>
      <c r="G299" s="4"/>
      <c r="H299" s="4"/>
      <c r="I299" s="5">
        <v>3</v>
      </c>
      <c r="J299" s="5">
        <v>1</v>
      </c>
      <c r="K299" s="5">
        <v>56</v>
      </c>
      <c r="L299" s="5">
        <v>22.666666666666671</v>
      </c>
    </row>
    <row r="300" spans="1:12" x14ac:dyDescent="0.2">
      <c r="A300" t="s">
        <v>405</v>
      </c>
      <c r="B300" s="4"/>
      <c r="C300" s="4"/>
      <c r="D300" s="4"/>
      <c r="E300" s="4"/>
      <c r="F300" s="4"/>
      <c r="G300" s="4"/>
      <c r="H300" s="4"/>
      <c r="I300" s="5">
        <v>3</v>
      </c>
      <c r="J300" s="5">
        <v>1</v>
      </c>
      <c r="K300" s="5">
        <v>98</v>
      </c>
      <c r="L300" s="5">
        <v>171</v>
      </c>
    </row>
    <row r="301" spans="1:12" x14ac:dyDescent="0.2">
      <c r="A301" t="s">
        <v>193</v>
      </c>
      <c r="B301" s="4"/>
      <c r="C301" s="4"/>
      <c r="D301" s="4"/>
      <c r="E301" s="4"/>
      <c r="F301" s="4"/>
      <c r="G301" s="4"/>
      <c r="H301" s="4"/>
      <c r="I301" s="5">
        <v>3</v>
      </c>
      <c r="J301" s="5">
        <v>2</v>
      </c>
      <c r="K301" s="5">
        <v>266.5</v>
      </c>
      <c r="L301" s="5">
        <v>912</v>
      </c>
    </row>
    <row r="302" spans="1:12" x14ac:dyDescent="0.2">
      <c r="A302" t="s">
        <v>98</v>
      </c>
      <c r="B302" s="4"/>
      <c r="C302" s="4"/>
      <c r="D302" s="4"/>
      <c r="E302" s="4"/>
      <c r="F302" s="4"/>
      <c r="G302" s="4"/>
      <c r="H302" s="4"/>
      <c r="I302" s="5">
        <v>3</v>
      </c>
      <c r="J302" s="5"/>
      <c r="K302" s="5"/>
      <c r="L302" s="5"/>
    </row>
    <row r="303" spans="1:12" x14ac:dyDescent="0.2">
      <c r="A303" t="s">
        <v>221</v>
      </c>
      <c r="B303" s="4"/>
      <c r="C303" s="4"/>
      <c r="D303" s="4"/>
      <c r="E303" s="4"/>
      <c r="F303" s="4"/>
      <c r="G303" s="4"/>
      <c r="H303" s="4"/>
      <c r="I303" s="5">
        <v>3</v>
      </c>
      <c r="J303" s="5">
        <v>1</v>
      </c>
      <c r="K303" s="5">
        <v>87</v>
      </c>
      <c r="L303" s="5"/>
    </row>
    <row r="304" spans="1:12" x14ac:dyDescent="0.2">
      <c r="A304" t="s">
        <v>582</v>
      </c>
      <c r="B304" s="4"/>
      <c r="C304" s="4"/>
      <c r="D304" s="4"/>
      <c r="E304" s="4"/>
      <c r="F304" s="4"/>
      <c r="G304" s="4"/>
      <c r="H304" s="4"/>
      <c r="I304" s="5">
        <v>2</v>
      </c>
      <c r="J304" s="5">
        <v>2</v>
      </c>
      <c r="K304" s="5">
        <v>298</v>
      </c>
      <c r="L304" s="5">
        <v>137</v>
      </c>
    </row>
    <row r="305" spans="1:12" x14ac:dyDescent="0.2">
      <c r="A305" t="s">
        <v>456</v>
      </c>
      <c r="B305" s="4"/>
      <c r="C305" s="4"/>
      <c r="D305" s="4"/>
      <c r="E305" s="4"/>
      <c r="F305" s="4"/>
      <c r="G305" s="4"/>
      <c r="H305" s="4"/>
      <c r="I305" s="5">
        <v>2</v>
      </c>
      <c r="J305" s="5">
        <v>1</v>
      </c>
      <c r="K305" s="5">
        <v>34</v>
      </c>
      <c r="L305" s="5">
        <v>416</v>
      </c>
    </row>
    <row r="306" spans="1:12" x14ac:dyDescent="0.2">
      <c r="A306" t="s">
        <v>313</v>
      </c>
      <c r="B306" s="4"/>
      <c r="C306" s="4"/>
      <c r="D306" s="4"/>
      <c r="E306" s="4"/>
      <c r="F306" s="4"/>
      <c r="G306" s="4"/>
      <c r="H306" s="4"/>
      <c r="I306" s="5">
        <v>2</v>
      </c>
      <c r="J306" s="5"/>
      <c r="K306" s="5"/>
      <c r="L306" s="5">
        <v>421</v>
      </c>
    </row>
    <row r="307" spans="1:12" x14ac:dyDescent="0.2">
      <c r="A307" t="s">
        <v>450</v>
      </c>
      <c r="B307" s="4"/>
      <c r="C307" s="4"/>
      <c r="D307" s="4"/>
      <c r="E307" s="4"/>
      <c r="F307" s="4"/>
      <c r="G307" s="4"/>
      <c r="H307" s="4"/>
      <c r="I307" s="5">
        <v>2</v>
      </c>
      <c r="J307" s="5"/>
      <c r="K307" s="5"/>
      <c r="L307" s="5">
        <v>250</v>
      </c>
    </row>
    <row r="308" spans="1:12" x14ac:dyDescent="0.2">
      <c r="A308" t="s">
        <v>219</v>
      </c>
      <c r="B308" s="4"/>
      <c r="C308" s="4"/>
      <c r="D308" s="4"/>
      <c r="E308" s="4"/>
      <c r="F308" s="4"/>
      <c r="G308" s="4"/>
      <c r="H308" s="4"/>
      <c r="I308" s="5">
        <v>2</v>
      </c>
      <c r="J308" s="5">
        <v>1</v>
      </c>
      <c r="K308" s="5">
        <v>26</v>
      </c>
      <c r="L308" s="5"/>
    </row>
    <row r="309" spans="1:12" x14ac:dyDescent="0.2">
      <c r="A309" t="s">
        <v>331</v>
      </c>
      <c r="B309" s="4"/>
      <c r="C309" s="4"/>
      <c r="D309" s="4"/>
      <c r="E309" s="4"/>
      <c r="F309" s="4"/>
      <c r="G309" s="4"/>
      <c r="H309" s="4"/>
      <c r="I309" s="5">
        <v>2</v>
      </c>
      <c r="J309" s="5"/>
      <c r="K309" s="5"/>
      <c r="L309" s="5">
        <v>248</v>
      </c>
    </row>
    <row r="310" spans="1:12" x14ac:dyDescent="0.2">
      <c r="A310" t="s">
        <v>279</v>
      </c>
      <c r="B310" s="4"/>
      <c r="C310" s="4"/>
      <c r="D310" s="4"/>
      <c r="E310" s="4"/>
      <c r="F310" s="4"/>
      <c r="G310" s="4"/>
      <c r="H310" s="4"/>
      <c r="I310" s="5">
        <v>2</v>
      </c>
      <c r="J310" s="5">
        <v>1</v>
      </c>
      <c r="K310" s="5">
        <v>60</v>
      </c>
      <c r="L310" s="5"/>
    </row>
    <row r="311" spans="1:12" x14ac:dyDescent="0.2">
      <c r="A311" t="s">
        <v>107</v>
      </c>
      <c r="B311" s="4"/>
      <c r="C311" s="4"/>
      <c r="D311" s="4"/>
      <c r="E311" s="4"/>
      <c r="F311" s="4"/>
      <c r="G311" s="4"/>
      <c r="H311" s="4"/>
      <c r="I311" s="5">
        <v>2</v>
      </c>
      <c r="J311" s="5">
        <v>1</v>
      </c>
      <c r="K311" s="5">
        <v>286</v>
      </c>
      <c r="L311" s="5">
        <v>305.5</v>
      </c>
    </row>
    <row r="312" spans="1:12" x14ac:dyDescent="0.2">
      <c r="A312" t="s">
        <v>281</v>
      </c>
      <c r="B312" s="4"/>
      <c r="C312" s="4"/>
      <c r="D312" s="4"/>
      <c r="E312" s="4"/>
      <c r="F312" s="4"/>
      <c r="G312" s="4"/>
      <c r="H312" s="4"/>
      <c r="I312" s="5">
        <v>2</v>
      </c>
      <c r="J312" s="5">
        <v>1</v>
      </c>
      <c r="K312" s="5">
        <v>234</v>
      </c>
      <c r="L312" s="5">
        <v>827</v>
      </c>
    </row>
    <row r="313" spans="1:12" x14ac:dyDescent="0.2">
      <c r="A313" t="s">
        <v>255</v>
      </c>
      <c r="B313" s="4"/>
      <c r="C313" s="4"/>
      <c r="D313" s="4"/>
      <c r="E313" s="4"/>
      <c r="F313" s="4"/>
      <c r="G313" s="4"/>
      <c r="H313" s="4"/>
      <c r="I313" s="5">
        <v>2</v>
      </c>
      <c r="J313" s="5">
        <v>1</v>
      </c>
      <c r="K313" s="5">
        <v>37</v>
      </c>
      <c r="L313" s="5">
        <v>290</v>
      </c>
    </row>
    <row r="314" spans="1:12" x14ac:dyDescent="0.2">
      <c r="A314" t="s">
        <v>616</v>
      </c>
      <c r="B314" s="4"/>
      <c r="C314" s="4"/>
      <c r="D314" s="4"/>
      <c r="E314" s="4"/>
      <c r="F314" s="4"/>
      <c r="G314" s="4"/>
      <c r="H314" s="4"/>
      <c r="I314" s="5">
        <v>2</v>
      </c>
      <c r="J314" s="5"/>
      <c r="K314" s="5"/>
      <c r="L314" s="5">
        <v>63</v>
      </c>
    </row>
    <row r="315" spans="1:12" x14ac:dyDescent="0.2">
      <c r="A315" t="s">
        <v>273</v>
      </c>
      <c r="B315" s="4"/>
      <c r="C315" s="4"/>
      <c r="D315" s="4"/>
      <c r="E315" s="4"/>
      <c r="F315" s="4"/>
      <c r="G315" s="4"/>
      <c r="H315" s="4"/>
      <c r="I315" s="5">
        <v>2</v>
      </c>
      <c r="J315" s="5"/>
      <c r="K315" s="5"/>
      <c r="L315" s="5">
        <v>447</v>
      </c>
    </row>
    <row r="316" spans="1:12" x14ac:dyDescent="0.2">
      <c r="A316" t="s">
        <v>292</v>
      </c>
      <c r="B316" s="4"/>
      <c r="C316" s="4"/>
      <c r="D316" s="4"/>
      <c r="E316" s="4"/>
      <c r="F316" s="4"/>
      <c r="G316" s="4"/>
      <c r="H316" s="4"/>
      <c r="I316" s="5">
        <v>2</v>
      </c>
      <c r="J316" s="5">
        <v>1</v>
      </c>
      <c r="K316" s="5">
        <v>323</v>
      </c>
      <c r="L316" s="5">
        <v>378.5</v>
      </c>
    </row>
    <row r="317" spans="1:12" x14ac:dyDescent="0.2">
      <c r="A317" t="s">
        <v>56</v>
      </c>
      <c r="B317" s="4"/>
      <c r="C317" s="4"/>
      <c r="D317" s="4"/>
      <c r="E317" s="4"/>
      <c r="F317" s="4"/>
      <c r="G317" s="4"/>
      <c r="H317" s="4"/>
      <c r="I317" s="5">
        <v>2</v>
      </c>
      <c r="J317" s="5">
        <v>2</v>
      </c>
      <c r="K317" s="5">
        <v>87.5</v>
      </c>
      <c r="L317" s="5">
        <v>400</v>
      </c>
    </row>
    <row r="318" spans="1:12" x14ac:dyDescent="0.2">
      <c r="A318" t="s">
        <v>726</v>
      </c>
      <c r="B318" s="4"/>
      <c r="C318" s="4"/>
      <c r="D318" s="4"/>
      <c r="E318" s="4"/>
      <c r="F318" s="4"/>
      <c r="G318" s="4"/>
      <c r="H318" s="4"/>
      <c r="I318" s="5">
        <v>2</v>
      </c>
      <c r="J318" s="5"/>
      <c r="K318" s="5"/>
      <c r="L318" s="5"/>
    </row>
    <row r="319" spans="1:12" x14ac:dyDescent="0.2">
      <c r="A319" t="s">
        <v>620</v>
      </c>
      <c r="B319" s="4"/>
      <c r="C319" s="4"/>
      <c r="D319" s="4"/>
      <c r="E319" s="4"/>
      <c r="F319" s="4"/>
      <c r="G319" s="4"/>
      <c r="H319" s="4"/>
      <c r="I319" s="5">
        <v>2</v>
      </c>
      <c r="J319" s="5"/>
      <c r="K319" s="5"/>
      <c r="L319" s="5">
        <v>25</v>
      </c>
    </row>
    <row r="320" spans="1:12" x14ac:dyDescent="0.2">
      <c r="A320" t="s">
        <v>452</v>
      </c>
      <c r="B320" s="4"/>
      <c r="C320" s="4"/>
      <c r="D320" s="4"/>
      <c r="E320" s="4"/>
      <c r="F320" s="4"/>
      <c r="G320" s="4"/>
      <c r="H320" s="4"/>
      <c r="I320" s="5">
        <v>2</v>
      </c>
      <c r="J320" s="5">
        <v>1</v>
      </c>
      <c r="K320" s="5">
        <v>216</v>
      </c>
      <c r="L320" s="5"/>
    </row>
    <row r="321" spans="1:12" x14ac:dyDescent="0.2">
      <c r="A321" t="s">
        <v>694</v>
      </c>
      <c r="B321" s="4"/>
      <c r="C321" s="4"/>
      <c r="D321" s="4"/>
      <c r="E321" s="4"/>
      <c r="F321" s="4"/>
      <c r="G321" s="4"/>
      <c r="H321" s="4"/>
      <c r="I321" s="5">
        <v>2</v>
      </c>
      <c r="J321" s="5"/>
      <c r="K321" s="5"/>
      <c r="L321" s="5">
        <v>11</v>
      </c>
    </row>
    <row r="322" spans="1:12" x14ac:dyDescent="0.2">
      <c r="A322" t="s">
        <v>500</v>
      </c>
      <c r="B322" s="4"/>
      <c r="C322" s="4"/>
      <c r="D322" s="4"/>
      <c r="E322" s="4"/>
      <c r="F322" s="4"/>
      <c r="G322" s="4"/>
      <c r="H322" s="4"/>
      <c r="I322" s="5">
        <v>2</v>
      </c>
      <c r="J322" s="5">
        <v>1</v>
      </c>
      <c r="K322" s="5">
        <v>62</v>
      </c>
      <c r="L322" s="5">
        <v>236</v>
      </c>
    </row>
    <row r="323" spans="1:12" x14ac:dyDescent="0.2">
      <c r="A323" t="s">
        <v>238</v>
      </c>
      <c r="B323" s="4"/>
      <c r="C323" s="4"/>
      <c r="D323" s="4"/>
      <c r="E323" s="4"/>
      <c r="F323" s="4"/>
      <c r="G323" s="4"/>
      <c r="H323" s="4"/>
      <c r="I323" s="5">
        <v>2</v>
      </c>
      <c r="J323" s="5">
        <v>1</v>
      </c>
      <c r="K323" s="5">
        <v>78</v>
      </c>
      <c r="L323" s="5">
        <v>278.5</v>
      </c>
    </row>
    <row r="324" spans="1:12" x14ac:dyDescent="0.2">
      <c r="A324" t="s">
        <v>407</v>
      </c>
      <c r="B324" s="4"/>
      <c r="C324" s="4"/>
      <c r="D324" s="4"/>
      <c r="E324" s="4"/>
      <c r="F324" s="4"/>
      <c r="G324" s="4"/>
      <c r="H324" s="4"/>
      <c r="I324" s="5">
        <v>2</v>
      </c>
      <c r="J324" s="5"/>
      <c r="K324" s="5"/>
      <c r="L324" s="5">
        <v>123</v>
      </c>
    </row>
    <row r="325" spans="1:12" x14ac:dyDescent="0.2">
      <c r="A325" t="s">
        <v>266</v>
      </c>
      <c r="B325" s="4"/>
      <c r="C325" s="4"/>
      <c r="D325" s="4"/>
      <c r="E325" s="4"/>
      <c r="F325" s="4"/>
      <c r="G325" s="4"/>
      <c r="H325" s="4"/>
      <c r="I325" s="5">
        <v>2</v>
      </c>
      <c r="J325" s="5">
        <v>1</v>
      </c>
      <c r="K325" s="5">
        <v>111</v>
      </c>
      <c r="L325" s="5">
        <v>511</v>
      </c>
    </row>
    <row r="326" spans="1:12" x14ac:dyDescent="0.2">
      <c r="A326" t="s">
        <v>681</v>
      </c>
      <c r="B326" s="4"/>
      <c r="C326" s="4"/>
      <c r="D326" s="4"/>
      <c r="E326" s="4"/>
      <c r="F326" s="4"/>
      <c r="G326" s="4"/>
      <c r="H326" s="4"/>
      <c r="I326" s="5">
        <v>2</v>
      </c>
      <c r="J326" s="5"/>
      <c r="K326" s="5"/>
      <c r="L326" s="5">
        <v>173</v>
      </c>
    </row>
    <row r="327" spans="1:12" x14ac:dyDescent="0.2">
      <c r="A327" t="s">
        <v>510</v>
      </c>
      <c r="B327" s="4"/>
      <c r="C327" s="4"/>
      <c r="D327" s="4"/>
      <c r="E327" s="4"/>
      <c r="F327" s="4"/>
      <c r="G327" s="4"/>
      <c r="H327" s="4"/>
      <c r="I327" s="5">
        <v>2</v>
      </c>
      <c r="J327" s="5">
        <v>1</v>
      </c>
      <c r="K327" s="5">
        <v>542</v>
      </c>
      <c r="L327" s="5">
        <v>131</v>
      </c>
    </row>
    <row r="328" spans="1:12" x14ac:dyDescent="0.2">
      <c r="A328" t="s">
        <v>251</v>
      </c>
      <c r="B328" s="4"/>
      <c r="C328" s="4"/>
      <c r="D328" s="4"/>
      <c r="E328" s="4"/>
      <c r="F328" s="4"/>
      <c r="G328" s="4"/>
      <c r="H328" s="4"/>
      <c r="I328" s="5">
        <v>2</v>
      </c>
      <c r="J328" s="5">
        <v>1</v>
      </c>
      <c r="K328" s="5">
        <v>63</v>
      </c>
      <c r="L328" s="5">
        <v>681</v>
      </c>
    </row>
    <row r="329" spans="1:12" x14ac:dyDescent="0.2">
      <c r="A329" t="s">
        <v>440</v>
      </c>
      <c r="B329" s="4"/>
      <c r="C329" s="4"/>
      <c r="D329" s="4"/>
      <c r="E329" s="4"/>
      <c r="F329" s="4"/>
      <c r="G329" s="4"/>
      <c r="H329" s="4"/>
      <c r="I329" s="5">
        <v>2</v>
      </c>
      <c r="J329" s="5"/>
      <c r="K329" s="5"/>
      <c r="L329" s="5">
        <v>196.5</v>
      </c>
    </row>
    <row r="330" spans="1:12" x14ac:dyDescent="0.2">
      <c r="A330" t="s">
        <v>177</v>
      </c>
      <c r="B330" s="4"/>
      <c r="C330" s="4"/>
      <c r="D330" s="4"/>
      <c r="E330" s="4"/>
      <c r="F330" s="4"/>
      <c r="G330" s="4"/>
      <c r="H330" s="4"/>
      <c r="I330" s="5">
        <v>2</v>
      </c>
      <c r="J330" s="5"/>
      <c r="K330" s="5"/>
      <c r="L330" s="5">
        <v>531</v>
      </c>
    </row>
    <row r="331" spans="1:12" x14ac:dyDescent="0.2">
      <c r="A331" t="s">
        <v>213</v>
      </c>
      <c r="B331" s="4"/>
      <c r="C331" s="4"/>
      <c r="D331" s="4"/>
      <c r="E331" s="4"/>
      <c r="F331" s="4"/>
      <c r="G331" s="4"/>
      <c r="H331" s="4"/>
      <c r="I331" s="5">
        <v>2</v>
      </c>
      <c r="J331" s="5">
        <v>1</v>
      </c>
      <c r="K331" s="5">
        <v>65</v>
      </c>
      <c r="L331" s="5">
        <v>234</v>
      </c>
    </row>
    <row r="332" spans="1:12" x14ac:dyDescent="0.2">
      <c r="A332" t="s">
        <v>208</v>
      </c>
      <c r="B332" s="4"/>
      <c r="C332" s="4"/>
      <c r="D332" s="4"/>
      <c r="E332" s="4"/>
      <c r="F332" s="4"/>
      <c r="G332" s="4"/>
      <c r="H332" s="4"/>
      <c r="I332" s="5">
        <v>2</v>
      </c>
      <c r="J332" s="5">
        <v>2</v>
      </c>
      <c r="K332" s="5">
        <v>159</v>
      </c>
      <c r="L332" s="5">
        <v>561</v>
      </c>
    </row>
    <row r="333" spans="1:12" x14ac:dyDescent="0.2">
      <c r="A333" t="s">
        <v>69</v>
      </c>
      <c r="B333" s="4"/>
      <c r="C333" s="4"/>
      <c r="D333" s="4"/>
      <c r="E333" s="4"/>
      <c r="F333" s="4"/>
      <c r="G333" s="4"/>
      <c r="H333" s="4"/>
      <c r="I333" s="5">
        <v>2</v>
      </c>
      <c r="J333" s="5">
        <v>1</v>
      </c>
      <c r="K333" s="5">
        <v>36</v>
      </c>
      <c r="L333" s="5">
        <v>574</v>
      </c>
    </row>
    <row r="334" spans="1:12" x14ac:dyDescent="0.2">
      <c r="A334" t="s">
        <v>388</v>
      </c>
      <c r="B334" s="4"/>
      <c r="C334" s="4"/>
      <c r="D334" s="4"/>
      <c r="E334" s="4"/>
      <c r="F334" s="4"/>
      <c r="G334" s="4"/>
      <c r="H334" s="4"/>
      <c r="I334" s="5">
        <v>2</v>
      </c>
      <c r="J334" s="5"/>
      <c r="K334" s="5"/>
      <c r="L334" s="5"/>
    </row>
    <row r="335" spans="1:12" x14ac:dyDescent="0.2">
      <c r="A335" t="s">
        <v>370</v>
      </c>
      <c r="B335" s="4"/>
      <c r="C335" s="4"/>
      <c r="D335" s="4"/>
      <c r="E335" s="4"/>
      <c r="F335" s="4"/>
      <c r="G335" s="4"/>
      <c r="H335" s="4"/>
      <c r="I335" s="5">
        <v>2</v>
      </c>
      <c r="J335" s="5">
        <v>1</v>
      </c>
      <c r="K335" s="5">
        <v>414</v>
      </c>
      <c r="L335" s="5">
        <v>446</v>
      </c>
    </row>
    <row r="336" spans="1:12" x14ac:dyDescent="0.2">
      <c r="A336" t="s">
        <v>576</v>
      </c>
      <c r="B336" s="4"/>
      <c r="C336" s="4"/>
      <c r="D336" s="4"/>
      <c r="E336" s="4"/>
      <c r="F336" s="4"/>
      <c r="G336" s="4"/>
      <c r="H336" s="4"/>
      <c r="I336" s="5">
        <v>2</v>
      </c>
      <c r="J336" s="5"/>
      <c r="K336" s="5"/>
      <c r="L336" s="5"/>
    </row>
    <row r="337" spans="1:12" x14ac:dyDescent="0.2">
      <c r="A337" t="s">
        <v>529</v>
      </c>
      <c r="B337" s="4"/>
      <c r="C337" s="4"/>
      <c r="D337" s="4"/>
      <c r="E337" s="4"/>
      <c r="F337" s="4"/>
      <c r="G337" s="4"/>
      <c r="H337" s="4"/>
      <c r="I337" s="5">
        <v>2</v>
      </c>
      <c r="J337" s="5"/>
      <c r="K337" s="5"/>
      <c r="L337" s="5"/>
    </row>
    <row r="338" spans="1:12" x14ac:dyDescent="0.2">
      <c r="A338" t="s">
        <v>596</v>
      </c>
      <c r="B338" s="4"/>
      <c r="C338" s="4"/>
      <c r="D338" s="4"/>
      <c r="E338" s="4"/>
      <c r="F338" s="4"/>
      <c r="G338" s="4"/>
      <c r="H338" s="4"/>
      <c r="I338" s="5">
        <v>2</v>
      </c>
      <c r="J338" s="5">
        <v>2</v>
      </c>
      <c r="K338" s="5">
        <v>107</v>
      </c>
      <c r="L338" s="5">
        <v>34</v>
      </c>
    </row>
    <row r="339" spans="1:12" x14ac:dyDescent="0.2">
      <c r="A339" t="s">
        <v>326</v>
      </c>
      <c r="B339" s="4"/>
      <c r="C339" s="4"/>
      <c r="D339" s="4"/>
      <c r="E339" s="4"/>
      <c r="F339" s="4"/>
      <c r="G339" s="4"/>
      <c r="H339" s="4"/>
      <c r="I339" s="5">
        <v>2</v>
      </c>
      <c r="J339" s="5">
        <v>1</v>
      </c>
      <c r="K339" s="5">
        <v>114</v>
      </c>
      <c r="L339" s="5"/>
    </row>
    <row r="340" spans="1:12" x14ac:dyDescent="0.2">
      <c r="A340" t="s">
        <v>24</v>
      </c>
      <c r="B340" s="4"/>
      <c r="C340" s="4"/>
      <c r="D340" s="4"/>
      <c r="E340" s="4"/>
      <c r="F340" s="4"/>
      <c r="G340" s="4"/>
      <c r="H340" s="4"/>
      <c r="I340" s="5">
        <v>2</v>
      </c>
      <c r="J340" s="5">
        <v>2</v>
      </c>
      <c r="K340" s="5">
        <v>297</v>
      </c>
      <c r="L340" s="5">
        <v>592</v>
      </c>
    </row>
    <row r="341" spans="1:12" x14ac:dyDescent="0.2">
      <c r="A341" t="s">
        <v>191</v>
      </c>
      <c r="B341" s="4"/>
      <c r="C341" s="4"/>
      <c r="D341" s="4"/>
      <c r="E341" s="4"/>
      <c r="F341" s="4"/>
      <c r="G341" s="4"/>
      <c r="H341" s="4"/>
      <c r="I341" s="5">
        <v>2</v>
      </c>
      <c r="J341" s="5">
        <v>2</v>
      </c>
      <c r="K341" s="5">
        <v>47.5</v>
      </c>
      <c r="L341" s="5">
        <v>357.5</v>
      </c>
    </row>
    <row r="342" spans="1:12" x14ac:dyDescent="0.2">
      <c r="A342" t="s">
        <v>546</v>
      </c>
      <c r="B342" s="4"/>
      <c r="C342" s="4"/>
      <c r="D342" s="4"/>
      <c r="E342" s="4"/>
      <c r="F342" s="4"/>
      <c r="G342" s="4"/>
      <c r="H342" s="4"/>
      <c r="I342" s="5">
        <v>1</v>
      </c>
      <c r="J342" s="5"/>
      <c r="K342" s="5"/>
      <c r="L342" s="5">
        <v>47</v>
      </c>
    </row>
    <row r="343" spans="1:12" x14ac:dyDescent="0.2">
      <c r="A343" t="s">
        <v>562</v>
      </c>
      <c r="B343" s="4"/>
      <c r="C343" s="4"/>
      <c r="D343" s="4"/>
      <c r="E343" s="4"/>
      <c r="F343" s="4"/>
      <c r="G343" s="4"/>
      <c r="H343" s="4"/>
      <c r="I343" s="5">
        <v>1</v>
      </c>
      <c r="J343" s="5"/>
      <c r="K343" s="5"/>
      <c r="L343" s="5">
        <v>2</v>
      </c>
    </row>
    <row r="344" spans="1:12" x14ac:dyDescent="0.2">
      <c r="A344" t="s">
        <v>608</v>
      </c>
      <c r="B344" s="4"/>
      <c r="C344" s="4"/>
      <c r="D344" s="4"/>
      <c r="E344" s="4"/>
      <c r="F344" s="4"/>
      <c r="G344" s="4"/>
      <c r="H344" s="4"/>
      <c r="I344" s="5">
        <v>1</v>
      </c>
      <c r="J344" s="5"/>
      <c r="K344" s="5"/>
      <c r="L344" s="5">
        <v>13</v>
      </c>
    </row>
    <row r="345" spans="1:12" x14ac:dyDescent="0.2">
      <c r="A345" t="s">
        <v>365</v>
      </c>
      <c r="B345" s="4"/>
      <c r="C345" s="4"/>
      <c r="D345" s="4"/>
      <c r="E345" s="4"/>
      <c r="F345" s="4"/>
      <c r="G345" s="4"/>
      <c r="H345" s="4"/>
      <c r="I345" s="5">
        <v>1</v>
      </c>
      <c r="J345" s="5">
        <v>1</v>
      </c>
      <c r="K345" s="5">
        <v>28</v>
      </c>
      <c r="L345" s="5">
        <v>153</v>
      </c>
    </row>
    <row r="346" spans="1:12" x14ac:dyDescent="0.2">
      <c r="A346" t="s">
        <v>653</v>
      </c>
      <c r="B346" s="4"/>
      <c r="C346" s="4"/>
      <c r="D346" s="4"/>
      <c r="E346" s="4"/>
      <c r="F346" s="4"/>
      <c r="G346" s="4"/>
      <c r="H346" s="4"/>
      <c r="I346" s="5">
        <v>1</v>
      </c>
      <c r="J346" s="5"/>
      <c r="K346" s="5"/>
      <c r="L346" s="5"/>
    </row>
    <row r="347" spans="1:12" x14ac:dyDescent="0.2">
      <c r="A347" t="s">
        <v>461</v>
      </c>
      <c r="B347" s="4"/>
      <c r="C347" s="4"/>
      <c r="D347" s="4"/>
      <c r="E347" s="4"/>
      <c r="F347" s="4"/>
      <c r="G347" s="4"/>
      <c r="H347" s="4"/>
      <c r="I347" s="5">
        <v>1</v>
      </c>
      <c r="J347" s="5">
        <v>1</v>
      </c>
      <c r="K347" s="5">
        <v>118</v>
      </c>
      <c r="L347" s="5">
        <v>631</v>
      </c>
    </row>
    <row r="348" spans="1:12" x14ac:dyDescent="0.2">
      <c r="A348" t="s">
        <v>340</v>
      </c>
      <c r="B348" s="4"/>
      <c r="C348" s="4"/>
      <c r="D348" s="4"/>
      <c r="E348" s="4"/>
      <c r="F348" s="4"/>
      <c r="G348" s="4"/>
      <c r="H348" s="4"/>
      <c r="I348" s="5">
        <v>1</v>
      </c>
      <c r="J348" s="5">
        <v>1</v>
      </c>
      <c r="K348" s="5">
        <v>211</v>
      </c>
      <c r="L348" s="5">
        <v>668</v>
      </c>
    </row>
    <row r="349" spans="1:12" x14ac:dyDescent="0.2">
      <c r="A349" t="s">
        <v>833</v>
      </c>
      <c r="B349" s="4"/>
      <c r="C349" s="4"/>
      <c r="D349" s="4"/>
      <c r="E349" s="4"/>
      <c r="F349" s="4"/>
      <c r="G349" s="4"/>
      <c r="H349" s="4"/>
      <c r="I349" s="5">
        <v>1</v>
      </c>
      <c r="J349" s="5"/>
      <c r="K349" s="5"/>
      <c r="L349" s="5"/>
    </row>
    <row r="350" spans="1:12" x14ac:dyDescent="0.2">
      <c r="A350" t="s">
        <v>548</v>
      </c>
      <c r="B350" s="4"/>
      <c r="C350" s="4"/>
      <c r="D350" s="4"/>
      <c r="E350" s="4"/>
      <c r="F350" s="4"/>
      <c r="G350" s="4"/>
      <c r="H350" s="4"/>
      <c r="I350" s="5">
        <v>1</v>
      </c>
      <c r="J350" s="5">
        <v>1</v>
      </c>
      <c r="K350" s="5">
        <v>733</v>
      </c>
      <c r="L350" s="5">
        <v>280</v>
      </c>
    </row>
    <row r="351" spans="1:12" x14ac:dyDescent="0.2">
      <c r="A351" t="s">
        <v>805</v>
      </c>
      <c r="B351" s="4"/>
      <c r="C351" s="4"/>
      <c r="D351" s="4"/>
      <c r="E351" s="4"/>
      <c r="F351" s="4"/>
      <c r="G351" s="4"/>
      <c r="H351" s="4"/>
      <c r="I351" s="5">
        <v>1</v>
      </c>
      <c r="J351" s="5"/>
      <c r="K351" s="5"/>
      <c r="L351" s="5"/>
    </row>
    <row r="352" spans="1:12" x14ac:dyDescent="0.2">
      <c r="A352" t="s">
        <v>687</v>
      </c>
      <c r="B352" s="4"/>
      <c r="C352" s="4"/>
      <c r="D352" s="4"/>
      <c r="E352" s="4"/>
      <c r="F352" s="4"/>
      <c r="G352" s="4"/>
      <c r="H352" s="4"/>
      <c r="I352" s="5">
        <v>1</v>
      </c>
      <c r="J352" s="5"/>
      <c r="K352" s="5"/>
      <c r="L352" s="5"/>
    </row>
    <row r="353" spans="1:12" x14ac:dyDescent="0.2">
      <c r="A353" t="s">
        <v>601</v>
      </c>
      <c r="B353" s="4"/>
      <c r="C353" s="4"/>
      <c r="D353" s="4"/>
      <c r="E353" s="4"/>
      <c r="F353" s="4"/>
      <c r="G353" s="4"/>
      <c r="H353" s="4"/>
      <c r="I353" s="5">
        <v>1</v>
      </c>
      <c r="J353" s="5">
        <v>1</v>
      </c>
      <c r="K353" s="5">
        <v>837</v>
      </c>
      <c r="L353" s="5"/>
    </row>
    <row r="354" spans="1:12" x14ac:dyDescent="0.2">
      <c r="A354" t="s">
        <v>401</v>
      </c>
      <c r="B354" s="4"/>
      <c r="C354" s="4"/>
      <c r="D354" s="4"/>
      <c r="E354" s="4"/>
      <c r="F354" s="4"/>
      <c r="G354" s="4"/>
      <c r="H354" s="4"/>
      <c r="I354" s="5">
        <v>1</v>
      </c>
      <c r="J354" s="5"/>
      <c r="K354" s="5"/>
      <c r="L354" s="5"/>
    </row>
    <row r="355" spans="1:12" x14ac:dyDescent="0.2">
      <c r="A355" t="s">
        <v>232</v>
      </c>
      <c r="B355" s="4"/>
      <c r="C355" s="4"/>
      <c r="D355" s="4"/>
      <c r="E355" s="4"/>
      <c r="F355" s="4"/>
      <c r="G355" s="4"/>
      <c r="H355" s="4"/>
      <c r="I355" s="5">
        <v>1</v>
      </c>
      <c r="J355" s="5">
        <v>1</v>
      </c>
      <c r="K355" s="5">
        <v>11</v>
      </c>
      <c r="L355" s="5"/>
    </row>
    <row r="356" spans="1:12" x14ac:dyDescent="0.2">
      <c r="A356" t="s">
        <v>526</v>
      </c>
      <c r="B356" s="4"/>
      <c r="C356" s="4"/>
      <c r="D356" s="4"/>
      <c r="E356" s="4"/>
      <c r="F356" s="4"/>
      <c r="G356" s="4"/>
      <c r="H356" s="4"/>
      <c r="I356" s="5">
        <v>1</v>
      </c>
      <c r="J356" s="5"/>
      <c r="K356" s="5"/>
      <c r="L356" s="5">
        <v>10</v>
      </c>
    </row>
    <row r="357" spans="1:12" x14ac:dyDescent="0.2">
      <c r="A357" t="s">
        <v>393</v>
      </c>
      <c r="B357" s="4"/>
      <c r="C357" s="4"/>
      <c r="D357" s="4"/>
      <c r="E357" s="4"/>
      <c r="F357" s="4"/>
      <c r="G357" s="4"/>
      <c r="H357" s="4"/>
      <c r="I357" s="5">
        <v>1</v>
      </c>
      <c r="J357" s="5"/>
      <c r="K357" s="5"/>
      <c r="L357" s="5"/>
    </row>
    <row r="358" spans="1:12" x14ac:dyDescent="0.2">
      <c r="A358" t="s">
        <v>88</v>
      </c>
      <c r="B358" s="4"/>
      <c r="C358" s="4"/>
      <c r="D358" s="4"/>
      <c r="E358" s="4"/>
      <c r="F358" s="4"/>
      <c r="G358" s="4"/>
      <c r="H358" s="4"/>
      <c r="I358" s="5">
        <v>1</v>
      </c>
      <c r="J358" s="5"/>
      <c r="K358" s="5"/>
      <c r="L358" s="5">
        <v>492</v>
      </c>
    </row>
    <row r="359" spans="1:12" x14ac:dyDescent="0.2">
      <c r="A359" t="s">
        <v>679</v>
      </c>
      <c r="B359" s="4"/>
      <c r="C359" s="4"/>
      <c r="D359" s="4"/>
      <c r="E359" s="4"/>
      <c r="F359" s="4"/>
      <c r="G359" s="4"/>
      <c r="H359" s="4"/>
      <c r="I359" s="5">
        <v>1</v>
      </c>
      <c r="J359" s="5"/>
      <c r="K359" s="5"/>
      <c r="L359" s="5">
        <v>55</v>
      </c>
    </row>
    <row r="360" spans="1:12" x14ac:dyDescent="0.2">
      <c r="A360" t="s">
        <v>682</v>
      </c>
      <c r="B360" s="4"/>
      <c r="C360" s="4"/>
      <c r="D360" s="4"/>
      <c r="E360" s="4"/>
      <c r="F360" s="4"/>
      <c r="G360" s="4"/>
      <c r="H360" s="4"/>
      <c r="I360" s="5">
        <v>1</v>
      </c>
      <c r="J360" s="5"/>
      <c r="K360" s="5"/>
      <c r="L360" s="5"/>
    </row>
    <row r="361" spans="1:12" x14ac:dyDescent="0.2">
      <c r="A361" t="s">
        <v>476</v>
      </c>
      <c r="B361" s="4"/>
      <c r="C361" s="4"/>
      <c r="D361" s="4"/>
      <c r="E361" s="4"/>
      <c r="F361" s="4"/>
      <c r="G361" s="4"/>
      <c r="H361" s="4"/>
      <c r="I361" s="5">
        <v>1</v>
      </c>
      <c r="J361" s="5"/>
      <c r="K361" s="5"/>
      <c r="L361" s="5"/>
    </row>
    <row r="362" spans="1:12" x14ac:dyDescent="0.2">
      <c r="A362" t="s">
        <v>823</v>
      </c>
      <c r="B362" s="4"/>
      <c r="C362" s="4"/>
      <c r="D362" s="4"/>
      <c r="E362" s="4"/>
      <c r="F362" s="4"/>
      <c r="G362" s="4"/>
      <c r="H362" s="4"/>
      <c r="I362" s="5">
        <v>1</v>
      </c>
      <c r="J362" s="5"/>
      <c r="K362" s="5"/>
      <c r="L362" s="5">
        <v>27</v>
      </c>
    </row>
    <row r="363" spans="1:12" x14ac:dyDescent="0.2">
      <c r="A363" t="s">
        <v>808</v>
      </c>
      <c r="B363" s="4"/>
      <c r="C363" s="4"/>
      <c r="D363" s="4"/>
      <c r="E363" s="4"/>
      <c r="F363" s="4"/>
      <c r="G363" s="4"/>
      <c r="H363" s="4"/>
      <c r="I363" s="5">
        <v>1</v>
      </c>
      <c r="J363" s="5"/>
      <c r="K363" s="5"/>
      <c r="L363" s="5"/>
    </row>
    <row r="364" spans="1:12" x14ac:dyDescent="0.2">
      <c r="A364" t="s">
        <v>763</v>
      </c>
      <c r="B364" s="4"/>
      <c r="C364" s="4"/>
      <c r="D364" s="4"/>
      <c r="E364" s="4"/>
      <c r="F364" s="4"/>
      <c r="G364" s="4"/>
      <c r="H364" s="4"/>
      <c r="I364" s="5">
        <v>1</v>
      </c>
      <c r="J364" s="5"/>
      <c r="K364" s="5"/>
      <c r="L364" s="5">
        <v>162</v>
      </c>
    </row>
    <row r="365" spans="1:12" x14ac:dyDescent="0.2">
      <c r="A365" t="s">
        <v>427</v>
      </c>
      <c r="B365" s="4"/>
      <c r="C365" s="4"/>
      <c r="D365" s="4"/>
      <c r="E365" s="4"/>
      <c r="F365" s="4"/>
      <c r="G365" s="4"/>
      <c r="H365" s="4"/>
      <c r="I365" s="5">
        <v>1</v>
      </c>
      <c r="J365" s="5">
        <v>1</v>
      </c>
      <c r="K365" s="5">
        <v>20</v>
      </c>
      <c r="L365" s="5"/>
    </row>
    <row r="366" spans="1:12" x14ac:dyDescent="0.2">
      <c r="A366" t="s">
        <v>132</v>
      </c>
      <c r="B366" s="4"/>
      <c r="C366" s="4"/>
      <c r="D366" s="4"/>
      <c r="E366" s="4"/>
      <c r="F366" s="4"/>
      <c r="G366" s="4"/>
      <c r="H366" s="4"/>
      <c r="I366" s="5">
        <v>1</v>
      </c>
      <c r="J366" s="5"/>
      <c r="K366" s="5"/>
      <c r="L366" s="5">
        <v>302</v>
      </c>
    </row>
    <row r="367" spans="1:12" x14ac:dyDescent="0.2">
      <c r="A367" t="s">
        <v>683</v>
      </c>
      <c r="B367" s="4"/>
      <c r="C367" s="4"/>
      <c r="D367" s="4"/>
      <c r="E367" s="4"/>
      <c r="F367" s="4"/>
      <c r="G367" s="4"/>
      <c r="H367" s="4"/>
      <c r="I367" s="5">
        <v>1</v>
      </c>
      <c r="J367" s="5"/>
      <c r="K367" s="5"/>
      <c r="L367" s="5">
        <v>7</v>
      </c>
    </row>
    <row r="368" spans="1:12" x14ac:dyDescent="0.2">
      <c r="A368" t="s">
        <v>540</v>
      </c>
      <c r="B368" s="4"/>
      <c r="C368" s="4"/>
      <c r="D368" s="4"/>
      <c r="E368" s="4"/>
      <c r="F368" s="4"/>
      <c r="G368" s="4"/>
      <c r="H368" s="4"/>
      <c r="I368" s="5">
        <v>1</v>
      </c>
      <c r="J368" s="5"/>
      <c r="K368" s="5"/>
      <c r="L368" s="5">
        <v>41</v>
      </c>
    </row>
    <row r="369" spans="1:12" x14ac:dyDescent="0.2">
      <c r="A369" t="s">
        <v>288</v>
      </c>
      <c r="B369" s="4"/>
      <c r="C369" s="4"/>
      <c r="D369" s="4"/>
      <c r="E369" s="4"/>
      <c r="F369" s="4"/>
      <c r="G369" s="4"/>
      <c r="H369" s="4"/>
      <c r="I369" s="5">
        <v>1</v>
      </c>
      <c r="J369" s="5"/>
      <c r="K369" s="5"/>
      <c r="L369" s="5">
        <v>526</v>
      </c>
    </row>
    <row r="370" spans="1:12" x14ac:dyDescent="0.2">
      <c r="A370" t="s">
        <v>253</v>
      </c>
      <c r="B370" s="4"/>
      <c r="C370" s="4"/>
      <c r="D370" s="4"/>
      <c r="E370" s="4"/>
      <c r="F370" s="4"/>
      <c r="G370" s="4"/>
      <c r="H370" s="4"/>
      <c r="I370" s="5">
        <v>1</v>
      </c>
      <c r="J370" s="5">
        <v>1</v>
      </c>
      <c r="K370" s="5">
        <v>243</v>
      </c>
      <c r="L370" s="5">
        <v>679</v>
      </c>
    </row>
    <row r="371" spans="1:12" x14ac:dyDescent="0.2">
      <c r="A371" t="s">
        <v>717</v>
      </c>
      <c r="B371" s="4"/>
      <c r="C371" s="4"/>
      <c r="D371" s="4"/>
      <c r="E371" s="4"/>
      <c r="F371" s="4"/>
      <c r="G371" s="4"/>
      <c r="H371" s="4"/>
      <c r="I371" s="5">
        <v>1</v>
      </c>
      <c r="J371" s="5"/>
      <c r="K371" s="5"/>
      <c r="L371" s="5"/>
    </row>
    <row r="372" spans="1:12" x14ac:dyDescent="0.2">
      <c r="A372" t="s">
        <v>535</v>
      </c>
      <c r="B372" s="4"/>
      <c r="C372" s="4"/>
      <c r="D372" s="4"/>
      <c r="E372" s="4"/>
      <c r="F372" s="4"/>
      <c r="G372" s="4"/>
      <c r="H372" s="4"/>
      <c r="I372" s="5">
        <v>1</v>
      </c>
      <c r="J372" s="5"/>
      <c r="K372" s="5"/>
      <c r="L372" s="5">
        <v>68</v>
      </c>
    </row>
    <row r="373" spans="1:12" x14ac:dyDescent="0.2">
      <c r="A373" t="s">
        <v>301</v>
      </c>
      <c r="B373" s="4"/>
      <c r="C373" s="4"/>
      <c r="D373" s="4"/>
      <c r="E373" s="4"/>
      <c r="F373" s="4"/>
      <c r="G373" s="4"/>
      <c r="H373" s="4"/>
      <c r="I373" s="5">
        <v>1</v>
      </c>
      <c r="J373" s="5">
        <v>1</v>
      </c>
      <c r="K373" s="5">
        <v>775</v>
      </c>
      <c r="L373" s="5"/>
    </row>
    <row r="374" spans="1:12" x14ac:dyDescent="0.2">
      <c r="A374" t="s">
        <v>698</v>
      </c>
      <c r="B374" s="4"/>
      <c r="C374" s="4"/>
      <c r="D374" s="4"/>
      <c r="E374" s="4"/>
      <c r="F374" s="4"/>
      <c r="G374" s="4"/>
      <c r="H374" s="4"/>
      <c r="I374" s="5">
        <v>1</v>
      </c>
      <c r="J374" s="5"/>
      <c r="K374" s="5"/>
      <c r="L374" s="5">
        <v>21</v>
      </c>
    </row>
    <row r="375" spans="1:12" x14ac:dyDescent="0.2">
      <c r="A375" t="s">
        <v>660</v>
      </c>
      <c r="B375" s="4"/>
      <c r="C375" s="4"/>
      <c r="D375" s="4"/>
      <c r="E375" s="4"/>
      <c r="F375" s="4"/>
      <c r="G375" s="4"/>
      <c r="H375" s="4"/>
      <c r="I375" s="5">
        <v>1</v>
      </c>
      <c r="J375" s="5"/>
      <c r="K375" s="5"/>
      <c r="L375" s="5">
        <v>20</v>
      </c>
    </row>
    <row r="376" spans="1:12" x14ac:dyDescent="0.2">
      <c r="A376" t="s">
        <v>263</v>
      </c>
      <c r="B376" s="4"/>
      <c r="C376" s="4"/>
      <c r="D376" s="4"/>
      <c r="E376" s="4"/>
      <c r="F376" s="4"/>
      <c r="G376" s="4"/>
      <c r="H376" s="4"/>
      <c r="I376" s="5">
        <v>1</v>
      </c>
      <c r="J376" s="5">
        <v>1</v>
      </c>
      <c r="K376" s="5">
        <v>254</v>
      </c>
      <c r="L376" s="5"/>
    </row>
    <row r="377" spans="1:12" x14ac:dyDescent="0.2">
      <c r="A377" t="s">
        <v>752</v>
      </c>
      <c r="B377" s="4"/>
      <c r="C377" s="4"/>
      <c r="D377" s="4"/>
      <c r="E377" s="4"/>
      <c r="F377" s="4"/>
      <c r="G377" s="4"/>
      <c r="H377" s="4"/>
      <c r="I377" s="5">
        <v>1</v>
      </c>
      <c r="J377" s="5"/>
      <c r="K377" s="5"/>
      <c r="L377" s="5"/>
    </row>
    <row r="378" spans="1:12" x14ac:dyDescent="0.2">
      <c r="A378" t="s">
        <v>666</v>
      </c>
      <c r="B378" s="4"/>
      <c r="C378" s="4"/>
      <c r="D378" s="4"/>
      <c r="E378" s="4"/>
      <c r="F378" s="4"/>
      <c r="G378" s="4"/>
      <c r="H378" s="4"/>
      <c r="I378" s="5">
        <v>1</v>
      </c>
      <c r="J378" s="5"/>
      <c r="K378" s="5"/>
      <c r="L378" s="5"/>
    </row>
    <row r="379" spans="1:12" x14ac:dyDescent="0.2">
      <c r="A379" t="s">
        <v>180</v>
      </c>
      <c r="B379" s="4"/>
      <c r="C379" s="4"/>
      <c r="D379" s="4"/>
      <c r="E379" s="4"/>
      <c r="F379" s="4"/>
      <c r="G379" s="4"/>
      <c r="H379" s="4"/>
      <c r="I379" s="5">
        <v>1</v>
      </c>
      <c r="J379" s="5">
        <v>1</v>
      </c>
      <c r="K379" s="5">
        <v>68</v>
      </c>
      <c r="L379" s="5">
        <v>532</v>
      </c>
    </row>
    <row r="380" spans="1:12" x14ac:dyDescent="0.2">
      <c r="A380" t="s">
        <v>297</v>
      </c>
      <c r="B380" s="4"/>
      <c r="C380" s="4"/>
      <c r="D380" s="4"/>
      <c r="E380" s="4"/>
      <c r="F380" s="4"/>
      <c r="G380" s="4"/>
      <c r="H380" s="4"/>
      <c r="I380" s="5">
        <v>1</v>
      </c>
      <c r="J380" s="5">
        <v>1</v>
      </c>
      <c r="K380" s="5">
        <v>41</v>
      </c>
      <c r="L380" s="5">
        <v>224</v>
      </c>
    </row>
    <row r="381" spans="1:12" x14ac:dyDescent="0.2">
      <c r="A381" t="s">
        <v>34</v>
      </c>
      <c r="B381" s="4"/>
      <c r="C381" s="4"/>
      <c r="D381" s="4"/>
      <c r="E381" s="4"/>
      <c r="F381" s="4"/>
      <c r="G381" s="4"/>
      <c r="H381" s="4"/>
      <c r="I381" s="5">
        <v>1</v>
      </c>
      <c r="J381" s="5">
        <v>1</v>
      </c>
      <c r="K381" s="5">
        <v>69</v>
      </c>
      <c r="L381" s="5"/>
    </row>
    <row r="382" spans="1:12" x14ac:dyDescent="0.2">
      <c r="A382" t="s">
        <v>825</v>
      </c>
      <c r="B382" s="4"/>
      <c r="C382" s="4"/>
      <c r="D382" s="4"/>
      <c r="E382" s="4"/>
      <c r="F382" s="4"/>
      <c r="G382" s="4"/>
      <c r="H382" s="4"/>
      <c r="I382" s="5">
        <v>1</v>
      </c>
      <c r="J382" s="5"/>
      <c r="K382" s="5"/>
      <c r="L382" s="5"/>
    </row>
    <row r="383" spans="1:12" x14ac:dyDescent="0.2">
      <c r="A383" t="s">
        <v>790</v>
      </c>
      <c r="B383" s="4"/>
      <c r="C383" s="4"/>
      <c r="D383" s="4"/>
      <c r="E383" s="4"/>
      <c r="F383" s="4"/>
      <c r="G383" s="4"/>
      <c r="H383" s="4"/>
      <c r="I383" s="5">
        <v>1</v>
      </c>
      <c r="J383" s="5"/>
      <c r="K383" s="5"/>
      <c r="L383" s="5">
        <v>86</v>
      </c>
    </row>
    <row r="384" spans="1:12" x14ac:dyDescent="0.2">
      <c r="A384" t="s">
        <v>624</v>
      </c>
      <c r="B384" s="4"/>
      <c r="C384" s="4"/>
      <c r="D384" s="4"/>
      <c r="E384" s="4"/>
      <c r="F384" s="4"/>
      <c r="G384" s="4"/>
      <c r="H384" s="4"/>
      <c r="I384" s="5">
        <v>1</v>
      </c>
      <c r="J384" s="5"/>
      <c r="K384" s="5"/>
      <c r="L384" s="5">
        <v>63</v>
      </c>
    </row>
    <row r="385" spans="1:12" x14ac:dyDescent="0.2">
      <c r="A385" t="s">
        <v>593</v>
      </c>
      <c r="B385" s="4"/>
      <c r="C385" s="4"/>
      <c r="D385" s="4"/>
      <c r="E385" s="4"/>
      <c r="F385" s="4"/>
      <c r="G385" s="4"/>
      <c r="H385" s="4"/>
      <c r="I385" s="5">
        <v>1</v>
      </c>
      <c r="J385" s="5"/>
      <c r="K385" s="5"/>
      <c r="L385" s="5"/>
    </row>
    <row r="386" spans="1:12" x14ac:dyDescent="0.2">
      <c r="A386" t="s">
        <v>742</v>
      </c>
      <c r="B386" s="4"/>
      <c r="C386" s="4"/>
      <c r="D386" s="4"/>
      <c r="E386" s="4"/>
      <c r="F386" s="4"/>
      <c r="G386" s="4"/>
      <c r="H386" s="4"/>
      <c r="I386" s="5">
        <v>1</v>
      </c>
      <c r="J386" s="5"/>
      <c r="K386" s="5"/>
      <c r="L386" s="5">
        <v>76</v>
      </c>
    </row>
    <row r="387" spans="1:12" x14ac:dyDescent="0.2">
      <c r="A387" t="s">
        <v>65</v>
      </c>
      <c r="B387" s="4"/>
      <c r="C387" s="4"/>
      <c r="D387" s="4"/>
      <c r="E387" s="4"/>
      <c r="F387" s="4"/>
      <c r="G387" s="4"/>
      <c r="H387" s="4"/>
      <c r="I387" s="5">
        <v>1</v>
      </c>
      <c r="J387" s="5">
        <v>1</v>
      </c>
      <c r="K387" s="5">
        <v>32</v>
      </c>
      <c r="L387" s="5"/>
    </row>
    <row r="388" spans="1:12" x14ac:dyDescent="0.2">
      <c r="A388" t="s">
        <v>522</v>
      </c>
      <c r="B388" s="4"/>
      <c r="C388" s="4"/>
      <c r="D388" s="4"/>
      <c r="E388" s="4"/>
      <c r="F388" s="4"/>
      <c r="G388" s="4"/>
      <c r="H388" s="4"/>
      <c r="I388" s="5">
        <v>1</v>
      </c>
      <c r="J388" s="5"/>
      <c r="K388" s="5"/>
      <c r="L388" s="5">
        <v>11</v>
      </c>
    </row>
    <row r="389" spans="1:12" x14ac:dyDescent="0.2">
      <c r="A389" t="s">
        <v>234</v>
      </c>
      <c r="B389" s="4"/>
      <c r="C389" s="4"/>
      <c r="D389" s="4"/>
      <c r="E389" s="4"/>
      <c r="F389" s="4"/>
      <c r="G389" s="4"/>
      <c r="H389" s="4"/>
      <c r="I389" s="5">
        <v>1</v>
      </c>
      <c r="J389" s="5">
        <v>1</v>
      </c>
      <c r="K389" s="5">
        <v>39</v>
      </c>
      <c r="L389" s="5"/>
    </row>
    <row r="390" spans="1:12" x14ac:dyDescent="0.2">
      <c r="A390" t="s">
        <v>75</v>
      </c>
      <c r="B390" s="4"/>
      <c r="C390" s="4"/>
      <c r="D390" s="4"/>
      <c r="E390" s="4"/>
      <c r="F390" s="4"/>
      <c r="G390" s="4"/>
      <c r="H390" s="4"/>
      <c r="I390" s="5">
        <v>1</v>
      </c>
      <c r="J390" s="5">
        <v>1</v>
      </c>
      <c r="K390" s="5">
        <v>129</v>
      </c>
      <c r="L390" s="5">
        <v>334</v>
      </c>
    </row>
    <row r="391" spans="1:12" x14ac:dyDescent="0.2">
      <c r="A391" t="s">
        <v>580</v>
      </c>
      <c r="B391" s="4"/>
      <c r="C391" s="4"/>
      <c r="D391" s="4"/>
      <c r="E391" s="4"/>
      <c r="F391" s="4"/>
      <c r="G391" s="4"/>
      <c r="H391" s="4"/>
      <c r="I391" s="5">
        <v>1</v>
      </c>
      <c r="J391" s="5">
        <v>1</v>
      </c>
      <c r="K391" s="5">
        <v>18</v>
      </c>
      <c r="L391" s="5"/>
    </row>
    <row r="392" spans="1:12" x14ac:dyDescent="0.2">
      <c r="A392" t="s">
        <v>489</v>
      </c>
      <c r="B392" s="4"/>
      <c r="C392" s="4"/>
      <c r="D392" s="4"/>
      <c r="E392" s="4"/>
      <c r="F392" s="4"/>
      <c r="G392" s="4"/>
      <c r="H392" s="4"/>
      <c r="I392" s="5">
        <v>1</v>
      </c>
      <c r="J392" s="5"/>
      <c r="K392" s="5"/>
      <c r="L392" s="5"/>
    </row>
    <row r="393" spans="1:12" x14ac:dyDescent="0.2">
      <c r="A393" t="s">
        <v>736</v>
      </c>
      <c r="B393" s="4"/>
      <c r="C393" s="4"/>
      <c r="D393" s="4"/>
      <c r="E393" s="4"/>
      <c r="F393" s="4"/>
      <c r="G393" s="4"/>
      <c r="H393" s="4"/>
      <c r="I393" s="5">
        <v>1</v>
      </c>
      <c r="J393" s="5"/>
      <c r="K393" s="5"/>
      <c r="L393" s="5"/>
    </row>
    <row r="394" spans="1:12" x14ac:dyDescent="0.2">
      <c r="A394" t="s">
        <v>362</v>
      </c>
      <c r="B394" s="4"/>
      <c r="C394" s="4"/>
      <c r="D394" s="4"/>
      <c r="E394" s="4"/>
      <c r="F394" s="4"/>
      <c r="G394" s="4"/>
      <c r="H394" s="4"/>
      <c r="I394" s="5">
        <v>1</v>
      </c>
      <c r="J394" s="5"/>
      <c r="K394" s="5"/>
      <c r="L394" s="5"/>
    </row>
    <row r="395" spans="1:12" x14ac:dyDescent="0.2">
      <c r="A395" t="s">
        <v>113</v>
      </c>
      <c r="B395" s="4"/>
      <c r="C395" s="4"/>
      <c r="D395" s="4"/>
      <c r="E395" s="4"/>
      <c r="F395" s="4"/>
      <c r="G395" s="4"/>
      <c r="H395" s="4"/>
      <c r="I395" s="5">
        <v>1</v>
      </c>
      <c r="J395" s="5">
        <v>1</v>
      </c>
      <c r="K395" s="5">
        <v>10</v>
      </c>
      <c r="L395" s="5">
        <v>912</v>
      </c>
    </row>
    <row r="396" spans="1:12" x14ac:dyDescent="0.2">
      <c r="A396" t="s">
        <v>61</v>
      </c>
      <c r="B396" s="4"/>
      <c r="C396" s="4"/>
      <c r="D396" s="4"/>
      <c r="E396" s="4"/>
      <c r="F396" s="4"/>
      <c r="G396" s="4"/>
      <c r="H396" s="4"/>
      <c r="I396" s="5">
        <v>1</v>
      </c>
      <c r="J396" s="5">
        <v>1</v>
      </c>
      <c r="K396" s="5">
        <v>60</v>
      </c>
      <c r="L396" s="5">
        <v>614</v>
      </c>
    </row>
    <row r="397" spans="1:12" x14ac:dyDescent="0.2">
      <c r="A397" t="s">
        <v>245</v>
      </c>
      <c r="B397" s="4"/>
      <c r="C397" s="4"/>
      <c r="D397" s="4"/>
      <c r="E397" s="4"/>
      <c r="F397" s="4"/>
      <c r="G397" s="4"/>
      <c r="H397" s="4"/>
      <c r="I397" s="5">
        <v>1</v>
      </c>
      <c r="J397" s="5">
        <v>1</v>
      </c>
      <c r="K397" s="5">
        <v>91</v>
      </c>
      <c r="L397" s="5">
        <v>793</v>
      </c>
    </row>
    <row r="398" spans="1:12" x14ac:dyDescent="0.2">
      <c r="A398" t="s">
        <v>259</v>
      </c>
      <c r="B398" s="4"/>
      <c r="C398" s="4"/>
      <c r="D398" s="4"/>
      <c r="E398" s="4"/>
      <c r="F398" s="4"/>
      <c r="G398" s="4"/>
      <c r="H398" s="4"/>
      <c r="I398" s="5">
        <v>1</v>
      </c>
      <c r="J398" s="5"/>
      <c r="K398" s="5"/>
      <c r="L398" s="5"/>
    </row>
    <row r="399" spans="1:12" x14ac:dyDescent="0.2">
      <c r="A399" t="s">
        <v>662</v>
      </c>
      <c r="B399" s="4"/>
      <c r="C399" s="4"/>
      <c r="D399" s="4"/>
      <c r="E399" s="4"/>
      <c r="F399" s="4"/>
      <c r="G399" s="4"/>
      <c r="H399" s="4"/>
      <c r="I399" s="5">
        <v>1</v>
      </c>
      <c r="J399" s="5"/>
      <c r="K399" s="5"/>
      <c r="L399" s="5">
        <v>14</v>
      </c>
    </row>
    <row r="400" spans="1:12" x14ac:dyDescent="0.2">
      <c r="A400" t="s">
        <v>257</v>
      </c>
      <c r="B400" s="4"/>
      <c r="C400" s="4"/>
      <c r="D400" s="4"/>
      <c r="E400" s="4"/>
      <c r="F400" s="4"/>
      <c r="G400" s="4"/>
      <c r="H400" s="4"/>
      <c r="I400" s="5">
        <v>1</v>
      </c>
      <c r="J400" s="5"/>
      <c r="K400" s="5"/>
      <c r="L400" s="5">
        <v>549</v>
      </c>
    </row>
    <row r="401" spans="1:12" x14ac:dyDescent="0.2">
      <c r="A401" t="s">
        <v>321</v>
      </c>
      <c r="B401" s="4"/>
      <c r="C401" s="4"/>
      <c r="D401" s="4"/>
      <c r="E401" s="4"/>
      <c r="F401" s="4"/>
      <c r="G401" s="4"/>
      <c r="H401" s="4"/>
      <c r="I401" s="5">
        <v>1</v>
      </c>
      <c r="J401" s="5"/>
      <c r="K401" s="5"/>
      <c r="L401" s="5">
        <v>319</v>
      </c>
    </row>
    <row r="402" spans="1:12" x14ac:dyDescent="0.2">
      <c r="A402" t="s">
        <v>515</v>
      </c>
      <c r="B402" s="4"/>
      <c r="C402" s="4"/>
      <c r="D402" s="4"/>
      <c r="E402" s="4"/>
      <c r="F402" s="4"/>
      <c r="G402" s="4"/>
      <c r="H402" s="4"/>
      <c r="I402" s="5">
        <v>1</v>
      </c>
      <c r="J402" s="5"/>
      <c r="K402" s="5"/>
      <c r="L402" s="5"/>
    </row>
    <row r="403" spans="1:12" x14ac:dyDescent="0.2">
      <c r="A403" t="s">
        <v>236</v>
      </c>
      <c r="B403" s="4"/>
      <c r="C403" s="4"/>
      <c r="D403" s="4"/>
      <c r="E403" s="4"/>
      <c r="F403" s="4"/>
      <c r="G403" s="4"/>
      <c r="H403" s="4"/>
      <c r="I403" s="5">
        <v>1</v>
      </c>
      <c r="J403" s="5"/>
      <c r="K403" s="5"/>
      <c r="L403" s="5"/>
    </row>
    <row r="404" spans="1:12" x14ac:dyDescent="0.2">
      <c r="A404" t="s">
        <v>73</v>
      </c>
      <c r="B404" s="4"/>
      <c r="C404" s="4"/>
      <c r="D404" s="4"/>
      <c r="E404" s="4"/>
      <c r="F404" s="4"/>
      <c r="G404" s="4"/>
      <c r="H404" s="4"/>
      <c r="I404" s="5">
        <v>1</v>
      </c>
      <c r="J404" s="5">
        <v>1</v>
      </c>
      <c r="K404" s="5">
        <v>26</v>
      </c>
      <c r="L404" s="5"/>
    </row>
    <row r="405" spans="1:12" x14ac:dyDescent="0.2">
      <c r="A405" t="s">
        <v>150</v>
      </c>
      <c r="B405" s="4"/>
      <c r="C405" s="4"/>
      <c r="D405" s="4"/>
      <c r="E405" s="4"/>
      <c r="F405" s="4"/>
      <c r="G405" s="4"/>
      <c r="H405" s="4"/>
      <c r="I405" s="5">
        <v>1</v>
      </c>
      <c r="J405" s="5">
        <v>1</v>
      </c>
      <c r="K405" s="5">
        <v>82</v>
      </c>
      <c r="L405" s="5">
        <v>301</v>
      </c>
    </row>
    <row r="406" spans="1:12" x14ac:dyDescent="0.2">
      <c r="A406" t="s">
        <v>668</v>
      </c>
      <c r="B406" s="4"/>
      <c r="C406" s="4"/>
      <c r="D406" s="4"/>
      <c r="E406" s="4"/>
      <c r="F406" s="4"/>
      <c r="G406" s="4"/>
      <c r="H406" s="4"/>
      <c r="I406" s="5">
        <v>1</v>
      </c>
      <c r="J406" s="5"/>
      <c r="K406" s="5"/>
      <c r="L406" s="5">
        <v>113</v>
      </c>
    </row>
    <row r="407" spans="1:12" x14ac:dyDescent="0.2">
      <c r="A407" t="s">
        <v>710</v>
      </c>
      <c r="B407" s="4"/>
      <c r="C407" s="4"/>
      <c r="D407" s="4"/>
      <c r="E407" s="4"/>
      <c r="F407" s="4"/>
      <c r="G407" s="4"/>
      <c r="H407" s="4"/>
      <c r="I407" s="5">
        <v>1</v>
      </c>
      <c r="J407" s="5"/>
      <c r="K407" s="5"/>
      <c r="L407" s="5"/>
    </row>
    <row r="408" spans="1:12" x14ac:dyDescent="0.2">
      <c r="A408" t="s">
        <v>134</v>
      </c>
      <c r="B408" s="4"/>
      <c r="C408" s="4"/>
      <c r="D408" s="4"/>
      <c r="E408" s="4"/>
      <c r="F408" s="4"/>
      <c r="G408" s="4"/>
      <c r="H408" s="4"/>
      <c r="I408" s="5">
        <v>1</v>
      </c>
      <c r="J408" s="5"/>
      <c r="K408" s="5"/>
      <c r="L408" s="5"/>
    </row>
    <row r="409" spans="1:12" x14ac:dyDescent="0.2">
      <c r="A409" t="s">
        <v>399</v>
      </c>
      <c r="B409" s="4"/>
      <c r="C409" s="4"/>
      <c r="D409" s="4"/>
      <c r="E409" s="4"/>
      <c r="F409" s="4"/>
      <c r="G409" s="4"/>
      <c r="H409" s="4"/>
      <c r="I409" s="5">
        <v>1</v>
      </c>
      <c r="J409" s="5"/>
      <c r="K409" s="5"/>
      <c r="L409" s="5"/>
    </row>
    <row r="410" spans="1:12" x14ac:dyDescent="0.2">
      <c r="A410" t="s">
        <v>415</v>
      </c>
      <c r="B410" s="4"/>
      <c r="C410" s="4"/>
      <c r="D410" s="4"/>
      <c r="E410" s="4"/>
      <c r="F410" s="4"/>
      <c r="G410" s="4"/>
      <c r="H410" s="4"/>
      <c r="I410" s="5">
        <v>1</v>
      </c>
      <c r="J410" s="5"/>
      <c r="K410" s="5"/>
      <c r="L410" s="5"/>
    </row>
    <row r="411" spans="1:12" x14ac:dyDescent="0.2">
      <c r="A411" t="s">
        <v>835</v>
      </c>
      <c r="B411" s="4"/>
      <c r="C411" s="4"/>
      <c r="D411" s="4"/>
      <c r="E411" s="4"/>
      <c r="F411" s="4"/>
      <c r="G411" s="4"/>
      <c r="H411" s="4"/>
      <c r="I411" s="5">
        <v>1</v>
      </c>
      <c r="J411" s="5"/>
      <c r="K411" s="5"/>
      <c r="L411" s="5">
        <v>26</v>
      </c>
    </row>
    <row r="412" spans="1:12" x14ac:dyDescent="0.2">
      <c r="A412" t="s">
        <v>120</v>
      </c>
      <c r="B412" s="4"/>
      <c r="C412" s="4"/>
      <c r="D412" s="4"/>
      <c r="E412" s="4"/>
      <c r="F412" s="4"/>
      <c r="G412" s="4"/>
      <c r="H412" s="4"/>
      <c r="I412" s="5">
        <v>1</v>
      </c>
      <c r="J412" s="5">
        <v>1</v>
      </c>
      <c r="K412" s="5">
        <v>25</v>
      </c>
      <c r="L412" s="5">
        <v>859</v>
      </c>
    </row>
    <row r="413" spans="1:12" x14ac:dyDescent="0.2">
      <c r="A413" t="s">
        <v>360</v>
      </c>
      <c r="B413" s="4"/>
      <c r="C413" s="4"/>
      <c r="D413" s="4"/>
      <c r="E413" s="4"/>
      <c r="F413" s="4"/>
      <c r="G413" s="4"/>
      <c r="H413" s="4"/>
      <c r="I413" s="5">
        <v>1</v>
      </c>
      <c r="J413" s="5">
        <v>1</v>
      </c>
      <c r="K413" s="5">
        <v>118</v>
      </c>
      <c r="L413" s="5"/>
    </row>
    <row r="414" spans="1:12" x14ac:dyDescent="0.2">
      <c r="A414" t="s">
        <v>721</v>
      </c>
      <c r="B414" s="4"/>
      <c r="C414" s="4"/>
      <c r="D414" s="4"/>
      <c r="E414" s="4"/>
      <c r="F414" s="4"/>
      <c r="G414" s="4"/>
      <c r="H414" s="4"/>
      <c r="I414" s="5">
        <v>1</v>
      </c>
      <c r="J414" s="5"/>
      <c r="K414" s="5"/>
      <c r="L414" s="5"/>
    </row>
    <row r="415" spans="1:12" x14ac:dyDescent="0.2">
      <c r="A415" t="s">
        <v>574</v>
      </c>
      <c r="B415" s="4"/>
      <c r="C415" s="4"/>
      <c r="D415" s="4"/>
      <c r="E415" s="4"/>
      <c r="F415" s="4"/>
      <c r="G415" s="4"/>
      <c r="H415" s="4"/>
      <c r="I415" s="5">
        <v>1</v>
      </c>
      <c r="J415" s="5"/>
      <c r="K415" s="5"/>
      <c r="L415" s="5">
        <v>62</v>
      </c>
    </row>
    <row r="416" spans="1:12" x14ac:dyDescent="0.2">
      <c r="A416" t="s">
        <v>286</v>
      </c>
      <c r="B416" s="4"/>
      <c r="C416" s="4"/>
      <c r="D416" s="4"/>
      <c r="E416" s="4"/>
      <c r="F416" s="4"/>
      <c r="G416" s="4"/>
      <c r="H416" s="4"/>
      <c r="I416" s="5">
        <v>1</v>
      </c>
      <c r="J416" s="5">
        <v>1</v>
      </c>
      <c r="K416" s="5">
        <v>31</v>
      </c>
      <c r="L416" s="5"/>
    </row>
    <row r="417" spans="1:12" x14ac:dyDescent="0.2">
      <c r="A417" t="s">
        <v>433</v>
      </c>
      <c r="B417" s="4"/>
      <c r="C417" s="4"/>
      <c r="D417" s="4"/>
      <c r="E417" s="4"/>
      <c r="F417" s="4"/>
      <c r="G417" s="4"/>
      <c r="H417" s="4"/>
      <c r="I417" s="5">
        <v>1</v>
      </c>
      <c r="J417" s="5"/>
      <c r="K417" s="5"/>
      <c r="L417" s="5"/>
    </row>
    <row r="418" spans="1:12" x14ac:dyDescent="0.2">
      <c r="A418" t="s">
        <v>706</v>
      </c>
      <c r="B418" s="4"/>
      <c r="C418" s="4"/>
      <c r="D418" s="4"/>
      <c r="E418" s="4"/>
      <c r="F418" s="4"/>
      <c r="G418" s="4"/>
      <c r="H418" s="4"/>
      <c r="I418" s="5">
        <v>1</v>
      </c>
      <c r="J418" s="5"/>
      <c r="K418" s="5"/>
      <c r="L418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32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4" style="6" customWidth="1"/>
    <col min="2" max="2" width="18" style="6" customWidth="1"/>
    <col min="3" max="3" width="8" style="6" customWidth="1"/>
    <col min="4" max="5" width="10.83203125" style="6" customWidth="1"/>
    <col min="6" max="9" width="12" style="6" customWidth="1"/>
    <col min="10" max="10" width="14.5" style="6" customWidth="1"/>
    <col min="11" max="11" width="12" style="6" customWidth="1"/>
    <col min="12" max="13" width="19" style="6" customWidth="1"/>
    <col min="14" max="14" width="18" style="6" customWidth="1"/>
    <col min="15" max="16384" width="8.83203125" style="6"/>
  </cols>
  <sheetData>
    <row r="1" spans="1:14" ht="16" x14ac:dyDescent="0.2">
      <c r="A1" s="10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15</v>
      </c>
      <c r="K1" s="10" t="s">
        <v>1299</v>
      </c>
      <c r="L1" s="10" t="s">
        <v>1298</v>
      </c>
      <c r="M1" s="10" t="s">
        <v>16</v>
      </c>
      <c r="N1" s="10" t="s">
        <v>17</v>
      </c>
    </row>
    <row r="2" spans="1:14" x14ac:dyDescent="0.2">
      <c r="A2" s="6" t="s">
        <v>18</v>
      </c>
      <c r="B2" s="6" t="s">
        <v>19</v>
      </c>
      <c r="C2" s="6" t="s">
        <v>20</v>
      </c>
      <c r="D2" s="7"/>
      <c r="E2" s="7"/>
      <c r="F2" s="7">
        <v>44931</v>
      </c>
      <c r="G2" s="9">
        <v>23693</v>
      </c>
      <c r="H2" s="9">
        <v>20967.259999999998</v>
      </c>
      <c r="I2" s="9">
        <v>2725.74</v>
      </c>
      <c r="J2" s="7"/>
      <c r="K2" s="8" t="str">
        <f>IF(OR($D2="", $F2=""),"", $E2-$D2)</f>
        <v/>
      </c>
      <c r="L2" s="8" t="str">
        <f>IF(OR($D2="", $F2=""),"", $F2-$E2)</f>
        <v/>
      </c>
      <c r="M2" s="8" t="str">
        <f t="shared" ref="M2:M65" si="0">IF(OR($F2="", $J2=""),"", $J2-$F2)</f>
        <v/>
      </c>
      <c r="N2" s="6" t="s">
        <v>21</v>
      </c>
    </row>
    <row r="3" spans="1:14" x14ac:dyDescent="0.2">
      <c r="A3" s="6" t="s">
        <v>22</v>
      </c>
      <c r="B3" s="6" t="s">
        <v>23</v>
      </c>
      <c r="C3" s="6" t="s">
        <v>20</v>
      </c>
      <c r="D3" s="7"/>
      <c r="E3" s="7"/>
      <c r="F3" s="7">
        <v>44931</v>
      </c>
      <c r="G3" s="9">
        <v>53000</v>
      </c>
      <c r="H3" s="9">
        <v>50000</v>
      </c>
      <c r="I3" s="9">
        <v>3000</v>
      </c>
      <c r="J3" s="7"/>
      <c r="K3" s="8" t="str">
        <f t="shared" ref="K3:K66" si="1">IF(OR($D3="", $F3=""),"", $E3-$D3)</f>
        <v/>
      </c>
      <c r="L3" s="8" t="str">
        <f t="shared" ref="L3:L66" si="2">IF(OR($D3="", $F3=""),"", $F3-$E3)</f>
        <v/>
      </c>
      <c r="M3" s="8" t="str">
        <f t="shared" si="0"/>
        <v/>
      </c>
      <c r="N3" s="6" t="s">
        <v>21</v>
      </c>
    </row>
    <row r="4" spans="1:14" x14ac:dyDescent="0.2">
      <c r="A4" s="6" t="s">
        <v>24</v>
      </c>
      <c r="B4" s="6" t="s">
        <v>25</v>
      </c>
      <c r="C4" s="6" t="s">
        <v>20</v>
      </c>
      <c r="D4" s="7">
        <v>44635</v>
      </c>
      <c r="E4" s="7">
        <v>44660</v>
      </c>
      <c r="F4" s="7">
        <v>44932</v>
      </c>
      <c r="G4" s="9">
        <v>76000</v>
      </c>
      <c r="H4" s="9">
        <v>67256.639999999999</v>
      </c>
      <c r="I4" s="9">
        <v>8743.36</v>
      </c>
      <c r="J4" s="7">
        <v>45524</v>
      </c>
      <c r="K4" s="8">
        <f t="shared" si="1"/>
        <v>25</v>
      </c>
      <c r="L4" s="8">
        <f t="shared" si="2"/>
        <v>272</v>
      </c>
      <c r="M4" s="8">
        <f t="shared" si="0"/>
        <v>592</v>
      </c>
      <c r="N4" s="6" t="s">
        <v>26</v>
      </c>
    </row>
    <row r="5" spans="1:14" x14ac:dyDescent="0.2">
      <c r="A5" s="6" t="s">
        <v>24</v>
      </c>
      <c r="B5" s="6" t="s">
        <v>25</v>
      </c>
      <c r="C5" s="6" t="s">
        <v>20</v>
      </c>
      <c r="D5" s="7">
        <v>44635</v>
      </c>
      <c r="E5" s="7">
        <v>44660</v>
      </c>
      <c r="F5" s="7">
        <v>44932</v>
      </c>
      <c r="G5" s="9">
        <v>76000</v>
      </c>
      <c r="H5" s="9">
        <v>67256.639999999999</v>
      </c>
      <c r="I5" s="9">
        <v>8743.36</v>
      </c>
      <c r="J5" s="7">
        <v>45524</v>
      </c>
      <c r="K5" s="8">
        <f t="shared" si="1"/>
        <v>25</v>
      </c>
      <c r="L5" s="8">
        <f t="shared" si="2"/>
        <v>272</v>
      </c>
      <c r="M5" s="8">
        <f t="shared" si="0"/>
        <v>592</v>
      </c>
      <c r="N5" s="6" t="s">
        <v>26</v>
      </c>
    </row>
    <row r="6" spans="1:14" x14ac:dyDescent="0.2">
      <c r="A6" s="6" t="s">
        <v>27</v>
      </c>
      <c r="B6" s="6" t="s">
        <v>28</v>
      </c>
      <c r="C6" s="6" t="s">
        <v>20</v>
      </c>
      <c r="D6" s="7"/>
      <c r="E6" s="7"/>
      <c r="F6" s="7">
        <v>44932</v>
      </c>
      <c r="G6" s="9">
        <v>40000</v>
      </c>
      <c r="H6" s="9">
        <v>35398.230000000003</v>
      </c>
      <c r="I6" s="9">
        <v>4601.7700000000004</v>
      </c>
      <c r="J6" s="7">
        <v>45322</v>
      </c>
      <c r="K6" s="8" t="str">
        <f t="shared" si="1"/>
        <v/>
      </c>
      <c r="L6" s="8" t="str">
        <f t="shared" si="2"/>
        <v/>
      </c>
      <c r="M6" s="8">
        <f t="shared" si="0"/>
        <v>390</v>
      </c>
      <c r="N6" s="6" t="s">
        <v>26</v>
      </c>
    </row>
    <row r="7" spans="1:14" x14ac:dyDescent="0.2">
      <c r="A7" s="6" t="s">
        <v>29</v>
      </c>
      <c r="B7" s="6" t="s">
        <v>30</v>
      </c>
      <c r="C7" s="6" t="s">
        <v>20</v>
      </c>
      <c r="D7" s="7">
        <v>44843</v>
      </c>
      <c r="E7" s="7">
        <v>44867</v>
      </c>
      <c r="F7" s="7">
        <v>44932</v>
      </c>
      <c r="G7" s="9">
        <v>8000</v>
      </c>
      <c r="H7" s="9">
        <v>7079.65</v>
      </c>
      <c r="I7" s="9">
        <v>920.35</v>
      </c>
      <c r="J7" s="7">
        <v>45365</v>
      </c>
      <c r="K7" s="8">
        <f t="shared" si="1"/>
        <v>24</v>
      </c>
      <c r="L7" s="8">
        <f t="shared" si="2"/>
        <v>65</v>
      </c>
      <c r="M7" s="8">
        <f t="shared" si="0"/>
        <v>433</v>
      </c>
      <c r="N7" s="6" t="s">
        <v>26</v>
      </c>
    </row>
    <row r="8" spans="1:14" x14ac:dyDescent="0.2">
      <c r="A8" s="6" t="s">
        <v>29</v>
      </c>
      <c r="B8" s="6" t="s">
        <v>30</v>
      </c>
      <c r="C8" s="6" t="s">
        <v>20</v>
      </c>
      <c r="D8" s="7">
        <v>44843</v>
      </c>
      <c r="E8" s="7">
        <v>44867</v>
      </c>
      <c r="F8" s="7">
        <v>44932</v>
      </c>
      <c r="G8" s="9">
        <v>22000</v>
      </c>
      <c r="H8" s="9">
        <v>19469.03</v>
      </c>
      <c r="I8" s="9">
        <v>2530.9699999999998</v>
      </c>
      <c r="J8" s="7">
        <v>45365</v>
      </c>
      <c r="K8" s="8">
        <f t="shared" si="1"/>
        <v>24</v>
      </c>
      <c r="L8" s="8">
        <f t="shared" si="2"/>
        <v>65</v>
      </c>
      <c r="M8" s="8">
        <f t="shared" si="0"/>
        <v>433</v>
      </c>
      <c r="N8" s="6" t="s">
        <v>26</v>
      </c>
    </row>
    <row r="9" spans="1:14" x14ac:dyDescent="0.2">
      <c r="A9" s="6" t="s">
        <v>29</v>
      </c>
      <c r="B9" s="6" t="s">
        <v>30</v>
      </c>
      <c r="C9" s="6" t="s">
        <v>20</v>
      </c>
      <c r="D9" s="7">
        <v>44843</v>
      </c>
      <c r="E9" s="7">
        <v>44867</v>
      </c>
      <c r="F9" s="7">
        <v>44932</v>
      </c>
      <c r="G9" s="9">
        <v>38000</v>
      </c>
      <c r="H9" s="9">
        <v>33628.32</v>
      </c>
      <c r="I9" s="9">
        <v>4371.68</v>
      </c>
      <c r="J9" s="7">
        <v>45365</v>
      </c>
      <c r="K9" s="8">
        <f t="shared" si="1"/>
        <v>24</v>
      </c>
      <c r="L9" s="8">
        <f t="shared" si="2"/>
        <v>65</v>
      </c>
      <c r="M9" s="8">
        <f t="shared" si="0"/>
        <v>433</v>
      </c>
      <c r="N9" s="6" t="s">
        <v>26</v>
      </c>
    </row>
    <row r="10" spans="1:14" x14ac:dyDescent="0.2">
      <c r="A10" s="6" t="s">
        <v>31</v>
      </c>
      <c r="B10" s="6" t="s">
        <v>32</v>
      </c>
      <c r="C10" s="6" t="s">
        <v>33</v>
      </c>
      <c r="D10" s="7">
        <v>44915</v>
      </c>
      <c r="E10" s="7">
        <v>44922</v>
      </c>
      <c r="F10" s="7">
        <v>44933</v>
      </c>
      <c r="G10" s="9">
        <v>3.86</v>
      </c>
      <c r="H10" s="9">
        <v>3.42</v>
      </c>
      <c r="I10" s="9">
        <v>0.44</v>
      </c>
      <c r="J10" s="7">
        <v>45593</v>
      </c>
      <c r="K10" s="8">
        <f t="shared" si="1"/>
        <v>7</v>
      </c>
      <c r="L10" s="8">
        <f t="shared" si="2"/>
        <v>11</v>
      </c>
      <c r="M10" s="8">
        <f t="shared" si="0"/>
        <v>660</v>
      </c>
      <c r="N10" s="6" t="s">
        <v>26</v>
      </c>
    </row>
    <row r="11" spans="1:14" x14ac:dyDescent="0.2">
      <c r="A11" s="6" t="s">
        <v>34</v>
      </c>
      <c r="B11" s="6" t="s">
        <v>35</v>
      </c>
      <c r="C11" s="6" t="s">
        <v>20</v>
      </c>
      <c r="D11" s="7">
        <v>44866</v>
      </c>
      <c r="E11" s="7">
        <v>44868</v>
      </c>
      <c r="F11" s="7">
        <v>44935</v>
      </c>
      <c r="G11" s="9">
        <v>68000</v>
      </c>
      <c r="H11" s="9">
        <v>64150.94</v>
      </c>
      <c r="I11" s="9">
        <v>3849.06</v>
      </c>
      <c r="J11" s="7"/>
      <c r="K11" s="8">
        <f t="shared" si="1"/>
        <v>2</v>
      </c>
      <c r="L11" s="8">
        <f t="shared" si="2"/>
        <v>67</v>
      </c>
      <c r="M11" s="8" t="str">
        <f t="shared" si="0"/>
        <v/>
      </c>
      <c r="N11" s="6" t="s">
        <v>21</v>
      </c>
    </row>
    <row r="12" spans="1:14" x14ac:dyDescent="0.2">
      <c r="A12" s="6" t="s">
        <v>36</v>
      </c>
      <c r="B12" s="6" t="s">
        <v>37</v>
      </c>
      <c r="C12" s="6" t="s">
        <v>20</v>
      </c>
      <c r="D12" s="7"/>
      <c r="E12" s="7"/>
      <c r="F12" s="7">
        <v>44935</v>
      </c>
      <c r="G12" s="9">
        <v>101700</v>
      </c>
      <c r="H12" s="9">
        <v>90000</v>
      </c>
      <c r="I12" s="9">
        <v>11700</v>
      </c>
      <c r="J12" s="7">
        <v>45315</v>
      </c>
      <c r="K12" s="8" t="str">
        <f t="shared" si="1"/>
        <v/>
      </c>
      <c r="L12" s="8" t="str">
        <f t="shared" si="2"/>
        <v/>
      </c>
      <c r="M12" s="8">
        <f t="shared" si="0"/>
        <v>380</v>
      </c>
      <c r="N12" s="6" t="s">
        <v>26</v>
      </c>
    </row>
    <row r="13" spans="1:14" x14ac:dyDescent="0.2">
      <c r="A13" s="6" t="s">
        <v>22</v>
      </c>
      <c r="B13" s="6" t="s">
        <v>23</v>
      </c>
      <c r="C13" s="6" t="s">
        <v>20</v>
      </c>
      <c r="D13" s="7"/>
      <c r="E13" s="7"/>
      <c r="F13" s="7">
        <v>44936</v>
      </c>
      <c r="G13" s="9">
        <v>53000</v>
      </c>
      <c r="H13" s="9">
        <v>50000</v>
      </c>
      <c r="I13" s="9">
        <v>3000</v>
      </c>
      <c r="J13" s="7"/>
      <c r="K13" s="8" t="str">
        <f t="shared" si="1"/>
        <v/>
      </c>
      <c r="L13" s="8" t="str">
        <f t="shared" si="2"/>
        <v/>
      </c>
      <c r="M13" s="8" t="str">
        <f t="shared" si="0"/>
        <v/>
      </c>
      <c r="N13" s="6" t="s">
        <v>21</v>
      </c>
    </row>
    <row r="14" spans="1:14" x14ac:dyDescent="0.2">
      <c r="A14" s="6" t="s">
        <v>38</v>
      </c>
      <c r="B14" s="6" t="s">
        <v>39</v>
      </c>
      <c r="C14" s="6" t="s">
        <v>33</v>
      </c>
      <c r="D14" s="7">
        <v>44822</v>
      </c>
      <c r="E14" s="7">
        <v>44839</v>
      </c>
      <c r="F14" s="7">
        <v>44937</v>
      </c>
      <c r="G14" s="9">
        <v>-108000</v>
      </c>
      <c r="H14" s="9">
        <v>-95575.22</v>
      </c>
      <c r="I14" s="9">
        <v>-12424.78</v>
      </c>
      <c r="J14" s="7">
        <v>45564</v>
      </c>
      <c r="K14" s="8">
        <f t="shared" si="1"/>
        <v>17</v>
      </c>
      <c r="L14" s="8">
        <f t="shared" si="2"/>
        <v>98</v>
      </c>
      <c r="M14" s="8">
        <f t="shared" si="0"/>
        <v>627</v>
      </c>
      <c r="N14" s="6" t="s">
        <v>26</v>
      </c>
    </row>
    <row r="15" spans="1:14" x14ac:dyDescent="0.2">
      <c r="A15" s="6" t="s">
        <v>38</v>
      </c>
      <c r="B15" s="6" t="s">
        <v>39</v>
      </c>
      <c r="C15" s="6" t="s">
        <v>33</v>
      </c>
      <c r="D15" s="7"/>
      <c r="E15" s="7"/>
      <c r="F15" s="7">
        <v>44937</v>
      </c>
      <c r="G15" s="9">
        <v>-108000</v>
      </c>
      <c r="H15" s="9">
        <v>-95575.22</v>
      </c>
      <c r="I15" s="9">
        <v>-12424.78</v>
      </c>
      <c r="J15" s="7">
        <v>45564</v>
      </c>
      <c r="K15" s="8" t="str">
        <f t="shared" si="1"/>
        <v/>
      </c>
      <c r="L15" s="8" t="str">
        <f t="shared" si="2"/>
        <v/>
      </c>
      <c r="M15" s="8">
        <f t="shared" si="0"/>
        <v>627</v>
      </c>
      <c r="N15" s="6" t="s">
        <v>26</v>
      </c>
    </row>
    <row r="16" spans="1:14" x14ac:dyDescent="0.2">
      <c r="A16" s="6" t="s">
        <v>40</v>
      </c>
      <c r="B16" s="6" t="s">
        <v>41</v>
      </c>
      <c r="C16" s="6" t="s">
        <v>20</v>
      </c>
      <c r="D16" s="7">
        <v>44773</v>
      </c>
      <c r="E16" s="7">
        <v>44779</v>
      </c>
      <c r="F16" s="7">
        <v>44942</v>
      </c>
      <c r="G16" s="9">
        <v>65000</v>
      </c>
      <c r="H16" s="9">
        <v>59633.03</v>
      </c>
      <c r="I16" s="9">
        <v>5366.97</v>
      </c>
      <c r="J16" s="7"/>
      <c r="K16" s="8">
        <f t="shared" si="1"/>
        <v>6</v>
      </c>
      <c r="L16" s="8">
        <f t="shared" si="2"/>
        <v>163</v>
      </c>
      <c r="M16" s="8" t="str">
        <f t="shared" si="0"/>
        <v/>
      </c>
      <c r="N16" s="6" t="s">
        <v>21</v>
      </c>
    </row>
    <row r="17" spans="1:14" x14ac:dyDescent="0.2">
      <c r="A17" s="6" t="s">
        <v>42</v>
      </c>
      <c r="B17" s="6" t="s">
        <v>43</v>
      </c>
      <c r="C17" s="6" t="s">
        <v>20</v>
      </c>
      <c r="D17" s="7">
        <v>44905</v>
      </c>
      <c r="E17" s="7">
        <v>44910</v>
      </c>
      <c r="F17" s="7">
        <v>44954</v>
      </c>
      <c r="G17" s="9">
        <v>100000</v>
      </c>
      <c r="H17" s="9">
        <v>88495.58</v>
      </c>
      <c r="I17" s="9">
        <v>11504.42</v>
      </c>
      <c r="J17" s="7">
        <v>45461</v>
      </c>
      <c r="K17" s="8">
        <f t="shared" si="1"/>
        <v>5</v>
      </c>
      <c r="L17" s="8">
        <f t="shared" si="2"/>
        <v>44</v>
      </c>
      <c r="M17" s="8">
        <f t="shared" si="0"/>
        <v>507</v>
      </c>
      <c r="N17" s="6" t="s">
        <v>26</v>
      </c>
    </row>
    <row r="18" spans="1:14" x14ac:dyDescent="0.2">
      <c r="A18" s="6" t="s">
        <v>42</v>
      </c>
      <c r="B18" s="6" t="s">
        <v>44</v>
      </c>
      <c r="C18" s="6" t="s">
        <v>20</v>
      </c>
      <c r="D18" s="7">
        <v>44891</v>
      </c>
      <c r="E18" s="7">
        <v>44895</v>
      </c>
      <c r="F18" s="7">
        <v>44954</v>
      </c>
      <c r="G18" s="9">
        <v>65000</v>
      </c>
      <c r="H18" s="9">
        <v>57522.12</v>
      </c>
      <c r="I18" s="9">
        <v>7477.88</v>
      </c>
      <c r="J18" s="7">
        <v>45461</v>
      </c>
      <c r="K18" s="8">
        <f t="shared" si="1"/>
        <v>4</v>
      </c>
      <c r="L18" s="8">
        <f t="shared" si="2"/>
        <v>59</v>
      </c>
      <c r="M18" s="8">
        <f t="shared" si="0"/>
        <v>507</v>
      </c>
      <c r="N18" s="6" t="s">
        <v>26</v>
      </c>
    </row>
    <row r="19" spans="1:14" x14ac:dyDescent="0.2">
      <c r="A19" s="6" t="s">
        <v>45</v>
      </c>
      <c r="B19" s="6" t="s">
        <v>46</v>
      </c>
      <c r="C19" s="6" t="s">
        <v>20</v>
      </c>
      <c r="D19" s="7"/>
      <c r="E19" s="7"/>
      <c r="F19" s="7">
        <v>44956</v>
      </c>
      <c r="G19" s="9">
        <v>82720</v>
      </c>
      <c r="H19" s="9">
        <v>75889.91</v>
      </c>
      <c r="I19" s="9">
        <v>6830.09</v>
      </c>
      <c r="J19" s="7">
        <v>45320</v>
      </c>
      <c r="K19" s="8" t="str">
        <f t="shared" si="1"/>
        <v/>
      </c>
      <c r="L19" s="8" t="str">
        <f t="shared" si="2"/>
        <v/>
      </c>
      <c r="M19" s="8">
        <f t="shared" si="0"/>
        <v>364</v>
      </c>
      <c r="N19" s="6" t="s">
        <v>26</v>
      </c>
    </row>
    <row r="20" spans="1:14" x14ac:dyDescent="0.2">
      <c r="A20" s="6" t="s">
        <v>45</v>
      </c>
      <c r="B20" s="6" t="s">
        <v>46</v>
      </c>
      <c r="C20" s="6" t="s">
        <v>20</v>
      </c>
      <c r="D20" s="7"/>
      <c r="E20" s="7"/>
      <c r="F20" s="7">
        <v>44956</v>
      </c>
      <c r="G20" s="9">
        <v>82720</v>
      </c>
      <c r="H20" s="9">
        <v>75889.91</v>
      </c>
      <c r="I20" s="9">
        <v>6830.09</v>
      </c>
      <c r="J20" s="7">
        <v>45320</v>
      </c>
      <c r="K20" s="8" t="str">
        <f t="shared" si="1"/>
        <v/>
      </c>
      <c r="L20" s="8" t="str">
        <f t="shared" si="2"/>
        <v/>
      </c>
      <c r="M20" s="8">
        <f t="shared" si="0"/>
        <v>364</v>
      </c>
      <c r="N20" s="6" t="s">
        <v>26</v>
      </c>
    </row>
    <row r="21" spans="1:14" x14ac:dyDescent="0.2">
      <c r="A21" s="6" t="s">
        <v>47</v>
      </c>
      <c r="B21" s="6" t="s">
        <v>48</v>
      </c>
      <c r="C21" s="6" t="s">
        <v>20</v>
      </c>
      <c r="D21" s="7">
        <v>44529</v>
      </c>
      <c r="E21" s="7">
        <v>44575</v>
      </c>
      <c r="F21" s="7">
        <v>44957</v>
      </c>
      <c r="G21" s="9">
        <v>90754.31</v>
      </c>
      <c r="H21" s="9">
        <v>83260.83</v>
      </c>
      <c r="I21" s="9">
        <v>7493.48</v>
      </c>
      <c r="J21" s="7">
        <v>45314</v>
      </c>
      <c r="K21" s="8">
        <f t="shared" si="1"/>
        <v>46</v>
      </c>
      <c r="L21" s="8">
        <f t="shared" si="2"/>
        <v>382</v>
      </c>
      <c r="M21" s="8">
        <f t="shared" si="0"/>
        <v>357</v>
      </c>
      <c r="N21" s="6" t="s">
        <v>26</v>
      </c>
    </row>
    <row r="22" spans="1:14" x14ac:dyDescent="0.2">
      <c r="A22" s="6" t="s">
        <v>47</v>
      </c>
      <c r="B22" s="6" t="s">
        <v>48</v>
      </c>
      <c r="C22" s="6" t="s">
        <v>20</v>
      </c>
      <c r="D22" s="7">
        <v>44529</v>
      </c>
      <c r="E22" s="7">
        <v>44575</v>
      </c>
      <c r="F22" s="7">
        <v>44957</v>
      </c>
      <c r="G22" s="9">
        <v>38894.699999999997</v>
      </c>
      <c r="H22" s="9">
        <v>35683.21</v>
      </c>
      <c r="I22" s="9">
        <v>3211.49</v>
      </c>
      <c r="J22" s="7">
        <v>45314</v>
      </c>
      <c r="K22" s="8">
        <f t="shared" si="1"/>
        <v>46</v>
      </c>
      <c r="L22" s="8">
        <f t="shared" si="2"/>
        <v>382</v>
      </c>
      <c r="M22" s="8">
        <f t="shared" si="0"/>
        <v>357</v>
      </c>
      <c r="N22" s="6" t="s">
        <v>26</v>
      </c>
    </row>
    <row r="23" spans="1:14" x14ac:dyDescent="0.2">
      <c r="A23" s="6" t="s">
        <v>49</v>
      </c>
      <c r="B23" s="6" t="s">
        <v>50</v>
      </c>
      <c r="C23" s="6" t="s">
        <v>20</v>
      </c>
      <c r="D23" s="7"/>
      <c r="E23" s="7"/>
      <c r="F23" s="7">
        <v>44959</v>
      </c>
      <c r="G23" s="9">
        <v>97</v>
      </c>
      <c r="H23" s="9">
        <v>85.84</v>
      </c>
      <c r="I23" s="9">
        <v>11.16</v>
      </c>
      <c r="J23" s="7">
        <v>45679</v>
      </c>
      <c r="K23" s="8" t="str">
        <f t="shared" si="1"/>
        <v/>
      </c>
      <c r="L23" s="8" t="str">
        <f t="shared" si="2"/>
        <v/>
      </c>
      <c r="M23" s="8">
        <f t="shared" si="0"/>
        <v>720</v>
      </c>
      <c r="N23" s="6" t="s">
        <v>26</v>
      </c>
    </row>
    <row r="24" spans="1:14" x14ac:dyDescent="0.2">
      <c r="A24" s="6" t="s">
        <v>49</v>
      </c>
      <c r="B24" s="6" t="s">
        <v>51</v>
      </c>
      <c r="C24" s="6" t="s">
        <v>20</v>
      </c>
      <c r="D24" s="7"/>
      <c r="E24" s="7"/>
      <c r="F24" s="7">
        <v>44959</v>
      </c>
      <c r="G24" s="9">
        <v>12000</v>
      </c>
      <c r="H24" s="9">
        <v>10619.47</v>
      </c>
      <c r="I24" s="9">
        <v>1380.53</v>
      </c>
      <c r="J24" s="7">
        <v>45679</v>
      </c>
      <c r="K24" s="8" t="str">
        <f t="shared" si="1"/>
        <v/>
      </c>
      <c r="L24" s="8" t="str">
        <f t="shared" si="2"/>
        <v/>
      </c>
      <c r="M24" s="8">
        <f t="shared" si="0"/>
        <v>720</v>
      </c>
      <c r="N24" s="6" t="s">
        <v>26</v>
      </c>
    </row>
    <row r="25" spans="1:14" x14ac:dyDescent="0.2">
      <c r="A25" s="6" t="s">
        <v>52</v>
      </c>
      <c r="B25" s="6" t="s">
        <v>53</v>
      </c>
      <c r="C25" s="6" t="s">
        <v>33</v>
      </c>
      <c r="D25" s="7"/>
      <c r="E25" s="7"/>
      <c r="F25" s="7">
        <v>44966</v>
      </c>
      <c r="G25" s="9">
        <v>110000</v>
      </c>
      <c r="H25" s="9">
        <v>97345.13</v>
      </c>
      <c r="I25" s="9">
        <v>12654.87</v>
      </c>
      <c r="J25" s="7">
        <v>45593</v>
      </c>
      <c r="K25" s="8" t="str">
        <f t="shared" si="1"/>
        <v/>
      </c>
      <c r="L25" s="8" t="str">
        <f t="shared" si="2"/>
        <v/>
      </c>
      <c r="M25" s="8">
        <f t="shared" si="0"/>
        <v>627</v>
      </c>
      <c r="N25" s="6" t="s">
        <v>26</v>
      </c>
    </row>
    <row r="26" spans="1:14" x14ac:dyDescent="0.2">
      <c r="A26" s="6" t="s">
        <v>54</v>
      </c>
      <c r="B26" s="6" t="s">
        <v>55</v>
      </c>
      <c r="C26" s="6" t="s">
        <v>20</v>
      </c>
      <c r="D26" s="7">
        <v>44668</v>
      </c>
      <c r="E26" s="7">
        <v>44675</v>
      </c>
      <c r="F26" s="7">
        <v>44967</v>
      </c>
      <c r="G26" s="9">
        <v>117809.74</v>
      </c>
      <c r="H26" s="9">
        <v>110619.47</v>
      </c>
      <c r="I26" s="9">
        <v>7190.27</v>
      </c>
      <c r="J26" s="7"/>
      <c r="K26" s="8">
        <f t="shared" si="1"/>
        <v>7</v>
      </c>
      <c r="L26" s="8">
        <f t="shared" si="2"/>
        <v>292</v>
      </c>
      <c r="M26" s="8" t="str">
        <f t="shared" si="0"/>
        <v/>
      </c>
      <c r="N26" s="6" t="s">
        <v>21</v>
      </c>
    </row>
    <row r="27" spans="1:14" x14ac:dyDescent="0.2">
      <c r="A27" s="6" t="s">
        <v>54</v>
      </c>
      <c r="B27" s="6" t="s">
        <v>55</v>
      </c>
      <c r="C27" s="6" t="s">
        <v>20</v>
      </c>
      <c r="D27" s="7"/>
      <c r="E27" s="7"/>
      <c r="F27" s="7">
        <v>44967</v>
      </c>
      <c r="G27" s="9">
        <v>117809.74</v>
      </c>
      <c r="H27" s="9">
        <v>110619.47</v>
      </c>
      <c r="I27" s="9">
        <v>7190.27</v>
      </c>
      <c r="J27" s="7"/>
      <c r="K27" s="8" t="str">
        <f t="shared" si="1"/>
        <v/>
      </c>
      <c r="L27" s="8" t="str">
        <f t="shared" si="2"/>
        <v/>
      </c>
      <c r="M27" s="8" t="str">
        <f t="shared" si="0"/>
        <v/>
      </c>
      <c r="N27" s="6" t="s">
        <v>21</v>
      </c>
    </row>
    <row r="28" spans="1:14" x14ac:dyDescent="0.2">
      <c r="A28" s="6" t="s">
        <v>56</v>
      </c>
      <c r="B28" s="6" t="s">
        <v>57</v>
      </c>
      <c r="C28" s="6" t="s">
        <v>20</v>
      </c>
      <c r="D28" s="7">
        <v>44885</v>
      </c>
      <c r="E28" s="7">
        <v>44887</v>
      </c>
      <c r="F28" s="7">
        <v>44971</v>
      </c>
      <c r="G28" s="9">
        <v>55700</v>
      </c>
      <c r="H28" s="9">
        <v>49292.04</v>
      </c>
      <c r="I28" s="9">
        <v>6407.96</v>
      </c>
      <c r="J28" s="7">
        <v>45371</v>
      </c>
      <c r="K28" s="8">
        <f t="shared" si="1"/>
        <v>2</v>
      </c>
      <c r="L28" s="8">
        <f t="shared" si="2"/>
        <v>84</v>
      </c>
      <c r="M28" s="8">
        <f t="shared" si="0"/>
        <v>400</v>
      </c>
      <c r="N28" s="6" t="s">
        <v>26</v>
      </c>
    </row>
    <row r="29" spans="1:14" x14ac:dyDescent="0.2">
      <c r="A29" s="6" t="s">
        <v>56</v>
      </c>
      <c r="B29" s="6" t="s">
        <v>58</v>
      </c>
      <c r="C29" s="6" t="s">
        <v>20</v>
      </c>
      <c r="D29" s="7">
        <v>44882</v>
      </c>
      <c r="E29" s="7">
        <v>44884</v>
      </c>
      <c r="F29" s="7">
        <v>44971</v>
      </c>
      <c r="G29" s="9">
        <v>64000</v>
      </c>
      <c r="H29" s="9">
        <v>56637.17</v>
      </c>
      <c r="I29" s="9">
        <v>7362.83</v>
      </c>
      <c r="J29" s="7">
        <v>45371</v>
      </c>
      <c r="K29" s="8">
        <f t="shared" si="1"/>
        <v>2</v>
      </c>
      <c r="L29" s="8">
        <f t="shared" si="2"/>
        <v>87</v>
      </c>
      <c r="M29" s="8">
        <f t="shared" si="0"/>
        <v>400</v>
      </c>
      <c r="N29" s="6" t="s">
        <v>26</v>
      </c>
    </row>
    <row r="30" spans="1:14" x14ac:dyDescent="0.2">
      <c r="A30" s="6" t="s">
        <v>59</v>
      </c>
      <c r="B30" s="6" t="s">
        <v>60</v>
      </c>
      <c r="C30" s="6" t="s">
        <v>20</v>
      </c>
      <c r="D30" s="7"/>
      <c r="E30" s="7"/>
      <c r="F30" s="7">
        <v>44971</v>
      </c>
      <c r="G30" s="9">
        <v>105000</v>
      </c>
      <c r="H30" s="9">
        <v>92920.35</v>
      </c>
      <c r="I30" s="9">
        <v>12079.65</v>
      </c>
      <c r="J30" s="7">
        <v>45596</v>
      </c>
      <c r="K30" s="8" t="str">
        <f t="shared" si="1"/>
        <v/>
      </c>
      <c r="L30" s="8" t="str">
        <f t="shared" si="2"/>
        <v/>
      </c>
      <c r="M30" s="8">
        <f t="shared" si="0"/>
        <v>625</v>
      </c>
      <c r="N30" s="6" t="s">
        <v>26</v>
      </c>
    </row>
    <row r="31" spans="1:14" x14ac:dyDescent="0.2">
      <c r="A31" s="6" t="s">
        <v>59</v>
      </c>
      <c r="B31" s="6" t="s">
        <v>60</v>
      </c>
      <c r="C31" s="6" t="s">
        <v>20</v>
      </c>
      <c r="D31" s="7">
        <v>44695</v>
      </c>
      <c r="E31" s="7">
        <v>44701</v>
      </c>
      <c r="F31" s="7">
        <v>44971</v>
      </c>
      <c r="G31" s="9">
        <v>47000</v>
      </c>
      <c r="H31" s="9">
        <v>41592.92</v>
      </c>
      <c r="I31" s="9">
        <v>5407.08</v>
      </c>
      <c r="J31" s="7">
        <v>45596</v>
      </c>
      <c r="K31" s="8">
        <f t="shared" si="1"/>
        <v>6</v>
      </c>
      <c r="L31" s="8">
        <f t="shared" si="2"/>
        <v>270</v>
      </c>
      <c r="M31" s="8">
        <f t="shared" si="0"/>
        <v>625</v>
      </c>
      <c r="N31" s="6" t="s">
        <v>26</v>
      </c>
    </row>
    <row r="32" spans="1:14" x14ac:dyDescent="0.2">
      <c r="A32" s="6" t="s">
        <v>59</v>
      </c>
      <c r="B32" s="6" t="s">
        <v>60</v>
      </c>
      <c r="C32" s="6" t="s">
        <v>20</v>
      </c>
      <c r="D32" s="7">
        <v>44724</v>
      </c>
      <c r="E32" s="7">
        <v>44862</v>
      </c>
      <c r="F32" s="7">
        <v>44971</v>
      </c>
      <c r="G32" s="9">
        <v>18000</v>
      </c>
      <c r="H32" s="9">
        <v>15929.2</v>
      </c>
      <c r="I32" s="9">
        <v>2070.8000000000002</v>
      </c>
      <c r="J32" s="7">
        <v>45596</v>
      </c>
      <c r="K32" s="8">
        <f t="shared" si="1"/>
        <v>138</v>
      </c>
      <c r="L32" s="8">
        <f t="shared" si="2"/>
        <v>109</v>
      </c>
      <c r="M32" s="8">
        <f t="shared" si="0"/>
        <v>625</v>
      </c>
      <c r="N32" s="6" t="s">
        <v>26</v>
      </c>
    </row>
    <row r="33" spans="1:14" x14ac:dyDescent="0.2">
      <c r="A33" s="6" t="s">
        <v>59</v>
      </c>
      <c r="B33" s="6" t="s">
        <v>60</v>
      </c>
      <c r="C33" s="6" t="s">
        <v>20</v>
      </c>
      <c r="D33" s="7">
        <v>44724</v>
      </c>
      <c r="E33" s="7">
        <v>44862</v>
      </c>
      <c r="F33" s="7">
        <v>44971</v>
      </c>
      <c r="G33" s="9">
        <v>4900</v>
      </c>
      <c r="H33" s="9">
        <v>4336.28</v>
      </c>
      <c r="I33" s="9">
        <v>563.72</v>
      </c>
      <c r="J33" s="7">
        <v>45596</v>
      </c>
      <c r="K33" s="8">
        <f t="shared" si="1"/>
        <v>138</v>
      </c>
      <c r="L33" s="8">
        <f t="shared" si="2"/>
        <v>109</v>
      </c>
      <c r="M33" s="8">
        <f t="shared" si="0"/>
        <v>625</v>
      </c>
      <c r="N33" s="6" t="s">
        <v>26</v>
      </c>
    </row>
    <row r="34" spans="1:14" x14ac:dyDescent="0.2">
      <c r="A34" s="6" t="s">
        <v>59</v>
      </c>
      <c r="B34" s="6" t="s">
        <v>60</v>
      </c>
      <c r="C34" s="6" t="s">
        <v>20</v>
      </c>
      <c r="D34" s="7">
        <v>44758</v>
      </c>
      <c r="E34" s="7">
        <v>44772</v>
      </c>
      <c r="F34" s="7">
        <v>44971</v>
      </c>
      <c r="G34" s="9">
        <v>40000</v>
      </c>
      <c r="H34" s="9">
        <v>35398.230000000003</v>
      </c>
      <c r="I34" s="9">
        <v>4601.7700000000004</v>
      </c>
      <c r="J34" s="7">
        <v>45596</v>
      </c>
      <c r="K34" s="8">
        <f t="shared" si="1"/>
        <v>14</v>
      </c>
      <c r="L34" s="8">
        <f t="shared" si="2"/>
        <v>199</v>
      </c>
      <c r="M34" s="8">
        <f t="shared" si="0"/>
        <v>625</v>
      </c>
      <c r="N34" s="6" t="s">
        <v>26</v>
      </c>
    </row>
    <row r="35" spans="1:14" x14ac:dyDescent="0.2">
      <c r="A35" s="6" t="s">
        <v>61</v>
      </c>
      <c r="B35" s="6" t="s">
        <v>62</v>
      </c>
      <c r="C35" s="6" t="s">
        <v>33</v>
      </c>
      <c r="D35" s="7">
        <v>44912</v>
      </c>
      <c r="E35" s="7">
        <v>44924</v>
      </c>
      <c r="F35" s="7">
        <v>44972</v>
      </c>
      <c r="G35" s="9">
        <v>58000</v>
      </c>
      <c r="H35" s="9">
        <v>51327.43</v>
      </c>
      <c r="I35" s="9">
        <v>6672.57</v>
      </c>
      <c r="J35" s="7">
        <v>45586</v>
      </c>
      <c r="K35" s="8">
        <f t="shared" si="1"/>
        <v>12</v>
      </c>
      <c r="L35" s="8">
        <f t="shared" si="2"/>
        <v>48</v>
      </c>
      <c r="M35" s="8">
        <f t="shared" si="0"/>
        <v>614</v>
      </c>
      <c r="N35" s="6" t="s">
        <v>26</v>
      </c>
    </row>
    <row r="36" spans="1:14" x14ac:dyDescent="0.2">
      <c r="A36" s="6" t="s">
        <v>63</v>
      </c>
      <c r="B36" s="6" t="s">
        <v>64</v>
      </c>
      <c r="C36" s="6" t="s">
        <v>20</v>
      </c>
      <c r="D36" s="7"/>
      <c r="E36" s="7"/>
      <c r="F36" s="7">
        <v>44973</v>
      </c>
      <c r="G36" s="9">
        <v>52920</v>
      </c>
      <c r="H36" s="9">
        <v>46831.86</v>
      </c>
      <c r="I36" s="9">
        <v>6088.14</v>
      </c>
      <c r="J36" s="7"/>
      <c r="K36" s="8" t="str">
        <f t="shared" si="1"/>
        <v/>
      </c>
      <c r="L36" s="8" t="str">
        <f t="shared" si="2"/>
        <v/>
      </c>
      <c r="M36" s="8" t="str">
        <f t="shared" si="0"/>
        <v/>
      </c>
      <c r="N36" s="6" t="s">
        <v>21</v>
      </c>
    </row>
    <row r="37" spans="1:14" x14ac:dyDescent="0.2">
      <c r="A37" s="6" t="s">
        <v>65</v>
      </c>
      <c r="B37" s="6" t="s">
        <v>66</v>
      </c>
      <c r="C37" s="6" t="s">
        <v>20</v>
      </c>
      <c r="D37" s="7">
        <v>44943</v>
      </c>
      <c r="E37" s="7">
        <v>44943</v>
      </c>
      <c r="F37" s="7">
        <v>44975</v>
      </c>
      <c r="G37" s="9">
        <v>14000</v>
      </c>
      <c r="H37" s="9">
        <v>13207.55</v>
      </c>
      <c r="I37" s="9">
        <v>792.45</v>
      </c>
      <c r="J37" s="7"/>
      <c r="K37" s="8">
        <f t="shared" si="1"/>
        <v>0</v>
      </c>
      <c r="L37" s="8">
        <f t="shared" si="2"/>
        <v>32</v>
      </c>
      <c r="M37" s="8" t="str">
        <f t="shared" si="0"/>
        <v/>
      </c>
      <c r="N37" s="6" t="s">
        <v>21</v>
      </c>
    </row>
    <row r="38" spans="1:14" x14ac:dyDescent="0.2">
      <c r="A38" s="6" t="s">
        <v>67</v>
      </c>
      <c r="B38" s="6" t="s">
        <v>68</v>
      </c>
      <c r="C38" s="6" t="s">
        <v>33</v>
      </c>
      <c r="D38" s="7">
        <v>44648</v>
      </c>
      <c r="E38" s="7">
        <v>44660</v>
      </c>
      <c r="F38" s="7">
        <v>44975</v>
      </c>
      <c r="G38" s="9">
        <v>112892</v>
      </c>
      <c r="H38" s="9">
        <v>99904.42</v>
      </c>
      <c r="I38" s="9">
        <v>12987.58</v>
      </c>
      <c r="J38" s="7"/>
      <c r="K38" s="8">
        <f t="shared" si="1"/>
        <v>12</v>
      </c>
      <c r="L38" s="8">
        <f t="shared" si="2"/>
        <v>315</v>
      </c>
      <c r="M38" s="8" t="str">
        <f t="shared" si="0"/>
        <v/>
      </c>
      <c r="N38" s="6" t="s">
        <v>21</v>
      </c>
    </row>
    <row r="39" spans="1:14" x14ac:dyDescent="0.2">
      <c r="A39" s="6" t="s">
        <v>67</v>
      </c>
      <c r="B39" s="6" t="s">
        <v>68</v>
      </c>
      <c r="C39" s="6" t="s">
        <v>33</v>
      </c>
      <c r="D39" s="7">
        <v>44648</v>
      </c>
      <c r="E39" s="7">
        <v>44660</v>
      </c>
      <c r="F39" s="7">
        <v>44975</v>
      </c>
      <c r="G39" s="9">
        <v>112554</v>
      </c>
      <c r="H39" s="9">
        <v>99605.31</v>
      </c>
      <c r="I39" s="9">
        <v>12948.69</v>
      </c>
      <c r="J39" s="7"/>
      <c r="K39" s="8">
        <f t="shared" si="1"/>
        <v>12</v>
      </c>
      <c r="L39" s="8">
        <f t="shared" si="2"/>
        <v>315</v>
      </c>
      <c r="M39" s="8" t="str">
        <f t="shared" si="0"/>
        <v/>
      </c>
      <c r="N39" s="6" t="s">
        <v>21</v>
      </c>
    </row>
    <row r="40" spans="1:14" x14ac:dyDescent="0.2">
      <c r="A40" s="6" t="s">
        <v>67</v>
      </c>
      <c r="B40" s="6" t="s">
        <v>68</v>
      </c>
      <c r="C40" s="6" t="s">
        <v>33</v>
      </c>
      <c r="D40" s="7">
        <v>44648</v>
      </c>
      <c r="E40" s="7">
        <v>44660</v>
      </c>
      <c r="F40" s="7">
        <v>44975</v>
      </c>
      <c r="G40" s="9">
        <v>112554</v>
      </c>
      <c r="H40" s="9">
        <v>99605.31</v>
      </c>
      <c r="I40" s="9">
        <v>12948.69</v>
      </c>
      <c r="J40" s="7"/>
      <c r="K40" s="8">
        <f t="shared" si="1"/>
        <v>12</v>
      </c>
      <c r="L40" s="8">
        <f t="shared" si="2"/>
        <v>315</v>
      </c>
      <c r="M40" s="8" t="str">
        <f t="shared" si="0"/>
        <v/>
      </c>
      <c r="N40" s="6" t="s">
        <v>21</v>
      </c>
    </row>
    <row r="41" spans="1:14" x14ac:dyDescent="0.2">
      <c r="A41" s="6" t="s">
        <v>69</v>
      </c>
      <c r="B41" s="6" t="s">
        <v>70</v>
      </c>
      <c r="C41" s="6" t="s">
        <v>20</v>
      </c>
      <c r="D41" s="7">
        <v>44943</v>
      </c>
      <c r="E41" s="7">
        <v>44944</v>
      </c>
      <c r="F41" s="7">
        <v>44979</v>
      </c>
      <c r="G41" s="9">
        <v>38250</v>
      </c>
      <c r="H41" s="9">
        <v>33849.56</v>
      </c>
      <c r="I41" s="9">
        <v>4400.4399999999996</v>
      </c>
      <c r="J41" s="7">
        <v>45553</v>
      </c>
      <c r="K41" s="8">
        <f t="shared" si="1"/>
        <v>1</v>
      </c>
      <c r="L41" s="8">
        <f t="shared" si="2"/>
        <v>35</v>
      </c>
      <c r="M41" s="8">
        <f t="shared" si="0"/>
        <v>574</v>
      </c>
      <c r="N41" s="6" t="s">
        <v>26</v>
      </c>
    </row>
    <row r="42" spans="1:14" x14ac:dyDescent="0.2">
      <c r="A42" s="6" t="s">
        <v>71</v>
      </c>
      <c r="B42" s="6" t="s">
        <v>72</v>
      </c>
      <c r="C42" s="6" t="s">
        <v>20</v>
      </c>
      <c r="D42" s="7">
        <v>44892</v>
      </c>
      <c r="E42" s="7">
        <v>44893</v>
      </c>
      <c r="F42" s="7">
        <v>44979</v>
      </c>
      <c r="G42" s="9">
        <v>40000</v>
      </c>
      <c r="H42" s="9">
        <v>35398.230000000003</v>
      </c>
      <c r="I42" s="9">
        <v>4601.7700000000004</v>
      </c>
      <c r="J42" s="7">
        <v>45345</v>
      </c>
      <c r="K42" s="8">
        <f t="shared" si="1"/>
        <v>1</v>
      </c>
      <c r="L42" s="8">
        <f t="shared" si="2"/>
        <v>86</v>
      </c>
      <c r="M42" s="8">
        <f t="shared" si="0"/>
        <v>366</v>
      </c>
      <c r="N42" s="6" t="s">
        <v>26</v>
      </c>
    </row>
    <row r="43" spans="1:14" x14ac:dyDescent="0.2">
      <c r="A43" s="6" t="s">
        <v>73</v>
      </c>
      <c r="B43" s="6" t="s">
        <v>74</v>
      </c>
      <c r="C43" s="6" t="s">
        <v>20</v>
      </c>
      <c r="D43" s="7">
        <v>44953</v>
      </c>
      <c r="E43" s="7">
        <v>44955</v>
      </c>
      <c r="F43" s="7">
        <v>44979</v>
      </c>
      <c r="G43" s="9">
        <v>48000</v>
      </c>
      <c r="H43" s="9">
        <v>42477.88</v>
      </c>
      <c r="I43" s="9">
        <v>5522.12</v>
      </c>
      <c r="J43" s="7"/>
      <c r="K43" s="8">
        <f t="shared" si="1"/>
        <v>2</v>
      </c>
      <c r="L43" s="8">
        <f t="shared" si="2"/>
        <v>24</v>
      </c>
      <c r="M43" s="8" t="str">
        <f t="shared" si="0"/>
        <v/>
      </c>
      <c r="N43" s="6" t="s">
        <v>21</v>
      </c>
    </row>
    <row r="44" spans="1:14" x14ac:dyDescent="0.2">
      <c r="A44" s="6" t="s">
        <v>75</v>
      </c>
      <c r="B44" s="6" t="s">
        <v>76</v>
      </c>
      <c r="C44" s="6" t="s">
        <v>20</v>
      </c>
      <c r="D44" s="7">
        <v>44852</v>
      </c>
      <c r="E44" s="7">
        <v>44854</v>
      </c>
      <c r="F44" s="7">
        <v>44981</v>
      </c>
      <c r="G44" s="9">
        <v>61600</v>
      </c>
      <c r="H44" s="9">
        <v>56513.760000000002</v>
      </c>
      <c r="I44" s="9">
        <v>5086.24</v>
      </c>
      <c r="J44" s="7">
        <v>45315</v>
      </c>
      <c r="K44" s="8">
        <f t="shared" si="1"/>
        <v>2</v>
      </c>
      <c r="L44" s="8">
        <f t="shared" si="2"/>
        <v>127</v>
      </c>
      <c r="M44" s="8">
        <f t="shared" si="0"/>
        <v>334</v>
      </c>
      <c r="N44" s="6" t="s">
        <v>26</v>
      </c>
    </row>
    <row r="45" spans="1:14" x14ac:dyDescent="0.2">
      <c r="A45" s="6" t="s">
        <v>77</v>
      </c>
      <c r="B45" s="6" t="s">
        <v>78</v>
      </c>
      <c r="C45" s="6" t="s">
        <v>20</v>
      </c>
      <c r="D45" s="7">
        <v>44785</v>
      </c>
      <c r="E45" s="7">
        <v>44788</v>
      </c>
      <c r="F45" s="7">
        <v>44981</v>
      </c>
      <c r="G45" s="9">
        <v>26204</v>
      </c>
      <c r="H45" s="9">
        <v>23189.38</v>
      </c>
      <c r="I45" s="9">
        <v>3014.62</v>
      </c>
      <c r="J45" s="7">
        <v>45504</v>
      </c>
      <c r="K45" s="8">
        <f t="shared" si="1"/>
        <v>3</v>
      </c>
      <c r="L45" s="8">
        <f t="shared" si="2"/>
        <v>193</v>
      </c>
      <c r="M45" s="8">
        <f t="shared" si="0"/>
        <v>523</v>
      </c>
      <c r="N45" s="6" t="s">
        <v>26</v>
      </c>
    </row>
    <row r="46" spans="1:14" x14ac:dyDescent="0.2">
      <c r="A46" s="6" t="s">
        <v>77</v>
      </c>
      <c r="B46" s="6" t="s">
        <v>79</v>
      </c>
      <c r="C46" s="6" t="s">
        <v>20</v>
      </c>
      <c r="D46" s="7">
        <v>44774</v>
      </c>
      <c r="E46" s="7">
        <v>44784</v>
      </c>
      <c r="F46" s="7">
        <v>44981</v>
      </c>
      <c r="G46" s="9">
        <v>82000</v>
      </c>
      <c r="H46" s="9">
        <v>72566.37</v>
      </c>
      <c r="I46" s="9">
        <v>9433.6299999999992</v>
      </c>
      <c r="J46" s="7">
        <v>45504</v>
      </c>
      <c r="K46" s="8">
        <f t="shared" si="1"/>
        <v>10</v>
      </c>
      <c r="L46" s="8">
        <f t="shared" si="2"/>
        <v>197</v>
      </c>
      <c r="M46" s="8">
        <f t="shared" si="0"/>
        <v>523</v>
      </c>
      <c r="N46" s="6" t="s">
        <v>26</v>
      </c>
    </row>
    <row r="47" spans="1:14" x14ac:dyDescent="0.2">
      <c r="A47" s="6" t="s">
        <v>77</v>
      </c>
      <c r="B47" s="6" t="s">
        <v>79</v>
      </c>
      <c r="C47" s="6" t="s">
        <v>20</v>
      </c>
      <c r="D47" s="7"/>
      <c r="E47" s="7"/>
      <c r="F47" s="7">
        <v>44981</v>
      </c>
      <c r="G47" s="9">
        <v>104584</v>
      </c>
      <c r="H47" s="9">
        <v>92552.21</v>
      </c>
      <c r="I47" s="9">
        <v>12031.79</v>
      </c>
      <c r="J47" s="7">
        <v>45504</v>
      </c>
      <c r="K47" s="8" t="str">
        <f t="shared" si="1"/>
        <v/>
      </c>
      <c r="L47" s="8" t="str">
        <f t="shared" si="2"/>
        <v/>
      </c>
      <c r="M47" s="8">
        <f t="shared" si="0"/>
        <v>523</v>
      </c>
      <c r="N47" s="6" t="s">
        <v>26</v>
      </c>
    </row>
    <row r="48" spans="1:14" x14ac:dyDescent="0.2">
      <c r="A48" s="6" t="s">
        <v>77</v>
      </c>
      <c r="B48" s="6" t="s">
        <v>80</v>
      </c>
      <c r="C48" s="6" t="s">
        <v>20</v>
      </c>
      <c r="D48" s="7"/>
      <c r="E48" s="7"/>
      <c r="F48" s="7">
        <v>44981</v>
      </c>
      <c r="G48" s="9">
        <v>100000</v>
      </c>
      <c r="H48" s="9">
        <v>91743.12</v>
      </c>
      <c r="I48" s="9">
        <v>8256.8799999999992</v>
      </c>
      <c r="J48" s="7">
        <v>45504</v>
      </c>
      <c r="K48" s="8" t="str">
        <f t="shared" si="1"/>
        <v/>
      </c>
      <c r="L48" s="8" t="str">
        <f t="shared" si="2"/>
        <v/>
      </c>
      <c r="M48" s="8">
        <f t="shared" si="0"/>
        <v>523</v>
      </c>
      <c r="N48" s="6" t="s">
        <v>26</v>
      </c>
    </row>
    <row r="49" spans="1:14" x14ac:dyDescent="0.2">
      <c r="A49" s="6" t="s">
        <v>81</v>
      </c>
      <c r="B49" s="6" t="s">
        <v>82</v>
      </c>
      <c r="C49" s="6" t="s">
        <v>20</v>
      </c>
      <c r="D49" s="7"/>
      <c r="E49" s="7"/>
      <c r="F49" s="7">
        <v>44981</v>
      </c>
      <c r="G49" s="9">
        <v>64000</v>
      </c>
      <c r="H49" s="9">
        <v>56637.17</v>
      </c>
      <c r="I49" s="9">
        <v>7362.83</v>
      </c>
      <c r="J49" s="7">
        <v>45624</v>
      </c>
      <c r="K49" s="8" t="str">
        <f t="shared" si="1"/>
        <v/>
      </c>
      <c r="L49" s="8" t="str">
        <f t="shared" si="2"/>
        <v/>
      </c>
      <c r="M49" s="8">
        <f t="shared" si="0"/>
        <v>643</v>
      </c>
      <c r="N49" s="6" t="s">
        <v>26</v>
      </c>
    </row>
    <row r="50" spans="1:14" x14ac:dyDescent="0.2">
      <c r="A50" s="6" t="s">
        <v>81</v>
      </c>
      <c r="B50" s="6" t="s">
        <v>82</v>
      </c>
      <c r="C50" s="6" t="s">
        <v>20</v>
      </c>
      <c r="D50" s="7"/>
      <c r="E50" s="7"/>
      <c r="F50" s="7">
        <v>44981</v>
      </c>
      <c r="G50" s="9">
        <v>96000</v>
      </c>
      <c r="H50" s="9">
        <v>84955.75</v>
      </c>
      <c r="I50" s="9">
        <v>11044.25</v>
      </c>
      <c r="J50" s="7">
        <v>45624</v>
      </c>
      <c r="K50" s="8" t="str">
        <f t="shared" si="1"/>
        <v/>
      </c>
      <c r="L50" s="8" t="str">
        <f t="shared" si="2"/>
        <v/>
      </c>
      <c r="M50" s="8">
        <f t="shared" si="0"/>
        <v>643</v>
      </c>
      <c r="N50" s="6" t="s">
        <v>26</v>
      </c>
    </row>
    <row r="51" spans="1:14" x14ac:dyDescent="0.2">
      <c r="A51" s="6" t="s">
        <v>81</v>
      </c>
      <c r="B51" s="6" t="s">
        <v>82</v>
      </c>
      <c r="C51" s="6" t="s">
        <v>20</v>
      </c>
      <c r="D51" s="7"/>
      <c r="E51" s="7"/>
      <c r="F51" s="7">
        <v>44981</v>
      </c>
      <c r="G51" s="9">
        <v>96000</v>
      </c>
      <c r="H51" s="9">
        <v>84955.75</v>
      </c>
      <c r="I51" s="9">
        <v>11044.25</v>
      </c>
      <c r="J51" s="7">
        <v>45624</v>
      </c>
      <c r="K51" s="8" t="str">
        <f t="shared" si="1"/>
        <v/>
      </c>
      <c r="L51" s="8" t="str">
        <f t="shared" si="2"/>
        <v/>
      </c>
      <c r="M51" s="8">
        <f t="shared" si="0"/>
        <v>643</v>
      </c>
      <c r="N51" s="6" t="s">
        <v>26</v>
      </c>
    </row>
    <row r="52" spans="1:14" x14ac:dyDescent="0.2">
      <c r="A52" s="6" t="s">
        <v>81</v>
      </c>
      <c r="B52" s="6" t="s">
        <v>82</v>
      </c>
      <c r="C52" s="6" t="s">
        <v>20</v>
      </c>
      <c r="D52" s="7"/>
      <c r="E52" s="7"/>
      <c r="F52" s="7">
        <v>44981</v>
      </c>
      <c r="G52" s="9">
        <v>-96000</v>
      </c>
      <c r="H52" s="9">
        <v>-84955.75</v>
      </c>
      <c r="I52" s="9">
        <v>-11044.25</v>
      </c>
      <c r="J52" s="7">
        <v>45624</v>
      </c>
      <c r="K52" s="8" t="str">
        <f t="shared" si="1"/>
        <v/>
      </c>
      <c r="L52" s="8" t="str">
        <f t="shared" si="2"/>
        <v/>
      </c>
      <c r="M52" s="8">
        <f t="shared" si="0"/>
        <v>643</v>
      </c>
      <c r="N52" s="6" t="s">
        <v>26</v>
      </c>
    </row>
    <row r="53" spans="1:14" x14ac:dyDescent="0.2">
      <c r="A53" s="6" t="s">
        <v>81</v>
      </c>
      <c r="B53" s="6" t="s">
        <v>82</v>
      </c>
      <c r="C53" s="6" t="s">
        <v>20</v>
      </c>
      <c r="D53" s="7"/>
      <c r="E53" s="7"/>
      <c r="F53" s="7">
        <v>44981</v>
      </c>
      <c r="G53" s="9">
        <v>-96000</v>
      </c>
      <c r="H53" s="9">
        <v>-84955.75</v>
      </c>
      <c r="I53" s="9">
        <v>-11044.25</v>
      </c>
      <c r="J53" s="7">
        <v>45624</v>
      </c>
      <c r="K53" s="8" t="str">
        <f t="shared" si="1"/>
        <v/>
      </c>
      <c r="L53" s="8" t="str">
        <f t="shared" si="2"/>
        <v/>
      </c>
      <c r="M53" s="8">
        <f t="shared" si="0"/>
        <v>643</v>
      </c>
      <c r="N53" s="6" t="s">
        <v>26</v>
      </c>
    </row>
    <row r="54" spans="1:14" x14ac:dyDescent="0.2">
      <c r="A54" s="6" t="s">
        <v>81</v>
      </c>
      <c r="B54" s="6" t="s">
        <v>82</v>
      </c>
      <c r="C54" s="6" t="s">
        <v>20</v>
      </c>
      <c r="D54" s="7"/>
      <c r="E54" s="7"/>
      <c r="F54" s="7">
        <v>44981</v>
      </c>
      <c r="G54" s="9">
        <v>-64000</v>
      </c>
      <c r="H54" s="9">
        <v>-56637.17</v>
      </c>
      <c r="I54" s="9">
        <v>-7362.83</v>
      </c>
      <c r="J54" s="7">
        <v>45624</v>
      </c>
      <c r="K54" s="8" t="str">
        <f t="shared" si="1"/>
        <v/>
      </c>
      <c r="L54" s="8" t="str">
        <f t="shared" si="2"/>
        <v/>
      </c>
      <c r="M54" s="8">
        <f t="shared" si="0"/>
        <v>643</v>
      </c>
      <c r="N54" s="6" t="s">
        <v>26</v>
      </c>
    </row>
    <row r="55" spans="1:14" x14ac:dyDescent="0.2">
      <c r="A55" s="6" t="s">
        <v>83</v>
      </c>
      <c r="B55" s="6" t="s">
        <v>84</v>
      </c>
      <c r="C55" s="6" t="s">
        <v>20</v>
      </c>
      <c r="D55" s="7"/>
      <c r="E55" s="7"/>
      <c r="F55" s="7">
        <v>44985</v>
      </c>
      <c r="G55" s="9">
        <v>95000</v>
      </c>
      <c r="H55" s="9">
        <v>84070.8</v>
      </c>
      <c r="I55" s="9">
        <v>10929.2</v>
      </c>
      <c r="J55" s="7"/>
      <c r="K55" s="8" t="str">
        <f t="shared" si="1"/>
        <v/>
      </c>
      <c r="L55" s="8" t="str">
        <f t="shared" si="2"/>
        <v/>
      </c>
      <c r="M55" s="8" t="str">
        <f t="shared" si="0"/>
        <v/>
      </c>
      <c r="N55" s="6" t="s">
        <v>21</v>
      </c>
    </row>
    <row r="56" spans="1:14" x14ac:dyDescent="0.2">
      <c r="A56" s="6" t="s">
        <v>85</v>
      </c>
      <c r="B56" s="6" t="s">
        <v>86</v>
      </c>
      <c r="C56" s="6" t="s">
        <v>87</v>
      </c>
      <c r="D56" s="7"/>
      <c r="E56" s="7"/>
      <c r="F56" s="7">
        <v>44985</v>
      </c>
      <c r="G56" s="9">
        <v>73000</v>
      </c>
      <c r="H56" s="9">
        <v>64601.77</v>
      </c>
      <c r="I56" s="9">
        <v>8398.23</v>
      </c>
      <c r="J56" s="7">
        <v>45330</v>
      </c>
      <c r="K56" s="8" t="str">
        <f t="shared" si="1"/>
        <v/>
      </c>
      <c r="L56" s="8" t="str">
        <f t="shared" si="2"/>
        <v/>
      </c>
      <c r="M56" s="8">
        <f t="shared" si="0"/>
        <v>345</v>
      </c>
      <c r="N56" s="6" t="s">
        <v>26</v>
      </c>
    </row>
    <row r="57" spans="1:14" x14ac:dyDescent="0.2">
      <c r="A57" s="6" t="s">
        <v>88</v>
      </c>
      <c r="B57" s="6" t="s">
        <v>89</v>
      </c>
      <c r="C57" s="6" t="s">
        <v>87</v>
      </c>
      <c r="D57" s="7"/>
      <c r="E57" s="7"/>
      <c r="F57" s="7">
        <v>44985</v>
      </c>
      <c r="G57" s="9">
        <v>110000</v>
      </c>
      <c r="H57" s="9">
        <v>97345.13</v>
      </c>
      <c r="I57" s="9">
        <v>12654.87</v>
      </c>
      <c r="J57" s="7">
        <v>45477</v>
      </c>
      <c r="K57" s="8" t="str">
        <f t="shared" si="1"/>
        <v/>
      </c>
      <c r="L57" s="8" t="str">
        <f t="shared" si="2"/>
        <v/>
      </c>
      <c r="M57" s="8">
        <f t="shared" si="0"/>
        <v>492</v>
      </c>
      <c r="N57" s="6" t="s">
        <v>26</v>
      </c>
    </row>
    <row r="58" spans="1:14" x14ac:dyDescent="0.2">
      <c r="A58" s="6" t="s">
        <v>90</v>
      </c>
      <c r="B58" s="6" t="s">
        <v>91</v>
      </c>
      <c r="C58" s="6" t="s">
        <v>20</v>
      </c>
      <c r="D58" s="7"/>
      <c r="E58" s="7"/>
      <c r="F58" s="7">
        <v>44991</v>
      </c>
      <c r="G58" s="9">
        <v>31200</v>
      </c>
      <c r="H58" s="9">
        <v>27610.62</v>
      </c>
      <c r="I58" s="9">
        <v>3589.38</v>
      </c>
      <c r="J58" s="7">
        <v>45372</v>
      </c>
      <c r="K58" s="8" t="str">
        <f t="shared" si="1"/>
        <v/>
      </c>
      <c r="L58" s="8" t="str">
        <f t="shared" si="2"/>
        <v/>
      </c>
      <c r="M58" s="8">
        <f t="shared" si="0"/>
        <v>381</v>
      </c>
      <c r="N58" s="6" t="s">
        <v>26</v>
      </c>
    </row>
    <row r="59" spans="1:14" x14ac:dyDescent="0.2">
      <c r="A59" s="6" t="s">
        <v>92</v>
      </c>
      <c r="B59" s="6" t="s">
        <v>93</v>
      </c>
      <c r="C59" s="6" t="s">
        <v>33</v>
      </c>
      <c r="D59" s="7"/>
      <c r="E59" s="7"/>
      <c r="F59" s="7">
        <v>44991</v>
      </c>
      <c r="G59" s="9">
        <v>67600</v>
      </c>
      <c r="H59" s="9">
        <v>59823.01</v>
      </c>
      <c r="I59" s="9">
        <v>7776.99</v>
      </c>
      <c r="J59" s="7">
        <v>45909</v>
      </c>
      <c r="K59" s="8" t="str">
        <f t="shared" si="1"/>
        <v/>
      </c>
      <c r="L59" s="8" t="str">
        <f t="shared" si="2"/>
        <v/>
      </c>
      <c r="M59" s="8">
        <f t="shared" si="0"/>
        <v>918</v>
      </c>
      <c r="N59" s="6" t="s">
        <v>26</v>
      </c>
    </row>
    <row r="60" spans="1:14" x14ac:dyDescent="0.2">
      <c r="A60" s="6" t="s">
        <v>92</v>
      </c>
      <c r="B60" s="6" t="s">
        <v>93</v>
      </c>
      <c r="C60" s="6" t="s">
        <v>33</v>
      </c>
      <c r="D60" s="7"/>
      <c r="E60" s="7"/>
      <c r="F60" s="7">
        <v>44991</v>
      </c>
      <c r="G60" s="9">
        <v>95200</v>
      </c>
      <c r="H60" s="9">
        <v>84247.79</v>
      </c>
      <c r="I60" s="9">
        <v>10952.21</v>
      </c>
      <c r="J60" s="7">
        <v>45909</v>
      </c>
      <c r="K60" s="8" t="str">
        <f t="shared" si="1"/>
        <v/>
      </c>
      <c r="L60" s="8" t="str">
        <f t="shared" si="2"/>
        <v/>
      </c>
      <c r="M60" s="8">
        <f t="shared" si="0"/>
        <v>918</v>
      </c>
      <c r="N60" s="6" t="s">
        <v>26</v>
      </c>
    </row>
    <row r="61" spans="1:14" x14ac:dyDescent="0.2">
      <c r="A61" s="6" t="s">
        <v>92</v>
      </c>
      <c r="B61" s="6" t="s">
        <v>93</v>
      </c>
      <c r="C61" s="6" t="s">
        <v>33</v>
      </c>
      <c r="D61" s="7"/>
      <c r="E61" s="7"/>
      <c r="F61" s="7">
        <v>44991</v>
      </c>
      <c r="G61" s="9">
        <v>95200</v>
      </c>
      <c r="H61" s="9">
        <v>84247.79</v>
      </c>
      <c r="I61" s="9">
        <v>10952.21</v>
      </c>
      <c r="J61" s="7">
        <v>45909</v>
      </c>
      <c r="K61" s="8" t="str">
        <f t="shared" si="1"/>
        <v/>
      </c>
      <c r="L61" s="8" t="str">
        <f t="shared" si="2"/>
        <v/>
      </c>
      <c r="M61" s="8">
        <f t="shared" si="0"/>
        <v>918</v>
      </c>
      <c r="N61" s="6" t="s">
        <v>26</v>
      </c>
    </row>
    <row r="62" spans="1:14" x14ac:dyDescent="0.2">
      <c r="A62" s="6" t="s">
        <v>94</v>
      </c>
      <c r="B62" s="6" t="s">
        <v>95</v>
      </c>
      <c r="C62" s="6" t="s">
        <v>20</v>
      </c>
      <c r="D62" s="7">
        <v>44988</v>
      </c>
      <c r="E62" s="7">
        <v>44992</v>
      </c>
      <c r="F62" s="7">
        <v>44993</v>
      </c>
      <c r="G62" s="9">
        <v>29142</v>
      </c>
      <c r="H62" s="9">
        <v>25789.38</v>
      </c>
      <c r="I62" s="9">
        <v>3352.62</v>
      </c>
      <c r="J62" s="7">
        <v>45482</v>
      </c>
      <c r="K62" s="8">
        <f t="shared" si="1"/>
        <v>4</v>
      </c>
      <c r="L62" s="8">
        <f t="shared" si="2"/>
        <v>1</v>
      </c>
      <c r="M62" s="8">
        <f t="shared" si="0"/>
        <v>489</v>
      </c>
      <c r="N62" s="6" t="s">
        <v>26</v>
      </c>
    </row>
    <row r="63" spans="1:14" x14ac:dyDescent="0.2">
      <c r="A63" s="6" t="s">
        <v>96</v>
      </c>
      <c r="B63" s="6" t="s">
        <v>97</v>
      </c>
      <c r="C63" s="6" t="s">
        <v>20</v>
      </c>
      <c r="D63" s="7">
        <v>44861</v>
      </c>
      <c r="E63" s="7">
        <v>44868</v>
      </c>
      <c r="F63" s="7">
        <v>44993</v>
      </c>
      <c r="G63" s="9">
        <v>89000</v>
      </c>
      <c r="H63" s="9">
        <v>78761.070000000007</v>
      </c>
      <c r="I63" s="9">
        <v>10238.93</v>
      </c>
      <c r="J63" s="7">
        <v>45329</v>
      </c>
      <c r="K63" s="8">
        <f t="shared" si="1"/>
        <v>7</v>
      </c>
      <c r="L63" s="8">
        <f t="shared" si="2"/>
        <v>125</v>
      </c>
      <c r="M63" s="8">
        <f t="shared" si="0"/>
        <v>336</v>
      </c>
      <c r="N63" s="6" t="s">
        <v>26</v>
      </c>
    </row>
    <row r="64" spans="1:14" x14ac:dyDescent="0.2">
      <c r="A64" s="6" t="s">
        <v>98</v>
      </c>
      <c r="B64" s="6" t="s">
        <v>99</v>
      </c>
      <c r="C64" s="6" t="s">
        <v>20</v>
      </c>
      <c r="D64" s="7"/>
      <c r="E64" s="7"/>
      <c r="F64" s="7">
        <v>44994</v>
      </c>
      <c r="G64" s="9">
        <v>100940</v>
      </c>
      <c r="H64" s="9">
        <v>89327.43</v>
      </c>
      <c r="I64" s="9">
        <v>11612.57</v>
      </c>
      <c r="J64" s="7"/>
      <c r="K64" s="8" t="str">
        <f t="shared" si="1"/>
        <v/>
      </c>
      <c r="L64" s="8" t="str">
        <f t="shared" si="2"/>
        <v/>
      </c>
      <c r="M64" s="8" t="str">
        <f t="shared" si="0"/>
        <v/>
      </c>
      <c r="N64" s="6" t="s">
        <v>21</v>
      </c>
    </row>
    <row r="65" spans="1:14" x14ac:dyDescent="0.2">
      <c r="A65" s="6" t="s">
        <v>98</v>
      </c>
      <c r="B65" s="6" t="s">
        <v>99</v>
      </c>
      <c r="C65" s="6" t="s">
        <v>20</v>
      </c>
      <c r="D65" s="7"/>
      <c r="E65" s="7"/>
      <c r="F65" s="7">
        <v>44994</v>
      </c>
      <c r="G65" s="9">
        <v>100940</v>
      </c>
      <c r="H65" s="9">
        <v>89327.43</v>
      </c>
      <c r="I65" s="9">
        <v>11612.57</v>
      </c>
      <c r="J65" s="7"/>
      <c r="K65" s="8" t="str">
        <f t="shared" si="1"/>
        <v/>
      </c>
      <c r="L65" s="8" t="str">
        <f t="shared" si="2"/>
        <v/>
      </c>
      <c r="M65" s="8" t="str">
        <f t="shared" si="0"/>
        <v/>
      </c>
      <c r="N65" s="6" t="s">
        <v>21</v>
      </c>
    </row>
    <row r="66" spans="1:14" x14ac:dyDescent="0.2">
      <c r="A66" s="6" t="s">
        <v>98</v>
      </c>
      <c r="B66" s="6" t="s">
        <v>99</v>
      </c>
      <c r="C66" s="6" t="s">
        <v>20</v>
      </c>
      <c r="D66" s="7"/>
      <c r="E66" s="7"/>
      <c r="F66" s="7">
        <v>44994</v>
      </c>
      <c r="G66" s="9">
        <v>101920</v>
      </c>
      <c r="H66" s="9">
        <v>90194.69</v>
      </c>
      <c r="I66" s="9">
        <v>11725.31</v>
      </c>
      <c r="J66" s="7"/>
      <c r="K66" s="8" t="str">
        <f t="shared" si="1"/>
        <v/>
      </c>
      <c r="L66" s="8" t="str">
        <f t="shared" si="2"/>
        <v/>
      </c>
      <c r="M66" s="8" t="str">
        <f t="shared" ref="M66:M129" si="3">IF(OR($F66="", $J66=""),"", $J66-$F66)</f>
        <v/>
      </c>
      <c r="N66" s="6" t="s">
        <v>21</v>
      </c>
    </row>
    <row r="67" spans="1:14" x14ac:dyDescent="0.2">
      <c r="A67" s="6" t="s">
        <v>100</v>
      </c>
      <c r="B67" s="6" t="s">
        <v>101</v>
      </c>
      <c r="C67" s="6" t="s">
        <v>20</v>
      </c>
      <c r="D67" s="7"/>
      <c r="E67" s="7"/>
      <c r="F67" s="7">
        <v>44998</v>
      </c>
      <c r="G67" s="9">
        <v>247644</v>
      </c>
      <c r="H67" s="9">
        <v>227196.33</v>
      </c>
      <c r="I67" s="9">
        <v>20447.669999999998</v>
      </c>
      <c r="J67" s="7">
        <v>45715</v>
      </c>
      <c r="K67" s="8" t="str">
        <f t="shared" ref="K67:K130" si="4">IF(OR($D67="", $F67=""),"", $E67-$D67)</f>
        <v/>
      </c>
      <c r="L67" s="8" t="str">
        <f t="shared" ref="L67:L130" si="5">IF(OR($D67="", $F67=""),"", $F67-$E67)</f>
        <v/>
      </c>
      <c r="M67" s="8">
        <f t="shared" si="3"/>
        <v>717</v>
      </c>
      <c r="N67" s="6" t="s">
        <v>26</v>
      </c>
    </row>
    <row r="68" spans="1:14" x14ac:dyDescent="0.2">
      <c r="A68" s="6" t="s">
        <v>100</v>
      </c>
      <c r="B68" s="6" t="s">
        <v>101</v>
      </c>
      <c r="C68" s="6" t="s">
        <v>20</v>
      </c>
      <c r="D68" s="7"/>
      <c r="E68" s="7"/>
      <c r="F68" s="7">
        <v>44998</v>
      </c>
      <c r="G68" s="9">
        <v>247644</v>
      </c>
      <c r="H68" s="9">
        <v>227196.33</v>
      </c>
      <c r="I68" s="9">
        <v>20447.669999999998</v>
      </c>
      <c r="J68" s="7">
        <v>45715</v>
      </c>
      <c r="K68" s="8" t="str">
        <f t="shared" si="4"/>
        <v/>
      </c>
      <c r="L68" s="8" t="str">
        <f t="shared" si="5"/>
        <v/>
      </c>
      <c r="M68" s="8">
        <f t="shared" si="3"/>
        <v>717</v>
      </c>
      <c r="N68" s="6" t="s">
        <v>26</v>
      </c>
    </row>
    <row r="69" spans="1:14" x14ac:dyDescent="0.2">
      <c r="A69" s="6" t="s">
        <v>100</v>
      </c>
      <c r="B69" s="6" t="s">
        <v>101</v>
      </c>
      <c r="C69" s="6" t="s">
        <v>20</v>
      </c>
      <c r="D69" s="7"/>
      <c r="E69" s="7"/>
      <c r="F69" s="7">
        <v>44998</v>
      </c>
      <c r="G69" s="9">
        <v>247644</v>
      </c>
      <c r="H69" s="9">
        <v>227196.33</v>
      </c>
      <c r="I69" s="9">
        <v>20447.669999999998</v>
      </c>
      <c r="J69" s="7">
        <v>45715</v>
      </c>
      <c r="K69" s="8" t="str">
        <f t="shared" si="4"/>
        <v/>
      </c>
      <c r="L69" s="8" t="str">
        <f t="shared" si="5"/>
        <v/>
      </c>
      <c r="M69" s="8">
        <f t="shared" si="3"/>
        <v>717</v>
      </c>
      <c r="N69" s="6" t="s">
        <v>26</v>
      </c>
    </row>
    <row r="70" spans="1:14" x14ac:dyDescent="0.2">
      <c r="A70" s="6" t="s">
        <v>47</v>
      </c>
      <c r="B70" s="6" t="s">
        <v>102</v>
      </c>
      <c r="C70" s="6" t="s">
        <v>20</v>
      </c>
      <c r="D70" s="7">
        <v>44911</v>
      </c>
      <c r="E70" s="7">
        <v>44964</v>
      </c>
      <c r="F70" s="7">
        <v>44999</v>
      </c>
      <c r="G70" s="9">
        <v>570000</v>
      </c>
      <c r="H70" s="9">
        <v>522935.78</v>
      </c>
      <c r="I70" s="9">
        <v>47064.22</v>
      </c>
      <c r="J70" s="7">
        <v>45314</v>
      </c>
      <c r="K70" s="8">
        <f t="shared" si="4"/>
        <v>53</v>
      </c>
      <c r="L70" s="8">
        <f t="shared" si="5"/>
        <v>35</v>
      </c>
      <c r="M70" s="8">
        <f t="shared" si="3"/>
        <v>315</v>
      </c>
      <c r="N70" s="6" t="s">
        <v>26</v>
      </c>
    </row>
    <row r="71" spans="1:14" x14ac:dyDescent="0.2">
      <c r="A71" s="6" t="s">
        <v>47</v>
      </c>
      <c r="B71" s="6" t="s">
        <v>102</v>
      </c>
      <c r="C71" s="6" t="s">
        <v>20</v>
      </c>
      <c r="D71" s="7"/>
      <c r="E71" s="7"/>
      <c r="F71" s="7">
        <v>44999</v>
      </c>
      <c r="G71" s="9">
        <v>570000</v>
      </c>
      <c r="H71" s="9">
        <v>522935.78</v>
      </c>
      <c r="I71" s="9">
        <v>47064.22</v>
      </c>
      <c r="J71" s="7">
        <v>45314</v>
      </c>
      <c r="K71" s="8" t="str">
        <f t="shared" si="4"/>
        <v/>
      </c>
      <c r="L71" s="8" t="str">
        <f t="shared" si="5"/>
        <v/>
      </c>
      <c r="M71" s="8">
        <f t="shared" si="3"/>
        <v>315</v>
      </c>
      <c r="N71" s="6" t="s">
        <v>26</v>
      </c>
    </row>
    <row r="72" spans="1:14" x14ac:dyDescent="0.2">
      <c r="A72" s="6" t="s">
        <v>47</v>
      </c>
      <c r="B72" s="6" t="s">
        <v>102</v>
      </c>
      <c r="C72" s="6" t="s">
        <v>20</v>
      </c>
      <c r="D72" s="7"/>
      <c r="E72" s="7"/>
      <c r="F72" s="7">
        <v>44999</v>
      </c>
      <c r="G72" s="9">
        <v>570000</v>
      </c>
      <c r="H72" s="9">
        <v>522935.78</v>
      </c>
      <c r="I72" s="9">
        <v>47064.22</v>
      </c>
      <c r="J72" s="7">
        <v>45314</v>
      </c>
      <c r="K72" s="8" t="str">
        <f t="shared" si="4"/>
        <v/>
      </c>
      <c r="L72" s="8" t="str">
        <f t="shared" si="5"/>
        <v/>
      </c>
      <c r="M72" s="8">
        <f t="shared" si="3"/>
        <v>315</v>
      </c>
      <c r="N72" s="6" t="s">
        <v>26</v>
      </c>
    </row>
    <row r="73" spans="1:14" x14ac:dyDescent="0.2">
      <c r="A73" s="6" t="s">
        <v>47</v>
      </c>
      <c r="B73" s="6" t="s">
        <v>102</v>
      </c>
      <c r="C73" s="6" t="s">
        <v>20</v>
      </c>
      <c r="D73" s="7"/>
      <c r="E73" s="7"/>
      <c r="F73" s="7">
        <v>44999</v>
      </c>
      <c r="G73" s="9">
        <v>570000</v>
      </c>
      <c r="H73" s="9">
        <v>522935.78</v>
      </c>
      <c r="I73" s="9">
        <v>47064.22</v>
      </c>
      <c r="J73" s="7">
        <v>45314</v>
      </c>
      <c r="K73" s="8" t="str">
        <f t="shared" si="4"/>
        <v/>
      </c>
      <c r="L73" s="8" t="str">
        <f t="shared" si="5"/>
        <v/>
      </c>
      <c r="M73" s="8">
        <f t="shared" si="3"/>
        <v>315</v>
      </c>
      <c r="N73" s="6" t="s">
        <v>26</v>
      </c>
    </row>
    <row r="74" spans="1:14" x14ac:dyDescent="0.2">
      <c r="A74" s="6" t="s">
        <v>47</v>
      </c>
      <c r="B74" s="6" t="s">
        <v>102</v>
      </c>
      <c r="C74" s="6" t="s">
        <v>20</v>
      </c>
      <c r="D74" s="7"/>
      <c r="E74" s="7"/>
      <c r="F74" s="7">
        <v>44999</v>
      </c>
      <c r="G74" s="9">
        <v>570000</v>
      </c>
      <c r="H74" s="9">
        <v>522935.78</v>
      </c>
      <c r="I74" s="9">
        <v>47064.22</v>
      </c>
      <c r="J74" s="7">
        <v>45314</v>
      </c>
      <c r="K74" s="8" t="str">
        <f t="shared" si="4"/>
        <v/>
      </c>
      <c r="L74" s="8" t="str">
        <f t="shared" si="5"/>
        <v/>
      </c>
      <c r="M74" s="8">
        <f t="shared" si="3"/>
        <v>315</v>
      </c>
      <c r="N74" s="6" t="s">
        <v>26</v>
      </c>
    </row>
    <row r="75" spans="1:14" x14ac:dyDescent="0.2">
      <c r="A75" s="6" t="s">
        <v>47</v>
      </c>
      <c r="B75" s="6" t="s">
        <v>102</v>
      </c>
      <c r="C75" s="6" t="s">
        <v>20</v>
      </c>
      <c r="D75" s="7"/>
      <c r="E75" s="7"/>
      <c r="F75" s="7">
        <v>44999</v>
      </c>
      <c r="G75" s="9">
        <v>570000</v>
      </c>
      <c r="H75" s="9">
        <v>522935.78</v>
      </c>
      <c r="I75" s="9">
        <v>47064.22</v>
      </c>
      <c r="J75" s="7">
        <v>45314</v>
      </c>
      <c r="K75" s="8" t="str">
        <f t="shared" si="4"/>
        <v/>
      </c>
      <c r="L75" s="8" t="str">
        <f t="shared" si="5"/>
        <v/>
      </c>
      <c r="M75" s="8">
        <f t="shared" si="3"/>
        <v>315</v>
      </c>
      <c r="N75" s="6" t="s">
        <v>26</v>
      </c>
    </row>
    <row r="76" spans="1:14" x14ac:dyDescent="0.2">
      <c r="A76" s="6" t="s">
        <v>103</v>
      </c>
      <c r="B76" s="6" t="s">
        <v>104</v>
      </c>
      <c r="C76" s="6" t="s">
        <v>20</v>
      </c>
      <c r="D76" s="7"/>
      <c r="E76" s="7"/>
      <c r="F76" s="7">
        <v>45000</v>
      </c>
      <c r="G76" s="9">
        <v>99000</v>
      </c>
      <c r="H76" s="9">
        <v>87610.62</v>
      </c>
      <c r="I76" s="9">
        <v>11389.38</v>
      </c>
      <c r="J76" s="7">
        <v>45657</v>
      </c>
      <c r="K76" s="8" t="str">
        <f t="shared" si="4"/>
        <v/>
      </c>
      <c r="L76" s="8" t="str">
        <f t="shared" si="5"/>
        <v/>
      </c>
      <c r="M76" s="8">
        <f t="shared" si="3"/>
        <v>657</v>
      </c>
      <c r="N76" s="6" t="s">
        <v>26</v>
      </c>
    </row>
    <row r="77" spans="1:14" x14ac:dyDescent="0.2">
      <c r="A77" s="6" t="s">
        <v>105</v>
      </c>
      <c r="B77" s="6" t="s">
        <v>106</v>
      </c>
      <c r="C77" s="6" t="s">
        <v>20</v>
      </c>
      <c r="D77" s="7">
        <v>44990</v>
      </c>
      <c r="E77" s="7">
        <v>44995</v>
      </c>
      <c r="F77" s="7">
        <v>45000</v>
      </c>
      <c r="G77" s="9">
        <v>33000</v>
      </c>
      <c r="H77" s="9">
        <v>30275.23</v>
      </c>
      <c r="I77" s="9">
        <v>2724.77</v>
      </c>
      <c r="J77" s="7"/>
      <c r="K77" s="8">
        <f t="shared" si="4"/>
        <v>5</v>
      </c>
      <c r="L77" s="8">
        <f t="shared" si="5"/>
        <v>5</v>
      </c>
      <c r="M77" s="8" t="str">
        <f t="shared" si="3"/>
        <v/>
      </c>
      <c r="N77" s="6" t="s">
        <v>21</v>
      </c>
    </row>
    <row r="78" spans="1:14" x14ac:dyDescent="0.2">
      <c r="A78" s="6" t="s">
        <v>107</v>
      </c>
      <c r="B78" s="6" t="s">
        <v>108</v>
      </c>
      <c r="C78" s="6" t="s">
        <v>20</v>
      </c>
      <c r="D78" s="7">
        <v>44714</v>
      </c>
      <c r="E78" s="7">
        <v>44715</v>
      </c>
      <c r="F78" s="7">
        <v>45000</v>
      </c>
      <c r="G78" s="9">
        <v>49000</v>
      </c>
      <c r="H78" s="9">
        <v>43362.83</v>
      </c>
      <c r="I78" s="9">
        <v>5637.17</v>
      </c>
      <c r="J78" s="7">
        <v>45306</v>
      </c>
      <c r="K78" s="8">
        <f t="shared" si="4"/>
        <v>1</v>
      </c>
      <c r="L78" s="8">
        <f t="shared" si="5"/>
        <v>285</v>
      </c>
      <c r="M78" s="8">
        <f t="shared" si="3"/>
        <v>306</v>
      </c>
      <c r="N78" s="6" t="s">
        <v>26</v>
      </c>
    </row>
    <row r="79" spans="1:14" x14ac:dyDescent="0.2">
      <c r="A79" s="6" t="s">
        <v>107</v>
      </c>
      <c r="B79" s="6" t="s">
        <v>108</v>
      </c>
      <c r="C79" s="6" t="s">
        <v>20</v>
      </c>
      <c r="D79" s="7"/>
      <c r="E79" s="7"/>
      <c r="F79" s="7">
        <v>45001</v>
      </c>
      <c r="G79" s="9">
        <v>49000</v>
      </c>
      <c r="H79" s="9">
        <v>43362.83</v>
      </c>
      <c r="I79" s="9">
        <v>5637.17</v>
      </c>
      <c r="J79" s="7">
        <v>45306</v>
      </c>
      <c r="K79" s="8" t="str">
        <f t="shared" si="4"/>
        <v/>
      </c>
      <c r="L79" s="8" t="str">
        <f t="shared" si="5"/>
        <v/>
      </c>
      <c r="M79" s="8">
        <f t="shared" si="3"/>
        <v>305</v>
      </c>
      <c r="N79" s="6" t="s">
        <v>26</v>
      </c>
    </row>
    <row r="80" spans="1:14" x14ac:dyDescent="0.2">
      <c r="A80" s="6" t="s">
        <v>109</v>
      </c>
      <c r="B80" s="6" t="s">
        <v>110</v>
      </c>
      <c r="C80" s="6" t="s">
        <v>20</v>
      </c>
      <c r="D80" s="7"/>
      <c r="E80" s="7"/>
      <c r="F80" s="7">
        <v>45001</v>
      </c>
      <c r="G80" s="9">
        <v>146900</v>
      </c>
      <c r="H80" s="9">
        <v>130000</v>
      </c>
      <c r="I80" s="9">
        <v>16900</v>
      </c>
      <c r="J80" s="7">
        <v>45294</v>
      </c>
      <c r="K80" s="8" t="str">
        <f t="shared" si="4"/>
        <v/>
      </c>
      <c r="L80" s="8" t="str">
        <f t="shared" si="5"/>
        <v/>
      </c>
      <c r="M80" s="8">
        <f t="shared" si="3"/>
        <v>293</v>
      </c>
      <c r="N80" s="6" t="s">
        <v>26</v>
      </c>
    </row>
    <row r="81" spans="1:14" x14ac:dyDescent="0.2">
      <c r="A81" s="6" t="s">
        <v>109</v>
      </c>
      <c r="B81" s="6" t="s">
        <v>110</v>
      </c>
      <c r="C81" s="6" t="s">
        <v>20</v>
      </c>
      <c r="D81" s="7"/>
      <c r="E81" s="7"/>
      <c r="F81" s="7">
        <v>45001</v>
      </c>
      <c r="G81" s="9">
        <v>146900</v>
      </c>
      <c r="H81" s="9">
        <v>130000</v>
      </c>
      <c r="I81" s="9">
        <v>16900</v>
      </c>
      <c r="J81" s="7">
        <v>45294</v>
      </c>
      <c r="K81" s="8" t="str">
        <f t="shared" si="4"/>
        <v/>
      </c>
      <c r="L81" s="8" t="str">
        <f t="shared" si="5"/>
        <v/>
      </c>
      <c r="M81" s="8">
        <f t="shared" si="3"/>
        <v>293</v>
      </c>
      <c r="N81" s="6" t="s">
        <v>26</v>
      </c>
    </row>
    <row r="82" spans="1:14" x14ac:dyDescent="0.2">
      <c r="A82" s="6" t="s">
        <v>111</v>
      </c>
      <c r="B82" s="6" t="s">
        <v>112</v>
      </c>
      <c r="C82" s="6" t="s">
        <v>87</v>
      </c>
      <c r="D82" s="7"/>
      <c r="E82" s="7"/>
      <c r="F82" s="7">
        <v>45001</v>
      </c>
      <c r="G82" s="9">
        <v>11452.76</v>
      </c>
      <c r="H82" s="9">
        <v>1.26</v>
      </c>
      <c r="I82" s="9">
        <v>11451.5</v>
      </c>
      <c r="J82" s="7">
        <v>45471</v>
      </c>
      <c r="K82" s="8" t="str">
        <f t="shared" si="4"/>
        <v/>
      </c>
      <c r="L82" s="8" t="str">
        <f t="shared" si="5"/>
        <v/>
      </c>
      <c r="M82" s="8">
        <f t="shared" si="3"/>
        <v>470</v>
      </c>
      <c r="N82" s="6" t="s">
        <v>26</v>
      </c>
    </row>
    <row r="83" spans="1:14" x14ac:dyDescent="0.2">
      <c r="A83" s="6" t="s">
        <v>111</v>
      </c>
      <c r="B83" s="6" t="s">
        <v>112</v>
      </c>
      <c r="C83" s="6" t="s">
        <v>87</v>
      </c>
      <c r="D83" s="7"/>
      <c r="E83" s="7"/>
      <c r="F83" s="7">
        <v>45001</v>
      </c>
      <c r="G83" s="9">
        <v>1.42</v>
      </c>
      <c r="H83" s="9">
        <v>1.26</v>
      </c>
      <c r="I83" s="9">
        <v>0.16</v>
      </c>
      <c r="J83" s="7">
        <v>45471</v>
      </c>
      <c r="K83" s="8" t="str">
        <f t="shared" si="4"/>
        <v/>
      </c>
      <c r="L83" s="8" t="str">
        <f t="shared" si="5"/>
        <v/>
      </c>
      <c r="M83" s="8">
        <f t="shared" si="3"/>
        <v>470</v>
      </c>
      <c r="N83" s="6" t="s">
        <v>26</v>
      </c>
    </row>
    <row r="84" spans="1:14" x14ac:dyDescent="0.2">
      <c r="A84" s="6" t="s">
        <v>83</v>
      </c>
      <c r="B84" s="6" t="s">
        <v>84</v>
      </c>
      <c r="C84" s="6" t="s">
        <v>20</v>
      </c>
      <c r="D84" s="7"/>
      <c r="E84" s="7"/>
      <c r="F84" s="7">
        <v>45003</v>
      </c>
      <c r="G84" s="9">
        <v>89115.04</v>
      </c>
      <c r="H84" s="9">
        <v>84070.79</v>
      </c>
      <c r="I84" s="9">
        <v>5044.25</v>
      </c>
      <c r="J84" s="7"/>
      <c r="K84" s="8" t="str">
        <f t="shared" si="4"/>
        <v/>
      </c>
      <c r="L84" s="8" t="str">
        <f t="shared" si="5"/>
        <v/>
      </c>
      <c r="M84" s="8" t="str">
        <f t="shared" si="3"/>
        <v/>
      </c>
      <c r="N84" s="6" t="s">
        <v>21</v>
      </c>
    </row>
    <row r="85" spans="1:14" x14ac:dyDescent="0.2">
      <c r="A85" s="6" t="s">
        <v>83</v>
      </c>
      <c r="B85" s="6" t="s">
        <v>84</v>
      </c>
      <c r="C85" s="6" t="s">
        <v>20</v>
      </c>
      <c r="D85" s="7"/>
      <c r="E85" s="7"/>
      <c r="F85" s="7">
        <v>45003</v>
      </c>
      <c r="G85" s="9">
        <v>-95000</v>
      </c>
      <c r="H85" s="9">
        <v>-84070.8</v>
      </c>
      <c r="I85" s="9">
        <v>-10929.2</v>
      </c>
      <c r="J85" s="7"/>
      <c r="K85" s="8" t="str">
        <f t="shared" si="4"/>
        <v/>
      </c>
      <c r="L85" s="8" t="str">
        <f t="shared" si="5"/>
        <v/>
      </c>
      <c r="M85" s="8" t="str">
        <f t="shared" si="3"/>
        <v/>
      </c>
      <c r="N85" s="6" t="s">
        <v>21</v>
      </c>
    </row>
    <row r="86" spans="1:14" x14ac:dyDescent="0.2">
      <c r="A86" s="6" t="s">
        <v>113</v>
      </c>
      <c r="B86" s="6" t="s">
        <v>114</v>
      </c>
      <c r="C86" s="6" t="s">
        <v>20</v>
      </c>
      <c r="D86" s="7">
        <v>44997</v>
      </c>
      <c r="E86" s="7">
        <v>45002</v>
      </c>
      <c r="F86" s="7">
        <v>45007</v>
      </c>
      <c r="G86" s="9">
        <v>30000</v>
      </c>
      <c r="H86" s="9">
        <v>28301.89</v>
      </c>
      <c r="I86" s="9">
        <v>1698.11</v>
      </c>
      <c r="J86" s="7">
        <v>45919</v>
      </c>
      <c r="K86" s="8">
        <f t="shared" si="4"/>
        <v>5</v>
      </c>
      <c r="L86" s="8">
        <f t="shared" si="5"/>
        <v>5</v>
      </c>
      <c r="M86" s="8">
        <f t="shared" si="3"/>
        <v>912</v>
      </c>
      <c r="N86" s="6" t="s">
        <v>26</v>
      </c>
    </row>
    <row r="87" spans="1:14" x14ac:dyDescent="0.2">
      <c r="A87" s="6" t="s">
        <v>115</v>
      </c>
      <c r="B87" s="6" t="s">
        <v>116</v>
      </c>
      <c r="C87" s="6" t="s">
        <v>20</v>
      </c>
      <c r="D87" s="7">
        <v>44955</v>
      </c>
      <c r="E87" s="7">
        <v>44977</v>
      </c>
      <c r="F87" s="7">
        <v>45007</v>
      </c>
      <c r="G87" s="9">
        <v>27000.01</v>
      </c>
      <c r="H87" s="9">
        <v>23893.81</v>
      </c>
      <c r="I87" s="9">
        <v>3106.2</v>
      </c>
      <c r="J87" s="7">
        <v>45436</v>
      </c>
      <c r="K87" s="8">
        <f t="shared" si="4"/>
        <v>22</v>
      </c>
      <c r="L87" s="8">
        <f t="shared" si="5"/>
        <v>30</v>
      </c>
      <c r="M87" s="8">
        <f t="shared" si="3"/>
        <v>429</v>
      </c>
      <c r="N87" s="6" t="s">
        <v>26</v>
      </c>
    </row>
    <row r="88" spans="1:14" x14ac:dyDescent="0.2">
      <c r="A88" s="6" t="s">
        <v>115</v>
      </c>
      <c r="B88" s="6" t="s">
        <v>116</v>
      </c>
      <c r="C88" s="6" t="s">
        <v>20</v>
      </c>
      <c r="D88" s="7"/>
      <c r="E88" s="7"/>
      <c r="F88" s="7">
        <v>45007</v>
      </c>
      <c r="G88" s="9">
        <v>27000.01</v>
      </c>
      <c r="H88" s="9">
        <v>23893.81</v>
      </c>
      <c r="I88" s="9">
        <v>3106.2</v>
      </c>
      <c r="J88" s="7">
        <v>45436</v>
      </c>
      <c r="K88" s="8" t="str">
        <f t="shared" si="4"/>
        <v/>
      </c>
      <c r="L88" s="8" t="str">
        <f t="shared" si="5"/>
        <v/>
      </c>
      <c r="M88" s="8">
        <f t="shared" si="3"/>
        <v>429</v>
      </c>
      <c r="N88" s="6" t="s">
        <v>26</v>
      </c>
    </row>
    <row r="89" spans="1:14" x14ac:dyDescent="0.2">
      <c r="A89" s="6" t="s">
        <v>115</v>
      </c>
      <c r="B89" s="6" t="s">
        <v>116</v>
      </c>
      <c r="C89" s="6" t="s">
        <v>20</v>
      </c>
      <c r="D89" s="7"/>
      <c r="E89" s="7"/>
      <c r="F89" s="7">
        <v>45007</v>
      </c>
      <c r="G89" s="9">
        <v>102000</v>
      </c>
      <c r="H89" s="9">
        <v>90265.48</v>
      </c>
      <c r="I89" s="9">
        <v>11734.52</v>
      </c>
      <c r="J89" s="7">
        <v>45436</v>
      </c>
      <c r="K89" s="8" t="str">
        <f t="shared" si="4"/>
        <v/>
      </c>
      <c r="L89" s="8" t="str">
        <f t="shared" si="5"/>
        <v/>
      </c>
      <c r="M89" s="8">
        <f t="shared" si="3"/>
        <v>429</v>
      </c>
      <c r="N89" s="6" t="s">
        <v>26</v>
      </c>
    </row>
    <row r="90" spans="1:14" x14ac:dyDescent="0.2">
      <c r="A90" s="6" t="s">
        <v>115</v>
      </c>
      <c r="B90" s="6" t="s">
        <v>116</v>
      </c>
      <c r="C90" s="6" t="s">
        <v>20</v>
      </c>
      <c r="D90" s="7"/>
      <c r="E90" s="7"/>
      <c r="F90" s="7">
        <v>45007</v>
      </c>
      <c r="G90" s="9">
        <v>23800</v>
      </c>
      <c r="H90" s="9">
        <v>21061.95</v>
      </c>
      <c r="I90" s="9">
        <v>2738.05</v>
      </c>
      <c r="J90" s="7">
        <v>45436</v>
      </c>
      <c r="K90" s="8" t="str">
        <f t="shared" si="4"/>
        <v/>
      </c>
      <c r="L90" s="8" t="str">
        <f t="shared" si="5"/>
        <v/>
      </c>
      <c r="M90" s="8">
        <f t="shared" si="3"/>
        <v>429</v>
      </c>
      <c r="N90" s="6" t="s">
        <v>26</v>
      </c>
    </row>
    <row r="91" spans="1:14" x14ac:dyDescent="0.2">
      <c r="A91" s="6" t="s">
        <v>115</v>
      </c>
      <c r="B91" s="6" t="s">
        <v>116</v>
      </c>
      <c r="C91" s="6" t="s">
        <v>20</v>
      </c>
      <c r="D91" s="7"/>
      <c r="E91" s="7"/>
      <c r="F91" s="7">
        <v>45007</v>
      </c>
      <c r="G91" s="9">
        <v>23800</v>
      </c>
      <c r="H91" s="9">
        <v>21061.95</v>
      </c>
      <c r="I91" s="9">
        <v>2738.05</v>
      </c>
      <c r="J91" s="7">
        <v>45436</v>
      </c>
      <c r="K91" s="8" t="str">
        <f t="shared" si="4"/>
        <v/>
      </c>
      <c r="L91" s="8" t="str">
        <f t="shared" si="5"/>
        <v/>
      </c>
      <c r="M91" s="8">
        <f t="shared" si="3"/>
        <v>429</v>
      </c>
      <c r="N91" s="6" t="s">
        <v>26</v>
      </c>
    </row>
    <row r="92" spans="1:14" x14ac:dyDescent="0.2">
      <c r="A92" s="6" t="s">
        <v>115</v>
      </c>
      <c r="B92" s="6" t="s">
        <v>117</v>
      </c>
      <c r="C92" s="6" t="s">
        <v>20</v>
      </c>
      <c r="D92" s="7"/>
      <c r="E92" s="7"/>
      <c r="F92" s="7">
        <v>45007</v>
      </c>
      <c r="G92" s="9">
        <v>23800</v>
      </c>
      <c r="H92" s="9">
        <v>21061.95</v>
      </c>
      <c r="I92" s="9">
        <v>2738.05</v>
      </c>
      <c r="J92" s="7">
        <v>45436</v>
      </c>
      <c r="K92" s="8" t="str">
        <f t="shared" si="4"/>
        <v/>
      </c>
      <c r="L92" s="8" t="str">
        <f t="shared" si="5"/>
        <v/>
      </c>
      <c r="M92" s="8">
        <f t="shared" si="3"/>
        <v>429</v>
      </c>
      <c r="N92" s="6" t="s">
        <v>26</v>
      </c>
    </row>
    <row r="93" spans="1:14" x14ac:dyDescent="0.2">
      <c r="A93" s="6" t="s">
        <v>118</v>
      </c>
      <c r="B93" s="6" t="s">
        <v>119</v>
      </c>
      <c r="C93" s="6" t="s">
        <v>20</v>
      </c>
      <c r="D93" s="7">
        <v>44813</v>
      </c>
      <c r="E93" s="7"/>
      <c r="F93" s="7">
        <v>45007</v>
      </c>
      <c r="G93" s="9">
        <v>33800</v>
      </c>
      <c r="H93" s="9">
        <v>31886.799999999999</v>
      </c>
      <c r="I93" s="9">
        <v>1913.2</v>
      </c>
      <c r="J93" s="7"/>
      <c r="K93" s="8">
        <f t="shared" si="4"/>
        <v>-44813</v>
      </c>
      <c r="L93" s="8">
        <f t="shared" si="5"/>
        <v>45007</v>
      </c>
      <c r="M93" s="8" t="str">
        <f t="shared" si="3"/>
        <v/>
      </c>
      <c r="N93" s="6" t="s">
        <v>21</v>
      </c>
    </row>
    <row r="94" spans="1:14" x14ac:dyDescent="0.2">
      <c r="A94" s="6" t="s">
        <v>120</v>
      </c>
      <c r="B94" s="6" t="s">
        <v>121</v>
      </c>
      <c r="C94" s="6" t="s">
        <v>20</v>
      </c>
      <c r="D94" s="7">
        <v>44982</v>
      </c>
      <c r="E94" s="7"/>
      <c r="F94" s="7">
        <v>45007</v>
      </c>
      <c r="G94" s="9">
        <v>2.09</v>
      </c>
      <c r="H94" s="9">
        <v>1.85</v>
      </c>
      <c r="I94" s="9">
        <v>0.24</v>
      </c>
      <c r="J94" s="7">
        <v>45866</v>
      </c>
      <c r="K94" s="8">
        <f t="shared" si="4"/>
        <v>-44982</v>
      </c>
      <c r="L94" s="8">
        <f t="shared" si="5"/>
        <v>45007</v>
      </c>
      <c r="M94" s="8">
        <f t="shared" si="3"/>
        <v>859</v>
      </c>
      <c r="N94" s="6" t="s">
        <v>26</v>
      </c>
    </row>
    <row r="95" spans="1:14" x14ac:dyDescent="0.2">
      <c r="A95" s="6" t="s">
        <v>122</v>
      </c>
      <c r="B95" s="6" t="s">
        <v>123</v>
      </c>
      <c r="C95" s="6" t="s">
        <v>20</v>
      </c>
      <c r="D95" s="7">
        <v>44964</v>
      </c>
      <c r="E95" s="7"/>
      <c r="F95" s="7">
        <v>45007</v>
      </c>
      <c r="G95" s="9">
        <v>70500</v>
      </c>
      <c r="H95" s="9">
        <v>62389.38</v>
      </c>
      <c r="I95" s="9">
        <v>8110.62</v>
      </c>
      <c r="J95" s="7">
        <v>45315</v>
      </c>
      <c r="K95" s="8">
        <f t="shared" si="4"/>
        <v>-44964</v>
      </c>
      <c r="L95" s="8">
        <f t="shared" si="5"/>
        <v>45007</v>
      </c>
      <c r="M95" s="8">
        <f t="shared" si="3"/>
        <v>308</v>
      </c>
      <c r="N95" s="6" t="s">
        <v>26</v>
      </c>
    </row>
    <row r="96" spans="1:14" x14ac:dyDescent="0.2">
      <c r="A96" s="6" t="s">
        <v>122</v>
      </c>
      <c r="B96" s="6" t="s">
        <v>124</v>
      </c>
      <c r="C96" s="6" t="s">
        <v>20</v>
      </c>
      <c r="D96" s="7">
        <v>44974</v>
      </c>
      <c r="E96" s="7"/>
      <c r="F96" s="7">
        <v>45007</v>
      </c>
      <c r="G96" s="9">
        <v>100000</v>
      </c>
      <c r="H96" s="9">
        <v>91743.12</v>
      </c>
      <c r="I96" s="9">
        <v>8256.8799999999992</v>
      </c>
      <c r="J96" s="7">
        <v>45315</v>
      </c>
      <c r="K96" s="8">
        <f t="shared" si="4"/>
        <v>-44974</v>
      </c>
      <c r="L96" s="8">
        <f t="shared" si="5"/>
        <v>45007</v>
      </c>
      <c r="M96" s="8">
        <f t="shared" si="3"/>
        <v>308</v>
      </c>
      <c r="N96" s="6" t="s">
        <v>26</v>
      </c>
    </row>
    <row r="97" spans="1:14" x14ac:dyDescent="0.2">
      <c r="A97" s="6" t="s">
        <v>125</v>
      </c>
      <c r="B97" s="6" t="s">
        <v>126</v>
      </c>
      <c r="C97" s="6" t="s">
        <v>20</v>
      </c>
      <c r="D97" s="7"/>
      <c r="E97" s="7"/>
      <c r="F97" s="7">
        <v>45008</v>
      </c>
      <c r="G97" s="9">
        <v>17680</v>
      </c>
      <c r="H97" s="9">
        <v>15646.017699115</v>
      </c>
      <c r="I97" s="9">
        <v>2033.9823008849501</v>
      </c>
      <c r="J97" s="7">
        <v>45330</v>
      </c>
      <c r="K97" s="8" t="str">
        <f t="shared" si="4"/>
        <v/>
      </c>
      <c r="L97" s="8" t="str">
        <f t="shared" si="5"/>
        <v/>
      </c>
      <c r="M97" s="8">
        <f t="shared" si="3"/>
        <v>322</v>
      </c>
      <c r="N97" s="6" t="s">
        <v>26</v>
      </c>
    </row>
    <row r="98" spans="1:14" x14ac:dyDescent="0.2">
      <c r="A98" s="6" t="s">
        <v>125</v>
      </c>
      <c r="B98" s="6" t="s">
        <v>127</v>
      </c>
      <c r="C98" s="6" t="s">
        <v>20</v>
      </c>
      <c r="D98" s="7"/>
      <c r="E98" s="7"/>
      <c r="F98" s="7">
        <v>45008</v>
      </c>
      <c r="G98" s="9">
        <v>80320</v>
      </c>
      <c r="H98" s="9">
        <v>71079.646017699095</v>
      </c>
      <c r="I98" s="9">
        <v>9240.3539823008796</v>
      </c>
      <c r="J98" s="7">
        <v>45330</v>
      </c>
      <c r="K98" s="8" t="str">
        <f t="shared" si="4"/>
        <v/>
      </c>
      <c r="L98" s="8" t="str">
        <f t="shared" si="5"/>
        <v/>
      </c>
      <c r="M98" s="8">
        <f t="shared" si="3"/>
        <v>322</v>
      </c>
      <c r="N98" s="6" t="s">
        <v>26</v>
      </c>
    </row>
    <row r="99" spans="1:14" x14ac:dyDescent="0.2">
      <c r="A99" s="6" t="s">
        <v>125</v>
      </c>
      <c r="B99" s="6" t="s">
        <v>128</v>
      </c>
      <c r="C99" s="6" t="s">
        <v>20</v>
      </c>
      <c r="D99" s="7"/>
      <c r="E99" s="7"/>
      <c r="F99" s="7">
        <v>45008</v>
      </c>
      <c r="G99" s="9">
        <v>76320</v>
      </c>
      <c r="H99" s="9">
        <v>67539.820000000007</v>
      </c>
      <c r="I99" s="9">
        <v>8780.18</v>
      </c>
      <c r="J99" s="7">
        <v>45330</v>
      </c>
      <c r="K99" s="8" t="str">
        <f t="shared" si="4"/>
        <v/>
      </c>
      <c r="L99" s="8" t="str">
        <f t="shared" si="5"/>
        <v/>
      </c>
      <c r="M99" s="8">
        <f t="shared" si="3"/>
        <v>322</v>
      </c>
      <c r="N99" s="6" t="s">
        <v>26</v>
      </c>
    </row>
    <row r="100" spans="1:14" x14ac:dyDescent="0.2">
      <c r="A100" s="6" t="s">
        <v>129</v>
      </c>
      <c r="B100" s="6" t="s">
        <v>130</v>
      </c>
      <c r="C100" s="6" t="s">
        <v>20</v>
      </c>
      <c r="D100" s="7"/>
      <c r="E100" s="7"/>
      <c r="F100" s="7">
        <v>45008</v>
      </c>
      <c r="G100" s="9">
        <v>28000</v>
      </c>
      <c r="H100" s="9">
        <v>24778.76</v>
      </c>
      <c r="I100" s="9">
        <v>3221.24</v>
      </c>
      <c r="J100" s="7">
        <v>45322</v>
      </c>
      <c r="K100" s="8" t="str">
        <f t="shared" si="4"/>
        <v/>
      </c>
      <c r="L100" s="8" t="str">
        <f t="shared" si="5"/>
        <v/>
      </c>
      <c r="M100" s="8">
        <f t="shared" si="3"/>
        <v>314</v>
      </c>
      <c r="N100" s="6" t="s">
        <v>26</v>
      </c>
    </row>
    <row r="101" spans="1:14" x14ac:dyDescent="0.2">
      <c r="A101" s="6" t="s">
        <v>129</v>
      </c>
      <c r="B101" s="6" t="s">
        <v>131</v>
      </c>
      <c r="C101" s="6" t="s">
        <v>20</v>
      </c>
      <c r="D101" s="7"/>
      <c r="E101" s="7"/>
      <c r="F101" s="7">
        <v>45008</v>
      </c>
      <c r="G101" s="9">
        <v>56000</v>
      </c>
      <c r="H101" s="9">
        <v>49557.52</v>
      </c>
      <c r="I101" s="9">
        <v>6442.48</v>
      </c>
      <c r="J101" s="7">
        <v>45322</v>
      </c>
      <c r="K101" s="8" t="str">
        <f t="shared" si="4"/>
        <v/>
      </c>
      <c r="L101" s="8" t="str">
        <f t="shared" si="5"/>
        <v/>
      </c>
      <c r="M101" s="8">
        <f t="shared" si="3"/>
        <v>314</v>
      </c>
      <c r="N101" s="6" t="s">
        <v>26</v>
      </c>
    </row>
    <row r="102" spans="1:14" x14ac:dyDescent="0.2">
      <c r="A102" s="6" t="s">
        <v>85</v>
      </c>
      <c r="B102" s="6" t="s">
        <v>86</v>
      </c>
      <c r="C102" s="6" t="s">
        <v>87</v>
      </c>
      <c r="D102" s="7"/>
      <c r="E102" s="7"/>
      <c r="F102" s="7">
        <v>45009</v>
      </c>
      <c r="G102" s="9">
        <v>73000</v>
      </c>
      <c r="H102" s="9">
        <v>64601.77</v>
      </c>
      <c r="I102" s="9">
        <v>8398.23</v>
      </c>
      <c r="J102" s="7">
        <v>45330</v>
      </c>
      <c r="K102" s="8" t="str">
        <f t="shared" si="4"/>
        <v/>
      </c>
      <c r="L102" s="8" t="str">
        <f t="shared" si="5"/>
        <v/>
      </c>
      <c r="M102" s="8">
        <f t="shared" si="3"/>
        <v>321</v>
      </c>
      <c r="N102" s="6" t="s">
        <v>26</v>
      </c>
    </row>
    <row r="103" spans="1:14" x14ac:dyDescent="0.2">
      <c r="A103" s="6" t="s">
        <v>85</v>
      </c>
      <c r="B103" s="6" t="s">
        <v>86</v>
      </c>
      <c r="C103" s="6" t="s">
        <v>87</v>
      </c>
      <c r="D103" s="7"/>
      <c r="E103" s="7"/>
      <c r="F103" s="7">
        <v>45009</v>
      </c>
      <c r="G103" s="9">
        <v>-73000</v>
      </c>
      <c r="H103" s="9">
        <v>-64601.77</v>
      </c>
      <c r="I103" s="9">
        <v>-8398.23</v>
      </c>
      <c r="J103" s="7">
        <v>45330</v>
      </c>
      <c r="K103" s="8" t="str">
        <f t="shared" si="4"/>
        <v/>
      </c>
      <c r="L103" s="8" t="str">
        <f t="shared" si="5"/>
        <v/>
      </c>
      <c r="M103" s="8">
        <f t="shared" si="3"/>
        <v>321</v>
      </c>
      <c r="N103" s="6" t="s">
        <v>26</v>
      </c>
    </row>
    <row r="104" spans="1:14" x14ac:dyDescent="0.2">
      <c r="A104" s="6" t="s">
        <v>132</v>
      </c>
      <c r="B104" s="6" t="s">
        <v>133</v>
      </c>
      <c r="C104" s="6" t="s">
        <v>87</v>
      </c>
      <c r="D104" s="7"/>
      <c r="E104" s="7"/>
      <c r="F104" s="7">
        <v>45012</v>
      </c>
      <c r="G104" s="9">
        <v>71190</v>
      </c>
      <c r="H104" s="9">
        <v>63000</v>
      </c>
      <c r="I104" s="9">
        <v>8190</v>
      </c>
      <c r="J104" s="7">
        <v>45314</v>
      </c>
      <c r="K104" s="8" t="str">
        <f t="shared" si="4"/>
        <v/>
      </c>
      <c r="L104" s="8" t="str">
        <f t="shared" si="5"/>
        <v/>
      </c>
      <c r="M104" s="8">
        <f t="shared" si="3"/>
        <v>302</v>
      </c>
      <c r="N104" s="6" t="s">
        <v>26</v>
      </c>
    </row>
    <row r="105" spans="1:14" x14ac:dyDescent="0.2">
      <c r="A105" s="6" t="s">
        <v>134</v>
      </c>
      <c r="B105" s="6" t="s">
        <v>135</v>
      </c>
      <c r="C105" s="6" t="s">
        <v>20</v>
      </c>
      <c r="D105" s="7"/>
      <c r="E105" s="7"/>
      <c r="F105" s="7">
        <v>45012</v>
      </c>
      <c r="G105" s="9">
        <v>25000</v>
      </c>
      <c r="H105" s="9">
        <v>23584.91</v>
      </c>
      <c r="I105" s="9">
        <v>1415.09</v>
      </c>
      <c r="J105" s="7"/>
      <c r="K105" s="8" t="str">
        <f t="shared" si="4"/>
        <v/>
      </c>
      <c r="L105" s="8" t="str">
        <f t="shared" si="5"/>
        <v/>
      </c>
      <c r="M105" s="8" t="str">
        <f t="shared" si="3"/>
        <v/>
      </c>
      <c r="N105" s="6" t="s">
        <v>21</v>
      </c>
    </row>
    <row r="106" spans="1:14" x14ac:dyDescent="0.2">
      <c r="A106" s="6" t="s">
        <v>136</v>
      </c>
      <c r="C106" s="6" t="s">
        <v>20</v>
      </c>
      <c r="D106" s="7"/>
      <c r="E106" s="7"/>
      <c r="F106" s="7">
        <v>45013</v>
      </c>
      <c r="G106" s="9">
        <v>100000</v>
      </c>
      <c r="H106" s="9">
        <v>88495.58</v>
      </c>
      <c r="I106" s="9">
        <v>11504.42</v>
      </c>
      <c r="J106" s="7">
        <v>45499</v>
      </c>
      <c r="K106" s="8" t="str">
        <f t="shared" si="4"/>
        <v/>
      </c>
      <c r="L106" s="8" t="str">
        <f t="shared" si="5"/>
        <v/>
      </c>
      <c r="M106" s="8">
        <f t="shared" si="3"/>
        <v>486</v>
      </c>
      <c r="N106" s="6" t="s">
        <v>26</v>
      </c>
    </row>
    <row r="107" spans="1:14" x14ac:dyDescent="0.2">
      <c r="A107" s="6" t="s">
        <v>136</v>
      </c>
      <c r="C107" s="6" t="s">
        <v>20</v>
      </c>
      <c r="D107" s="7"/>
      <c r="E107" s="7"/>
      <c r="F107" s="7">
        <v>45013</v>
      </c>
      <c r="G107" s="9">
        <v>58000</v>
      </c>
      <c r="H107" s="9">
        <v>51327.43</v>
      </c>
      <c r="I107" s="9">
        <v>6672.57</v>
      </c>
      <c r="J107" s="7">
        <v>45499</v>
      </c>
      <c r="K107" s="8" t="str">
        <f t="shared" si="4"/>
        <v/>
      </c>
      <c r="L107" s="8" t="str">
        <f t="shared" si="5"/>
        <v/>
      </c>
      <c r="M107" s="8">
        <f t="shared" si="3"/>
        <v>486</v>
      </c>
      <c r="N107" s="6" t="s">
        <v>26</v>
      </c>
    </row>
    <row r="108" spans="1:14" x14ac:dyDescent="0.2">
      <c r="A108" s="6" t="s">
        <v>137</v>
      </c>
      <c r="B108" s="6" t="s">
        <v>138</v>
      </c>
      <c r="C108" s="6" t="s">
        <v>20</v>
      </c>
      <c r="D108" s="7"/>
      <c r="E108" s="7"/>
      <c r="F108" s="7">
        <v>45013</v>
      </c>
      <c r="G108" s="9">
        <v>8000</v>
      </c>
      <c r="H108" s="9">
        <v>7079.65</v>
      </c>
      <c r="I108" s="9">
        <v>920.35</v>
      </c>
      <c r="J108" s="7"/>
      <c r="K108" s="8" t="str">
        <f t="shared" si="4"/>
        <v/>
      </c>
      <c r="L108" s="8" t="str">
        <f t="shared" si="5"/>
        <v/>
      </c>
      <c r="M108" s="8" t="str">
        <f t="shared" si="3"/>
        <v/>
      </c>
      <c r="N108" s="6" t="s">
        <v>21</v>
      </c>
    </row>
    <row r="109" spans="1:14" x14ac:dyDescent="0.2">
      <c r="A109" s="6" t="s">
        <v>139</v>
      </c>
      <c r="B109" s="6" t="s">
        <v>140</v>
      </c>
      <c r="C109" s="6" t="s">
        <v>20</v>
      </c>
      <c r="D109" s="7"/>
      <c r="E109" s="7"/>
      <c r="F109" s="7">
        <v>45015</v>
      </c>
      <c r="G109" s="9">
        <v>43844</v>
      </c>
      <c r="H109" s="9">
        <v>38800</v>
      </c>
      <c r="I109" s="9">
        <v>5044</v>
      </c>
      <c r="J109" s="7">
        <v>45313</v>
      </c>
      <c r="K109" s="8" t="str">
        <f t="shared" si="4"/>
        <v/>
      </c>
      <c r="L109" s="8" t="str">
        <f t="shared" si="5"/>
        <v/>
      </c>
      <c r="M109" s="8">
        <f t="shared" si="3"/>
        <v>298</v>
      </c>
      <c r="N109" s="6" t="s">
        <v>26</v>
      </c>
    </row>
    <row r="110" spans="1:14" x14ac:dyDescent="0.2">
      <c r="A110" s="6" t="s">
        <v>141</v>
      </c>
      <c r="B110" s="6" t="s">
        <v>142</v>
      </c>
      <c r="C110" s="6" t="s">
        <v>20</v>
      </c>
      <c r="D110" s="7"/>
      <c r="E110" s="7"/>
      <c r="F110" s="7">
        <v>45016</v>
      </c>
      <c r="G110" s="9">
        <v>103485.11</v>
      </c>
      <c r="H110" s="9">
        <v>91579.74</v>
      </c>
      <c r="I110" s="9">
        <v>11905.37</v>
      </c>
      <c r="J110" s="7">
        <v>45683</v>
      </c>
      <c r="K110" s="8" t="str">
        <f t="shared" si="4"/>
        <v/>
      </c>
      <c r="L110" s="8" t="str">
        <f t="shared" si="5"/>
        <v/>
      </c>
      <c r="M110" s="8">
        <f t="shared" si="3"/>
        <v>667</v>
      </c>
      <c r="N110" s="6" t="s">
        <v>26</v>
      </c>
    </row>
    <row r="111" spans="1:14" x14ac:dyDescent="0.2">
      <c r="A111" s="6" t="s">
        <v>42</v>
      </c>
      <c r="B111" s="6" t="s">
        <v>143</v>
      </c>
      <c r="C111" s="6" t="s">
        <v>20</v>
      </c>
      <c r="D111" s="7"/>
      <c r="E111" s="7"/>
      <c r="F111" s="7">
        <v>45016</v>
      </c>
      <c r="G111" s="9">
        <v>100000</v>
      </c>
      <c r="H111" s="9">
        <v>88495.58</v>
      </c>
      <c r="I111" s="9">
        <v>11504.42</v>
      </c>
      <c r="J111" s="7">
        <v>45461</v>
      </c>
      <c r="K111" s="8" t="str">
        <f t="shared" si="4"/>
        <v/>
      </c>
      <c r="L111" s="8" t="str">
        <f t="shared" si="5"/>
        <v/>
      </c>
      <c r="M111" s="8">
        <f t="shared" si="3"/>
        <v>445</v>
      </c>
      <c r="N111" s="6" t="s">
        <v>26</v>
      </c>
    </row>
    <row r="112" spans="1:14" x14ac:dyDescent="0.2">
      <c r="A112" s="6" t="s">
        <v>42</v>
      </c>
      <c r="B112" s="6" t="s">
        <v>143</v>
      </c>
      <c r="C112" s="6" t="s">
        <v>20</v>
      </c>
      <c r="D112" s="7"/>
      <c r="E112" s="7"/>
      <c r="F112" s="7">
        <v>45016</v>
      </c>
      <c r="G112" s="9">
        <v>100000</v>
      </c>
      <c r="H112" s="9">
        <v>88495.58</v>
      </c>
      <c r="I112" s="9">
        <v>11504.42</v>
      </c>
      <c r="J112" s="7">
        <v>45461</v>
      </c>
      <c r="K112" s="8" t="str">
        <f t="shared" si="4"/>
        <v/>
      </c>
      <c r="L112" s="8" t="str">
        <f t="shared" si="5"/>
        <v/>
      </c>
      <c r="M112" s="8">
        <f t="shared" si="3"/>
        <v>445</v>
      </c>
      <c r="N112" s="6" t="s">
        <v>26</v>
      </c>
    </row>
    <row r="113" spans="1:14" x14ac:dyDescent="0.2">
      <c r="A113" s="6" t="s">
        <v>42</v>
      </c>
      <c r="B113" s="6" t="s">
        <v>143</v>
      </c>
      <c r="C113" s="6" t="s">
        <v>20</v>
      </c>
      <c r="D113" s="7"/>
      <c r="E113" s="7"/>
      <c r="F113" s="7">
        <v>45016</v>
      </c>
      <c r="G113" s="9">
        <v>88000</v>
      </c>
      <c r="H113" s="9">
        <v>77876.11</v>
      </c>
      <c r="I113" s="9">
        <v>10123.89</v>
      </c>
      <c r="J113" s="7">
        <v>45461</v>
      </c>
      <c r="K113" s="8" t="str">
        <f t="shared" si="4"/>
        <v/>
      </c>
      <c r="L113" s="8" t="str">
        <f t="shared" si="5"/>
        <v/>
      </c>
      <c r="M113" s="8">
        <f t="shared" si="3"/>
        <v>445</v>
      </c>
      <c r="N113" s="6" t="s">
        <v>26</v>
      </c>
    </row>
    <row r="114" spans="1:14" x14ac:dyDescent="0.2">
      <c r="A114" s="6" t="s">
        <v>42</v>
      </c>
      <c r="B114" s="6" t="s">
        <v>143</v>
      </c>
      <c r="C114" s="6" t="s">
        <v>20</v>
      </c>
      <c r="D114" s="7"/>
      <c r="E114" s="7"/>
      <c r="F114" s="7">
        <v>45016</v>
      </c>
      <c r="G114" s="9">
        <v>88000</v>
      </c>
      <c r="H114" s="9">
        <v>77876.11</v>
      </c>
      <c r="I114" s="9">
        <v>10123.89</v>
      </c>
      <c r="J114" s="7">
        <v>45461</v>
      </c>
      <c r="K114" s="8" t="str">
        <f t="shared" si="4"/>
        <v/>
      </c>
      <c r="L114" s="8" t="str">
        <f t="shared" si="5"/>
        <v/>
      </c>
      <c r="M114" s="8">
        <f t="shared" si="3"/>
        <v>445</v>
      </c>
      <c r="N114" s="6" t="s">
        <v>26</v>
      </c>
    </row>
    <row r="115" spans="1:14" x14ac:dyDescent="0.2">
      <c r="A115" s="6" t="s">
        <v>42</v>
      </c>
      <c r="B115" s="6" t="s">
        <v>144</v>
      </c>
      <c r="C115" s="6" t="s">
        <v>20</v>
      </c>
      <c r="D115" s="7">
        <v>44909</v>
      </c>
      <c r="E115" s="7">
        <v>44922</v>
      </c>
      <c r="F115" s="7">
        <v>45019</v>
      </c>
      <c r="G115" s="9">
        <v>160000</v>
      </c>
      <c r="H115" s="9">
        <v>141592.92000000001</v>
      </c>
      <c r="I115" s="9">
        <v>18407.080000000002</v>
      </c>
      <c r="J115" s="7">
        <v>45461</v>
      </c>
      <c r="K115" s="8">
        <f t="shared" si="4"/>
        <v>13</v>
      </c>
      <c r="L115" s="8">
        <f t="shared" si="5"/>
        <v>97</v>
      </c>
      <c r="M115" s="8">
        <f t="shared" si="3"/>
        <v>442</v>
      </c>
      <c r="N115" s="6" t="s">
        <v>26</v>
      </c>
    </row>
    <row r="116" spans="1:14" x14ac:dyDescent="0.2">
      <c r="A116" s="6" t="s">
        <v>42</v>
      </c>
      <c r="B116" s="6" t="s">
        <v>144</v>
      </c>
      <c r="C116" s="6" t="s">
        <v>20</v>
      </c>
      <c r="D116" s="7"/>
      <c r="E116" s="7"/>
      <c r="F116" s="7">
        <v>45019</v>
      </c>
      <c r="G116" s="9">
        <v>160000</v>
      </c>
      <c r="H116" s="9">
        <v>141592.92000000001</v>
      </c>
      <c r="I116" s="9">
        <v>18407.080000000002</v>
      </c>
      <c r="J116" s="7">
        <v>45461</v>
      </c>
      <c r="K116" s="8" t="str">
        <f t="shared" si="4"/>
        <v/>
      </c>
      <c r="L116" s="8" t="str">
        <f t="shared" si="5"/>
        <v/>
      </c>
      <c r="M116" s="8">
        <f t="shared" si="3"/>
        <v>442</v>
      </c>
      <c r="N116" s="6" t="s">
        <v>26</v>
      </c>
    </row>
    <row r="117" spans="1:14" x14ac:dyDescent="0.2">
      <c r="A117" s="6" t="s">
        <v>145</v>
      </c>
      <c r="B117" s="6" t="s">
        <v>146</v>
      </c>
      <c r="C117" s="6" t="s">
        <v>20</v>
      </c>
      <c r="D117" s="7">
        <v>44826</v>
      </c>
      <c r="E117" s="7">
        <v>44833</v>
      </c>
      <c r="F117" s="7">
        <v>45020</v>
      </c>
      <c r="G117" s="9">
        <v>21000</v>
      </c>
      <c r="H117" s="9">
        <v>18584.07</v>
      </c>
      <c r="I117" s="9">
        <v>2415.9299999999998</v>
      </c>
      <c r="J117" s="7">
        <v>45301</v>
      </c>
      <c r="K117" s="8">
        <f t="shared" si="4"/>
        <v>7</v>
      </c>
      <c r="L117" s="8">
        <f t="shared" si="5"/>
        <v>187</v>
      </c>
      <c r="M117" s="8">
        <f t="shared" si="3"/>
        <v>281</v>
      </c>
      <c r="N117" s="6" t="s">
        <v>26</v>
      </c>
    </row>
    <row r="118" spans="1:14" x14ac:dyDescent="0.2">
      <c r="A118" s="6" t="s">
        <v>145</v>
      </c>
      <c r="B118" s="6" t="s">
        <v>147</v>
      </c>
      <c r="C118" s="6" t="s">
        <v>20</v>
      </c>
      <c r="D118" s="7"/>
      <c r="E118" s="7">
        <v>44896</v>
      </c>
      <c r="F118" s="7">
        <v>45020</v>
      </c>
      <c r="G118" s="9">
        <v>15000</v>
      </c>
      <c r="H118" s="9">
        <v>13274.34</v>
      </c>
      <c r="I118" s="9">
        <v>1725.66</v>
      </c>
      <c r="J118" s="7">
        <v>45301</v>
      </c>
      <c r="K118" s="8" t="str">
        <f t="shared" si="4"/>
        <v/>
      </c>
      <c r="L118" s="8" t="str">
        <f t="shared" si="5"/>
        <v/>
      </c>
      <c r="M118" s="8">
        <f t="shared" si="3"/>
        <v>281</v>
      </c>
      <c r="N118" s="6" t="s">
        <v>26</v>
      </c>
    </row>
    <row r="119" spans="1:14" x14ac:dyDescent="0.2">
      <c r="A119" s="6" t="s">
        <v>145</v>
      </c>
      <c r="B119" s="6" t="s">
        <v>148</v>
      </c>
      <c r="C119" s="6" t="s">
        <v>20</v>
      </c>
      <c r="D119" s="7">
        <v>44561</v>
      </c>
      <c r="E119" s="7">
        <v>44564</v>
      </c>
      <c r="F119" s="7">
        <v>45020</v>
      </c>
      <c r="G119" s="9">
        <v>30000</v>
      </c>
      <c r="H119" s="9">
        <v>26548.67</v>
      </c>
      <c r="I119" s="9">
        <v>3451.33</v>
      </c>
      <c r="J119" s="7">
        <v>45301</v>
      </c>
      <c r="K119" s="8">
        <f t="shared" si="4"/>
        <v>3</v>
      </c>
      <c r="L119" s="8">
        <f t="shared" si="5"/>
        <v>456</v>
      </c>
      <c r="M119" s="8">
        <f t="shared" si="3"/>
        <v>281</v>
      </c>
      <c r="N119" s="6" t="s">
        <v>26</v>
      </c>
    </row>
    <row r="120" spans="1:14" x14ac:dyDescent="0.2">
      <c r="A120" s="6" t="s">
        <v>145</v>
      </c>
      <c r="B120" s="6" t="s">
        <v>149</v>
      </c>
      <c r="C120" s="6" t="s">
        <v>20</v>
      </c>
      <c r="D120" s="7">
        <v>44606</v>
      </c>
      <c r="E120" s="7">
        <v>44616</v>
      </c>
      <c r="F120" s="7">
        <v>45020</v>
      </c>
      <c r="G120" s="9">
        <v>33000</v>
      </c>
      <c r="H120" s="9">
        <v>29203.54</v>
      </c>
      <c r="I120" s="9">
        <v>3796.46</v>
      </c>
      <c r="J120" s="7">
        <v>45301</v>
      </c>
      <c r="K120" s="8">
        <f t="shared" si="4"/>
        <v>10</v>
      </c>
      <c r="L120" s="8">
        <f t="shared" si="5"/>
        <v>404</v>
      </c>
      <c r="M120" s="8">
        <f t="shared" si="3"/>
        <v>281</v>
      </c>
      <c r="N120" s="6" t="s">
        <v>26</v>
      </c>
    </row>
    <row r="121" spans="1:14" x14ac:dyDescent="0.2">
      <c r="A121" s="6" t="s">
        <v>150</v>
      </c>
      <c r="B121" s="6" t="s">
        <v>151</v>
      </c>
      <c r="C121" s="6" t="s">
        <v>20</v>
      </c>
      <c r="D121" s="7">
        <v>44938</v>
      </c>
      <c r="E121" s="7">
        <v>44940</v>
      </c>
      <c r="F121" s="7">
        <v>45020</v>
      </c>
      <c r="G121" s="9">
        <v>23000</v>
      </c>
      <c r="H121" s="9">
        <v>21698.11</v>
      </c>
      <c r="I121" s="9">
        <v>1301.8900000000001</v>
      </c>
      <c r="J121" s="7">
        <v>45321</v>
      </c>
      <c r="K121" s="8">
        <f t="shared" si="4"/>
        <v>2</v>
      </c>
      <c r="L121" s="8">
        <f t="shared" si="5"/>
        <v>80</v>
      </c>
      <c r="M121" s="8">
        <f t="shared" si="3"/>
        <v>301</v>
      </c>
      <c r="N121" s="6" t="s">
        <v>26</v>
      </c>
    </row>
    <row r="122" spans="1:14" x14ac:dyDescent="0.2">
      <c r="A122" s="6" t="s">
        <v>152</v>
      </c>
      <c r="B122" s="6" t="s">
        <v>153</v>
      </c>
      <c r="C122" s="6" t="s">
        <v>20</v>
      </c>
      <c r="D122" s="7">
        <v>44998</v>
      </c>
      <c r="E122" s="7">
        <v>45001</v>
      </c>
      <c r="F122" s="7">
        <v>45020</v>
      </c>
      <c r="G122" s="9">
        <v>2.09</v>
      </c>
      <c r="H122" s="9">
        <v>1.85</v>
      </c>
      <c r="I122" s="9">
        <v>0.24</v>
      </c>
      <c r="J122" s="7">
        <v>45309</v>
      </c>
      <c r="K122" s="8">
        <f t="shared" si="4"/>
        <v>3</v>
      </c>
      <c r="L122" s="8">
        <f t="shared" si="5"/>
        <v>19</v>
      </c>
      <c r="M122" s="8">
        <f t="shared" si="3"/>
        <v>289</v>
      </c>
      <c r="N122" s="6" t="s">
        <v>26</v>
      </c>
    </row>
    <row r="123" spans="1:14" x14ac:dyDescent="0.2">
      <c r="A123" s="6" t="s">
        <v>111</v>
      </c>
      <c r="B123" s="6" t="s">
        <v>112</v>
      </c>
      <c r="C123" s="6" t="s">
        <v>87</v>
      </c>
      <c r="D123" s="7">
        <v>44974</v>
      </c>
      <c r="E123" s="7">
        <v>44978</v>
      </c>
      <c r="F123" s="7">
        <v>45021</v>
      </c>
      <c r="G123" s="9">
        <v>8213.6200000000008</v>
      </c>
      <c r="H123" s="9">
        <v>1.26</v>
      </c>
      <c r="I123" s="9">
        <v>8212.36</v>
      </c>
      <c r="J123" s="7">
        <v>45471</v>
      </c>
      <c r="K123" s="8">
        <f t="shared" si="4"/>
        <v>4</v>
      </c>
      <c r="L123" s="8">
        <f t="shared" si="5"/>
        <v>43</v>
      </c>
      <c r="M123" s="8">
        <f t="shared" si="3"/>
        <v>450</v>
      </c>
      <c r="N123" s="6" t="s">
        <v>26</v>
      </c>
    </row>
    <row r="124" spans="1:14" x14ac:dyDescent="0.2">
      <c r="A124" s="6" t="s">
        <v>109</v>
      </c>
      <c r="B124" s="6" t="s">
        <v>154</v>
      </c>
      <c r="C124" s="6" t="s">
        <v>20</v>
      </c>
      <c r="D124" s="7">
        <v>44968</v>
      </c>
      <c r="E124" s="7">
        <v>44978</v>
      </c>
      <c r="F124" s="7">
        <v>45022</v>
      </c>
      <c r="G124" s="9">
        <v>344650</v>
      </c>
      <c r="H124" s="9">
        <v>305000</v>
      </c>
      <c r="I124" s="9">
        <v>39650</v>
      </c>
      <c r="J124" s="7">
        <v>45294</v>
      </c>
      <c r="K124" s="8">
        <f t="shared" si="4"/>
        <v>10</v>
      </c>
      <c r="L124" s="8">
        <f t="shared" si="5"/>
        <v>44</v>
      </c>
      <c r="M124" s="8">
        <f t="shared" si="3"/>
        <v>272</v>
      </c>
      <c r="N124" s="6" t="s">
        <v>26</v>
      </c>
    </row>
    <row r="125" spans="1:14" x14ac:dyDescent="0.2">
      <c r="A125" s="6" t="s">
        <v>109</v>
      </c>
      <c r="B125" s="6" t="s">
        <v>154</v>
      </c>
      <c r="C125" s="6" t="s">
        <v>20</v>
      </c>
      <c r="D125" s="7"/>
      <c r="E125" s="7"/>
      <c r="F125" s="7">
        <v>45022</v>
      </c>
      <c r="G125" s="9">
        <v>344650</v>
      </c>
      <c r="H125" s="9">
        <v>305000</v>
      </c>
      <c r="I125" s="9">
        <v>39650</v>
      </c>
      <c r="J125" s="7">
        <v>45294</v>
      </c>
      <c r="K125" s="8" t="str">
        <f t="shared" si="4"/>
        <v/>
      </c>
      <c r="L125" s="8" t="str">
        <f t="shared" si="5"/>
        <v/>
      </c>
      <c r="M125" s="8">
        <f t="shared" si="3"/>
        <v>272</v>
      </c>
      <c r="N125" s="6" t="s">
        <v>26</v>
      </c>
    </row>
    <row r="126" spans="1:14" x14ac:dyDescent="0.2">
      <c r="A126" s="6" t="s">
        <v>109</v>
      </c>
      <c r="B126" s="6" t="s">
        <v>154</v>
      </c>
      <c r="C126" s="6" t="s">
        <v>20</v>
      </c>
      <c r="D126" s="7"/>
      <c r="E126" s="7"/>
      <c r="F126" s="7">
        <v>45022</v>
      </c>
      <c r="G126" s="9">
        <v>344650</v>
      </c>
      <c r="H126" s="9">
        <v>305000</v>
      </c>
      <c r="I126" s="9">
        <v>39650</v>
      </c>
      <c r="J126" s="7">
        <v>45294</v>
      </c>
      <c r="K126" s="8" t="str">
        <f t="shared" si="4"/>
        <v/>
      </c>
      <c r="L126" s="8" t="str">
        <f t="shared" si="5"/>
        <v/>
      </c>
      <c r="M126" s="8">
        <f t="shared" si="3"/>
        <v>272</v>
      </c>
      <c r="N126" s="6" t="s">
        <v>26</v>
      </c>
    </row>
    <row r="127" spans="1:14" x14ac:dyDescent="0.2">
      <c r="A127" s="6" t="s">
        <v>109</v>
      </c>
      <c r="B127" s="6" t="s">
        <v>154</v>
      </c>
      <c r="C127" s="6" t="s">
        <v>20</v>
      </c>
      <c r="D127" s="7"/>
      <c r="E127" s="7"/>
      <c r="F127" s="7">
        <v>45022</v>
      </c>
      <c r="G127" s="9">
        <v>344650</v>
      </c>
      <c r="H127" s="9">
        <v>305000</v>
      </c>
      <c r="I127" s="9">
        <v>39650</v>
      </c>
      <c r="J127" s="7">
        <v>45294</v>
      </c>
      <c r="K127" s="8" t="str">
        <f t="shared" si="4"/>
        <v/>
      </c>
      <c r="L127" s="8" t="str">
        <f t="shared" si="5"/>
        <v/>
      </c>
      <c r="M127" s="8">
        <f t="shared" si="3"/>
        <v>272</v>
      </c>
      <c r="N127" s="6" t="s">
        <v>26</v>
      </c>
    </row>
    <row r="128" spans="1:14" x14ac:dyDescent="0.2">
      <c r="A128" s="6" t="s">
        <v>109</v>
      </c>
      <c r="B128" s="6" t="s">
        <v>155</v>
      </c>
      <c r="C128" s="6" t="s">
        <v>20</v>
      </c>
      <c r="D128" s="7">
        <v>44962</v>
      </c>
      <c r="E128" s="7">
        <v>44975</v>
      </c>
      <c r="F128" s="7">
        <v>45022</v>
      </c>
      <c r="G128" s="9">
        <v>115260</v>
      </c>
      <c r="H128" s="9">
        <v>102000</v>
      </c>
      <c r="I128" s="9">
        <v>13260</v>
      </c>
      <c r="J128" s="7">
        <v>45294</v>
      </c>
      <c r="K128" s="8">
        <f t="shared" si="4"/>
        <v>13</v>
      </c>
      <c r="L128" s="8">
        <f t="shared" si="5"/>
        <v>47</v>
      </c>
      <c r="M128" s="8">
        <f t="shared" si="3"/>
        <v>272</v>
      </c>
      <c r="N128" s="6" t="s">
        <v>26</v>
      </c>
    </row>
    <row r="129" spans="1:14" x14ac:dyDescent="0.2">
      <c r="A129" s="6" t="s">
        <v>109</v>
      </c>
      <c r="B129" s="6" t="s">
        <v>155</v>
      </c>
      <c r="C129" s="6" t="s">
        <v>20</v>
      </c>
      <c r="D129" s="7"/>
      <c r="E129" s="7"/>
      <c r="F129" s="7">
        <v>45022</v>
      </c>
      <c r="G129" s="9">
        <v>115260</v>
      </c>
      <c r="H129" s="9">
        <v>102000</v>
      </c>
      <c r="I129" s="9">
        <v>13260</v>
      </c>
      <c r="J129" s="7">
        <v>45294</v>
      </c>
      <c r="K129" s="8" t="str">
        <f t="shared" si="4"/>
        <v/>
      </c>
      <c r="L129" s="8" t="str">
        <f t="shared" si="5"/>
        <v/>
      </c>
      <c r="M129" s="8">
        <f t="shared" si="3"/>
        <v>272</v>
      </c>
      <c r="N129" s="6" t="s">
        <v>26</v>
      </c>
    </row>
    <row r="130" spans="1:14" x14ac:dyDescent="0.2">
      <c r="A130" s="6" t="s">
        <v>156</v>
      </c>
      <c r="B130" s="6" t="s">
        <v>157</v>
      </c>
      <c r="C130" s="6" t="s">
        <v>20</v>
      </c>
      <c r="D130" s="7">
        <v>44955</v>
      </c>
      <c r="E130" s="7">
        <v>44957</v>
      </c>
      <c r="F130" s="7">
        <v>45022</v>
      </c>
      <c r="G130" s="9">
        <v>42400</v>
      </c>
      <c r="H130" s="9">
        <v>40000</v>
      </c>
      <c r="I130" s="9">
        <v>2400</v>
      </c>
      <c r="J130" s="7"/>
      <c r="K130" s="8">
        <f t="shared" si="4"/>
        <v>2</v>
      </c>
      <c r="L130" s="8">
        <f t="shared" si="5"/>
        <v>65</v>
      </c>
      <c r="M130" s="8" t="str">
        <f t="shared" ref="M130:M193" si="6">IF(OR($F130="", $J130=""),"", $J130-$F130)</f>
        <v/>
      </c>
      <c r="N130" s="6" t="s">
        <v>21</v>
      </c>
    </row>
    <row r="131" spans="1:14" x14ac:dyDescent="0.2">
      <c r="A131" s="6" t="s">
        <v>158</v>
      </c>
      <c r="B131" s="6" t="s">
        <v>159</v>
      </c>
      <c r="C131" s="6" t="s">
        <v>20</v>
      </c>
      <c r="D131" s="7">
        <v>44546</v>
      </c>
      <c r="E131" s="7">
        <v>44547</v>
      </c>
      <c r="F131" s="7">
        <v>45022</v>
      </c>
      <c r="G131" s="9">
        <v>10000</v>
      </c>
      <c r="H131" s="9">
        <v>8849.56</v>
      </c>
      <c r="I131" s="9">
        <v>1150.44</v>
      </c>
      <c r="J131" s="7">
        <v>45701</v>
      </c>
      <c r="K131" s="8">
        <f t="shared" ref="K131:K194" si="7">IF(OR($D131="", $F131=""),"", $E131-$D131)</f>
        <v>1</v>
      </c>
      <c r="L131" s="8">
        <f t="shared" ref="L131:L194" si="8">IF(OR($D131="", $F131=""),"", $F131-$E131)</f>
        <v>475</v>
      </c>
      <c r="M131" s="8">
        <f t="shared" si="6"/>
        <v>679</v>
      </c>
      <c r="N131" s="6" t="s">
        <v>26</v>
      </c>
    </row>
    <row r="132" spans="1:14" x14ac:dyDescent="0.2">
      <c r="A132" s="6" t="s">
        <v>158</v>
      </c>
      <c r="B132" s="6" t="s">
        <v>159</v>
      </c>
      <c r="C132" s="6" t="s">
        <v>20</v>
      </c>
      <c r="D132" s="7">
        <v>44129</v>
      </c>
      <c r="E132" s="7">
        <v>44129</v>
      </c>
      <c r="F132" s="7">
        <v>45022</v>
      </c>
      <c r="G132" s="9">
        <v>24795</v>
      </c>
      <c r="H132" s="9">
        <v>21942.48</v>
      </c>
      <c r="I132" s="9">
        <v>2852.52</v>
      </c>
      <c r="J132" s="7">
        <v>45701</v>
      </c>
      <c r="K132" s="8">
        <f t="shared" si="7"/>
        <v>0</v>
      </c>
      <c r="L132" s="8">
        <f t="shared" si="8"/>
        <v>893</v>
      </c>
      <c r="M132" s="8">
        <f t="shared" si="6"/>
        <v>679</v>
      </c>
      <c r="N132" s="6" t="s">
        <v>26</v>
      </c>
    </row>
    <row r="133" spans="1:14" x14ac:dyDescent="0.2">
      <c r="A133" s="6" t="s">
        <v>160</v>
      </c>
      <c r="B133" s="6" t="s">
        <v>161</v>
      </c>
      <c r="C133" s="6" t="s">
        <v>20</v>
      </c>
      <c r="D133" s="7">
        <v>44989</v>
      </c>
      <c r="E133" s="7">
        <v>44995</v>
      </c>
      <c r="F133" s="7">
        <v>45022</v>
      </c>
      <c r="G133" s="9">
        <v>1.92</v>
      </c>
      <c r="H133" s="9">
        <v>1.7</v>
      </c>
      <c r="I133" s="9">
        <v>0.22</v>
      </c>
      <c r="J133" s="7">
        <v>45615</v>
      </c>
      <c r="K133" s="8">
        <f t="shared" si="7"/>
        <v>6</v>
      </c>
      <c r="L133" s="8">
        <f t="shared" si="8"/>
        <v>27</v>
      </c>
      <c r="M133" s="8">
        <f t="shared" si="6"/>
        <v>593</v>
      </c>
      <c r="N133" s="6" t="s">
        <v>26</v>
      </c>
    </row>
    <row r="134" spans="1:14" x14ac:dyDescent="0.2">
      <c r="A134" s="6" t="s">
        <v>160</v>
      </c>
      <c r="B134" s="6" t="s">
        <v>161</v>
      </c>
      <c r="C134" s="6" t="s">
        <v>20</v>
      </c>
      <c r="D134" s="7"/>
      <c r="E134" s="7"/>
      <c r="F134" s="7">
        <v>45022</v>
      </c>
      <c r="G134" s="9">
        <v>1.92</v>
      </c>
      <c r="H134" s="9">
        <v>1.7</v>
      </c>
      <c r="I134" s="9">
        <v>0.22</v>
      </c>
      <c r="J134" s="7">
        <v>45615</v>
      </c>
      <c r="K134" s="8" t="str">
        <f t="shared" si="7"/>
        <v/>
      </c>
      <c r="L134" s="8" t="str">
        <f t="shared" si="8"/>
        <v/>
      </c>
      <c r="M134" s="8">
        <f t="shared" si="6"/>
        <v>593</v>
      </c>
      <c r="N134" s="6" t="s">
        <v>26</v>
      </c>
    </row>
    <row r="135" spans="1:14" x14ac:dyDescent="0.2">
      <c r="A135" s="6" t="s">
        <v>162</v>
      </c>
      <c r="B135" s="6" t="s">
        <v>163</v>
      </c>
      <c r="C135" s="6" t="s">
        <v>20</v>
      </c>
      <c r="D135" s="7"/>
      <c r="E135" s="7"/>
      <c r="F135" s="7">
        <v>45022</v>
      </c>
      <c r="G135" s="9">
        <v>40000</v>
      </c>
      <c r="H135" s="9">
        <v>35398.230000000003</v>
      </c>
      <c r="I135" s="9">
        <v>4601.7700000000004</v>
      </c>
      <c r="J135" s="7">
        <v>45322</v>
      </c>
      <c r="K135" s="8" t="str">
        <f t="shared" si="7"/>
        <v/>
      </c>
      <c r="L135" s="8" t="str">
        <f t="shared" si="8"/>
        <v/>
      </c>
      <c r="M135" s="8">
        <f t="shared" si="6"/>
        <v>300</v>
      </c>
      <c r="N135" s="6" t="s">
        <v>26</v>
      </c>
    </row>
    <row r="136" spans="1:14" x14ac:dyDescent="0.2">
      <c r="A136" s="6" t="s">
        <v>96</v>
      </c>
      <c r="B136" s="6" t="s">
        <v>164</v>
      </c>
      <c r="C136" s="6" t="s">
        <v>20</v>
      </c>
      <c r="D136" s="7">
        <v>44999</v>
      </c>
      <c r="E136" s="7">
        <v>45002</v>
      </c>
      <c r="F136" s="7">
        <v>45023</v>
      </c>
      <c r="G136" s="9">
        <v>57500</v>
      </c>
      <c r="H136" s="9">
        <v>50884.959999999999</v>
      </c>
      <c r="I136" s="9">
        <v>6615.04</v>
      </c>
      <c r="J136" s="7">
        <v>45329</v>
      </c>
      <c r="K136" s="8">
        <f t="shared" si="7"/>
        <v>3</v>
      </c>
      <c r="L136" s="8">
        <f t="shared" si="8"/>
        <v>21</v>
      </c>
      <c r="M136" s="8">
        <f t="shared" si="6"/>
        <v>306</v>
      </c>
      <c r="N136" s="6" t="s">
        <v>26</v>
      </c>
    </row>
    <row r="137" spans="1:14" x14ac:dyDescent="0.2">
      <c r="A137" s="6" t="s">
        <v>165</v>
      </c>
      <c r="B137" s="6" t="s">
        <v>166</v>
      </c>
      <c r="C137" s="6" t="s">
        <v>20</v>
      </c>
      <c r="D137" s="7">
        <v>44762</v>
      </c>
      <c r="E137" s="7">
        <v>44763</v>
      </c>
      <c r="F137" s="7">
        <v>45026</v>
      </c>
      <c r="G137" s="9">
        <v>8000</v>
      </c>
      <c r="H137" s="9">
        <v>7079.65</v>
      </c>
      <c r="I137" s="9">
        <v>920.35</v>
      </c>
      <c r="J137" s="7">
        <v>45492</v>
      </c>
      <c r="K137" s="8">
        <f t="shared" si="7"/>
        <v>1</v>
      </c>
      <c r="L137" s="8">
        <f t="shared" si="8"/>
        <v>263</v>
      </c>
      <c r="M137" s="8">
        <f t="shared" si="6"/>
        <v>466</v>
      </c>
      <c r="N137" s="6" t="s">
        <v>26</v>
      </c>
    </row>
    <row r="138" spans="1:14" x14ac:dyDescent="0.2">
      <c r="A138" s="6" t="s">
        <v>165</v>
      </c>
      <c r="B138" s="6" t="s">
        <v>167</v>
      </c>
      <c r="C138" s="6" t="s">
        <v>20</v>
      </c>
      <c r="D138" s="7"/>
      <c r="E138" s="7"/>
      <c r="F138" s="7">
        <v>45026</v>
      </c>
      <c r="G138" s="9">
        <v>35000</v>
      </c>
      <c r="H138" s="9">
        <v>30973.45</v>
      </c>
      <c r="I138" s="9">
        <v>4026.55</v>
      </c>
      <c r="J138" s="7">
        <v>45492</v>
      </c>
      <c r="K138" s="8" t="str">
        <f t="shared" si="7"/>
        <v/>
      </c>
      <c r="L138" s="8" t="str">
        <f t="shared" si="8"/>
        <v/>
      </c>
      <c r="M138" s="8">
        <f t="shared" si="6"/>
        <v>466</v>
      </c>
      <c r="N138" s="6" t="s">
        <v>26</v>
      </c>
    </row>
    <row r="139" spans="1:14" x14ac:dyDescent="0.2">
      <c r="A139" s="6" t="s">
        <v>165</v>
      </c>
      <c r="B139" s="6" t="s">
        <v>168</v>
      </c>
      <c r="C139" s="6" t="s">
        <v>20</v>
      </c>
      <c r="D139" s="7"/>
      <c r="E139" s="7"/>
      <c r="F139" s="7">
        <v>45026</v>
      </c>
      <c r="G139" s="9">
        <v>20000</v>
      </c>
      <c r="H139" s="9">
        <v>17699.12</v>
      </c>
      <c r="I139" s="9">
        <v>2300.88</v>
      </c>
      <c r="J139" s="7">
        <v>45492</v>
      </c>
      <c r="K139" s="8" t="str">
        <f t="shared" si="7"/>
        <v/>
      </c>
      <c r="L139" s="8" t="str">
        <f t="shared" si="8"/>
        <v/>
      </c>
      <c r="M139" s="8">
        <f t="shared" si="6"/>
        <v>466</v>
      </c>
      <c r="N139" s="6" t="s">
        <v>26</v>
      </c>
    </row>
    <row r="140" spans="1:14" x14ac:dyDescent="0.2">
      <c r="A140" s="6" t="s">
        <v>165</v>
      </c>
      <c r="B140" s="6" t="s">
        <v>169</v>
      </c>
      <c r="C140" s="6" t="s">
        <v>20</v>
      </c>
      <c r="D140" s="7"/>
      <c r="E140" s="7"/>
      <c r="F140" s="7">
        <v>45026</v>
      </c>
      <c r="G140" s="9">
        <v>15000</v>
      </c>
      <c r="H140" s="9">
        <v>13274.34</v>
      </c>
      <c r="I140" s="9">
        <v>1725.66</v>
      </c>
      <c r="J140" s="7">
        <v>45492</v>
      </c>
      <c r="K140" s="8" t="str">
        <f t="shared" si="7"/>
        <v/>
      </c>
      <c r="L140" s="8" t="str">
        <f t="shared" si="8"/>
        <v/>
      </c>
      <c r="M140" s="8">
        <f t="shared" si="6"/>
        <v>466</v>
      </c>
      <c r="N140" s="6" t="s">
        <v>26</v>
      </c>
    </row>
    <row r="141" spans="1:14" x14ac:dyDescent="0.2">
      <c r="A141" s="6" t="s">
        <v>165</v>
      </c>
      <c r="B141" s="6" t="s">
        <v>170</v>
      </c>
      <c r="C141" s="6" t="s">
        <v>20</v>
      </c>
      <c r="D141" s="7">
        <v>44862</v>
      </c>
      <c r="E141" s="7">
        <v>44863</v>
      </c>
      <c r="F141" s="7">
        <v>45026</v>
      </c>
      <c r="G141" s="9">
        <v>10000</v>
      </c>
      <c r="H141" s="9">
        <v>8849.56</v>
      </c>
      <c r="I141" s="9">
        <v>1150.44</v>
      </c>
      <c r="J141" s="7">
        <v>45492</v>
      </c>
      <c r="K141" s="8">
        <f t="shared" si="7"/>
        <v>1</v>
      </c>
      <c r="L141" s="8">
        <f t="shared" si="8"/>
        <v>163</v>
      </c>
      <c r="M141" s="8">
        <f t="shared" si="6"/>
        <v>466</v>
      </c>
      <c r="N141" s="6" t="s">
        <v>26</v>
      </c>
    </row>
    <row r="142" spans="1:14" x14ac:dyDescent="0.2">
      <c r="A142" s="6" t="s">
        <v>165</v>
      </c>
      <c r="B142" s="6" t="s">
        <v>171</v>
      </c>
      <c r="C142" s="6" t="s">
        <v>20</v>
      </c>
      <c r="D142" s="7"/>
      <c r="E142" s="7"/>
      <c r="F142" s="7">
        <v>45026</v>
      </c>
      <c r="G142" s="9">
        <v>7000</v>
      </c>
      <c r="H142" s="9">
        <v>6422.02</v>
      </c>
      <c r="I142" s="9">
        <v>577.98</v>
      </c>
      <c r="J142" s="7">
        <v>45492</v>
      </c>
      <c r="K142" s="8" t="str">
        <f t="shared" si="7"/>
        <v/>
      </c>
      <c r="L142" s="8" t="str">
        <f t="shared" si="8"/>
        <v/>
      </c>
      <c r="M142" s="8">
        <f t="shared" si="6"/>
        <v>466</v>
      </c>
      <c r="N142" s="6" t="s">
        <v>26</v>
      </c>
    </row>
    <row r="143" spans="1:14" x14ac:dyDescent="0.2">
      <c r="A143" s="6" t="s">
        <v>165</v>
      </c>
      <c r="B143" s="6" t="s">
        <v>172</v>
      </c>
      <c r="C143" s="6" t="s">
        <v>20</v>
      </c>
      <c r="D143" s="7"/>
      <c r="E143" s="7"/>
      <c r="F143" s="7">
        <v>45026</v>
      </c>
      <c r="G143" s="9">
        <v>6600</v>
      </c>
      <c r="H143" s="9">
        <v>5840.71</v>
      </c>
      <c r="I143" s="9">
        <v>759.29</v>
      </c>
      <c r="J143" s="7">
        <v>45492</v>
      </c>
      <c r="K143" s="8" t="str">
        <f t="shared" si="7"/>
        <v/>
      </c>
      <c r="L143" s="8" t="str">
        <f t="shared" si="8"/>
        <v/>
      </c>
      <c r="M143" s="8">
        <f t="shared" si="6"/>
        <v>466</v>
      </c>
      <c r="N143" s="6" t="s">
        <v>26</v>
      </c>
    </row>
    <row r="144" spans="1:14" x14ac:dyDescent="0.2">
      <c r="A144" s="6" t="s">
        <v>173</v>
      </c>
      <c r="B144" s="6" t="s">
        <v>174</v>
      </c>
      <c r="C144" s="6" t="s">
        <v>20</v>
      </c>
      <c r="D144" s="7">
        <v>45001</v>
      </c>
      <c r="E144" s="7">
        <v>45003</v>
      </c>
      <c r="F144" s="7">
        <v>45026</v>
      </c>
      <c r="G144" s="9">
        <v>40000</v>
      </c>
      <c r="H144" s="9">
        <v>37735.85</v>
      </c>
      <c r="I144" s="9">
        <v>2264.15</v>
      </c>
      <c r="J144" s="7"/>
      <c r="K144" s="8">
        <f t="shared" si="7"/>
        <v>2</v>
      </c>
      <c r="L144" s="8">
        <f t="shared" si="8"/>
        <v>23</v>
      </c>
      <c r="M144" s="8" t="str">
        <f t="shared" si="6"/>
        <v/>
      </c>
      <c r="N144" s="6" t="s">
        <v>21</v>
      </c>
    </row>
    <row r="145" spans="1:14" x14ac:dyDescent="0.2">
      <c r="A145" s="6" t="s">
        <v>175</v>
      </c>
      <c r="B145" s="6" t="s">
        <v>176</v>
      </c>
      <c r="C145" s="6" t="s">
        <v>20</v>
      </c>
      <c r="D145" s="7">
        <v>44975</v>
      </c>
      <c r="E145" s="7">
        <v>-620130</v>
      </c>
      <c r="F145" s="7">
        <v>45028</v>
      </c>
      <c r="G145" s="9">
        <v>175</v>
      </c>
      <c r="H145" s="9">
        <v>154.87</v>
      </c>
      <c r="I145" s="9">
        <v>20.13</v>
      </c>
      <c r="J145" s="7">
        <v>45952</v>
      </c>
      <c r="K145" s="8">
        <f t="shared" si="7"/>
        <v>-665105</v>
      </c>
      <c r="L145" s="8">
        <f t="shared" si="8"/>
        <v>665158</v>
      </c>
      <c r="M145" s="8">
        <f t="shared" si="6"/>
        <v>924</v>
      </c>
      <c r="N145" s="6" t="s">
        <v>26</v>
      </c>
    </row>
    <row r="146" spans="1:14" x14ac:dyDescent="0.2">
      <c r="A146" s="6" t="s">
        <v>177</v>
      </c>
      <c r="B146" s="6" t="s">
        <v>178</v>
      </c>
      <c r="C146" s="6" t="s">
        <v>20</v>
      </c>
      <c r="D146" s="7"/>
      <c r="E146" s="7"/>
      <c r="F146" s="7">
        <v>45028</v>
      </c>
      <c r="G146" s="9">
        <v>83000</v>
      </c>
      <c r="H146" s="9">
        <v>73451.320000000007</v>
      </c>
      <c r="I146" s="9">
        <v>9548.68</v>
      </c>
      <c r="J146" s="7">
        <v>45559</v>
      </c>
      <c r="K146" s="8" t="str">
        <f t="shared" si="7"/>
        <v/>
      </c>
      <c r="L146" s="8" t="str">
        <f t="shared" si="8"/>
        <v/>
      </c>
      <c r="M146" s="8">
        <f t="shared" si="6"/>
        <v>531</v>
      </c>
      <c r="N146" s="6" t="s">
        <v>26</v>
      </c>
    </row>
    <row r="147" spans="1:14" x14ac:dyDescent="0.2">
      <c r="A147" s="6" t="s">
        <v>177</v>
      </c>
      <c r="B147" s="6" t="s">
        <v>178</v>
      </c>
      <c r="C147" s="6" t="s">
        <v>20</v>
      </c>
      <c r="D147" s="7"/>
      <c r="E147" s="7"/>
      <c r="F147" s="7">
        <v>45028</v>
      </c>
      <c r="G147" s="9">
        <v>75000</v>
      </c>
      <c r="H147" s="9">
        <v>66371.679999999993</v>
      </c>
      <c r="I147" s="9">
        <v>8628.32</v>
      </c>
      <c r="J147" s="7">
        <v>45559</v>
      </c>
      <c r="K147" s="8" t="str">
        <f t="shared" si="7"/>
        <v/>
      </c>
      <c r="L147" s="8" t="str">
        <f t="shared" si="8"/>
        <v/>
      </c>
      <c r="M147" s="8">
        <f t="shared" si="6"/>
        <v>531</v>
      </c>
      <c r="N147" s="6" t="s">
        <v>26</v>
      </c>
    </row>
    <row r="148" spans="1:14" x14ac:dyDescent="0.2">
      <c r="A148" s="6" t="s">
        <v>36</v>
      </c>
      <c r="B148" s="6" t="s">
        <v>179</v>
      </c>
      <c r="C148" s="6" t="s">
        <v>20</v>
      </c>
      <c r="D148" s="7"/>
      <c r="E148" s="7"/>
      <c r="F148" s="7">
        <v>45028</v>
      </c>
      <c r="G148" s="9">
        <v>56016.36</v>
      </c>
      <c r="H148" s="9">
        <v>49572</v>
      </c>
      <c r="I148" s="9">
        <v>6444.36</v>
      </c>
      <c r="J148" s="7">
        <v>45315</v>
      </c>
      <c r="K148" s="8" t="str">
        <f t="shared" si="7"/>
        <v/>
      </c>
      <c r="L148" s="8" t="str">
        <f t="shared" si="8"/>
        <v/>
      </c>
      <c r="M148" s="8">
        <f t="shared" si="6"/>
        <v>287</v>
      </c>
      <c r="N148" s="6" t="s">
        <v>26</v>
      </c>
    </row>
    <row r="149" spans="1:14" x14ac:dyDescent="0.2">
      <c r="A149" s="6" t="s">
        <v>180</v>
      </c>
      <c r="B149" s="6" t="s">
        <v>181</v>
      </c>
      <c r="C149" s="6" t="s">
        <v>20</v>
      </c>
      <c r="D149" s="7">
        <v>44960</v>
      </c>
      <c r="E149" s="7">
        <v>44964</v>
      </c>
      <c r="F149" s="7">
        <v>45028</v>
      </c>
      <c r="G149" s="9">
        <v>3.85</v>
      </c>
      <c r="H149" s="9">
        <v>3.41</v>
      </c>
      <c r="I149" s="9">
        <v>0.44</v>
      </c>
      <c r="J149" s="7">
        <v>45560</v>
      </c>
      <c r="K149" s="8">
        <f t="shared" si="7"/>
        <v>4</v>
      </c>
      <c r="L149" s="8">
        <f t="shared" si="8"/>
        <v>64</v>
      </c>
      <c r="M149" s="8">
        <f t="shared" si="6"/>
        <v>532</v>
      </c>
      <c r="N149" s="6" t="s">
        <v>26</v>
      </c>
    </row>
    <row r="150" spans="1:14" x14ac:dyDescent="0.2">
      <c r="A150" s="6" t="s">
        <v>182</v>
      </c>
      <c r="B150" s="6" t="s">
        <v>183</v>
      </c>
      <c r="C150" s="6" t="s">
        <v>20</v>
      </c>
      <c r="D150" s="7"/>
      <c r="E150" s="7"/>
      <c r="F150" s="7">
        <v>45028</v>
      </c>
      <c r="G150" s="9">
        <v>420000</v>
      </c>
      <c r="H150" s="9">
        <v>371681.42</v>
      </c>
      <c r="I150" s="9">
        <v>48318.58</v>
      </c>
      <c r="J150" s="7">
        <v>45436</v>
      </c>
      <c r="K150" s="8" t="str">
        <f t="shared" si="7"/>
        <v/>
      </c>
      <c r="L150" s="8" t="str">
        <f t="shared" si="8"/>
        <v/>
      </c>
      <c r="M150" s="8">
        <f t="shared" si="6"/>
        <v>408</v>
      </c>
      <c r="N150" s="6" t="s">
        <v>26</v>
      </c>
    </row>
    <row r="151" spans="1:14" x14ac:dyDescent="0.2">
      <c r="A151" s="6" t="s">
        <v>182</v>
      </c>
      <c r="B151" s="6" t="s">
        <v>183</v>
      </c>
      <c r="C151" s="6" t="s">
        <v>20</v>
      </c>
      <c r="D151" s="7"/>
      <c r="E151" s="7"/>
      <c r="F151" s="7">
        <v>45028</v>
      </c>
      <c r="G151" s="9">
        <v>420000</v>
      </c>
      <c r="H151" s="9">
        <v>371681.42</v>
      </c>
      <c r="I151" s="9">
        <v>48318.58</v>
      </c>
      <c r="J151" s="7">
        <v>45436</v>
      </c>
      <c r="K151" s="8" t="str">
        <f t="shared" si="7"/>
        <v/>
      </c>
      <c r="L151" s="8" t="str">
        <f t="shared" si="8"/>
        <v/>
      </c>
      <c r="M151" s="8">
        <f t="shared" si="6"/>
        <v>408</v>
      </c>
      <c r="N151" s="6" t="s">
        <v>26</v>
      </c>
    </row>
    <row r="152" spans="1:14" x14ac:dyDescent="0.2">
      <c r="A152" s="6" t="s">
        <v>182</v>
      </c>
      <c r="B152" s="6" t="s">
        <v>183</v>
      </c>
      <c r="C152" s="6" t="s">
        <v>20</v>
      </c>
      <c r="D152" s="7"/>
      <c r="E152" s="7"/>
      <c r="F152" s="7">
        <v>45028</v>
      </c>
      <c r="G152" s="9">
        <v>420000</v>
      </c>
      <c r="H152" s="9">
        <v>371681.42</v>
      </c>
      <c r="I152" s="9">
        <v>48318.58</v>
      </c>
      <c r="J152" s="7">
        <v>45436</v>
      </c>
      <c r="K152" s="8" t="str">
        <f t="shared" si="7"/>
        <v/>
      </c>
      <c r="L152" s="8" t="str">
        <f t="shared" si="8"/>
        <v/>
      </c>
      <c r="M152" s="8">
        <f t="shared" si="6"/>
        <v>408</v>
      </c>
      <c r="N152" s="6" t="s">
        <v>26</v>
      </c>
    </row>
    <row r="153" spans="1:14" x14ac:dyDescent="0.2">
      <c r="A153" s="6" t="s">
        <v>182</v>
      </c>
      <c r="B153" s="6" t="s">
        <v>183</v>
      </c>
      <c r="C153" s="6" t="s">
        <v>20</v>
      </c>
      <c r="D153" s="7"/>
      <c r="E153" s="7"/>
      <c r="F153" s="7">
        <v>45028</v>
      </c>
      <c r="G153" s="9">
        <v>420000</v>
      </c>
      <c r="H153" s="9">
        <v>371681.42</v>
      </c>
      <c r="I153" s="9">
        <v>48318.58</v>
      </c>
      <c r="J153" s="7">
        <v>45436</v>
      </c>
      <c r="K153" s="8" t="str">
        <f t="shared" si="7"/>
        <v/>
      </c>
      <c r="L153" s="8" t="str">
        <f t="shared" si="8"/>
        <v/>
      </c>
      <c r="M153" s="8">
        <f t="shared" si="6"/>
        <v>408</v>
      </c>
      <c r="N153" s="6" t="s">
        <v>26</v>
      </c>
    </row>
    <row r="154" spans="1:14" x14ac:dyDescent="0.2">
      <c r="A154" s="6" t="s">
        <v>184</v>
      </c>
      <c r="B154" s="6" t="s">
        <v>185</v>
      </c>
      <c r="C154" s="6" t="s">
        <v>20</v>
      </c>
      <c r="D154" s="7">
        <v>44718</v>
      </c>
      <c r="E154" s="7">
        <v>44720</v>
      </c>
      <c r="F154" s="7">
        <v>45028</v>
      </c>
      <c r="G154" s="9">
        <v>30000</v>
      </c>
      <c r="H154" s="9">
        <v>26548.67</v>
      </c>
      <c r="I154" s="9">
        <v>3451.33</v>
      </c>
      <c r="J154" s="7">
        <v>45554</v>
      </c>
      <c r="K154" s="8">
        <f t="shared" si="7"/>
        <v>2</v>
      </c>
      <c r="L154" s="8">
        <f t="shared" si="8"/>
        <v>308</v>
      </c>
      <c r="M154" s="8">
        <f t="shared" si="6"/>
        <v>526</v>
      </c>
      <c r="N154" s="6" t="s">
        <v>26</v>
      </c>
    </row>
    <row r="155" spans="1:14" x14ac:dyDescent="0.2">
      <c r="A155" s="6" t="s">
        <v>184</v>
      </c>
      <c r="B155" s="6" t="s">
        <v>185</v>
      </c>
      <c r="C155" s="6" t="s">
        <v>20</v>
      </c>
      <c r="D155" s="7"/>
      <c r="E155" s="7"/>
      <c r="F155" s="7">
        <v>45028</v>
      </c>
      <c r="G155" s="9">
        <v>20000.009999999998</v>
      </c>
      <c r="H155" s="9">
        <v>17699.12</v>
      </c>
      <c r="I155" s="9">
        <v>2300.89</v>
      </c>
      <c r="J155" s="7">
        <v>45554</v>
      </c>
      <c r="K155" s="8" t="str">
        <f t="shared" si="7"/>
        <v/>
      </c>
      <c r="L155" s="8" t="str">
        <f t="shared" si="8"/>
        <v/>
      </c>
      <c r="M155" s="8">
        <f t="shared" si="6"/>
        <v>526</v>
      </c>
      <c r="N155" s="6" t="s">
        <v>26</v>
      </c>
    </row>
    <row r="156" spans="1:14" x14ac:dyDescent="0.2">
      <c r="A156" s="6" t="s">
        <v>184</v>
      </c>
      <c r="B156" s="6" t="s">
        <v>186</v>
      </c>
      <c r="C156" s="6" t="s">
        <v>20</v>
      </c>
      <c r="D156" s="7"/>
      <c r="E156" s="7"/>
      <c r="F156" s="7">
        <v>45028</v>
      </c>
      <c r="G156" s="9">
        <v>20000.009999999998</v>
      </c>
      <c r="H156" s="9">
        <v>17699.12</v>
      </c>
      <c r="I156" s="9">
        <v>2300.89</v>
      </c>
      <c r="J156" s="7">
        <v>45554</v>
      </c>
      <c r="K156" s="8" t="str">
        <f t="shared" si="7"/>
        <v/>
      </c>
      <c r="L156" s="8" t="str">
        <f t="shared" si="8"/>
        <v/>
      </c>
      <c r="M156" s="8">
        <f t="shared" si="6"/>
        <v>526</v>
      </c>
      <c r="N156" s="6" t="s">
        <v>26</v>
      </c>
    </row>
    <row r="157" spans="1:14" x14ac:dyDescent="0.2">
      <c r="A157" s="6" t="s">
        <v>187</v>
      </c>
      <c r="B157" s="6" t="s">
        <v>188</v>
      </c>
      <c r="C157" s="6" t="s">
        <v>20</v>
      </c>
      <c r="D157" s="7">
        <v>44969</v>
      </c>
      <c r="E157" s="7">
        <v>44971</v>
      </c>
      <c r="F157" s="7">
        <v>45028</v>
      </c>
      <c r="G157" s="9">
        <v>88000</v>
      </c>
      <c r="H157" s="9">
        <v>77876.11</v>
      </c>
      <c r="I157" s="9">
        <v>10123.89</v>
      </c>
      <c r="J157" s="7">
        <v>45433</v>
      </c>
      <c r="K157" s="8">
        <f t="shared" si="7"/>
        <v>2</v>
      </c>
      <c r="L157" s="8">
        <f t="shared" si="8"/>
        <v>57</v>
      </c>
      <c r="M157" s="8">
        <f t="shared" si="6"/>
        <v>405</v>
      </c>
      <c r="N157" s="6" t="s">
        <v>26</v>
      </c>
    </row>
    <row r="158" spans="1:14" x14ac:dyDescent="0.2">
      <c r="A158" s="6" t="s">
        <v>189</v>
      </c>
      <c r="B158" s="6" t="s">
        <v>190</v>
      </c>
      <c r="C158" s="6" t="s">
        <v>33</v>
      </c>
      <c r="D158" s="7">
        <v>44963</v>
      </c>
      <c r="E158" s="7"/>
      <c r="F158" s="7">
        <v>45029</v>
      </c>
      <c r="G158" s="9">
        <v>4928</v>
      </c>
      <c r="H158" s="9">
        <v>4361.0600000000004</v>
      </c>
      <c r="I158" s="9">
        <v>566.94000000000005</v>
      </c>
      <c r="J158" s="7">
        <v>45925</v>
      </c>
      <c r="K158" s="8">
        <f t="shared" si="7"/>
        <v>-44963</v>
      </c>
      <c r="L158" s="8">
        <f t="shared" si="8"/>
        <v>45029</v>
      </c>
      <c r="M158" s="8">
        <f t="shared" si="6"/>
        <v>896</v>
      </c>
      <c r="N158" s="6" t="s">
        <v>26</v>
      </c>
    </row>
    <row r="159" spans="1:14" x14ac:dyDescent="0.2">
      <c r="A159" s="6" t="s">
        <v>189</v>
      </c>
      <c r="B159" s="6" t="s">
        <v>190</v>
      </c>
      <c r="C159" s="6" t="s">
        <v>33</v>
      </c>
      <c r="D159" s="7"/>
      <c r="E159" s="7"/>
      <c r="F159" s="7">
        <v>45029</v>
      </c>
      <c r="G159" s="9">
        <v>11731.25</v>
      </c>
      <c r="H159" s="9">
        <v>4361.0600000000004</v>
      </c>
      <c r="I159" s="9">
        <v>7370.19</v>
      </c>
      <c r="J159" s="7">
        <v>45925</v>
      </c>
      <c r="K159" s="8" t="str">
        <f t="shared" si="7"/>
        <v/>
      </c>
      <c r="L159" s="8" t="str">
        <f t="shared" si="8"/>
        <v/>
      </c>
      <c r="M159" s="8">
        <f t="shared" si="6"/>
        <v>896</v>
      </c>
      <c r="N159" s="6" t="s">
        <v>26</v>
      </c>
    </row>
    <row r="160" spans="1:14" x14ac:dyDescent="0.2">
      <c r="A160" s="6" t="s">
        <v>189</v>
      </c>
      <c r="B160" s="6" t="s">
        <v>190</v>
      </c>
      <c r="C160" s="6" t="s">
        <v>33</v>
      </c>
      <c r="D160" s="7"/>
      <c r="E160" s="7"/>
      <c r="F160" s="7">
        <v>45029</v>
      </c>
      <c r="G160" s="9">
        <v>79506</v>
      </c>
      <c r="H160" s="9">
        <v>70359.289999999994</v>
      </c>
      <c r="I160" s="9">
        <v>9146.7099999999991</v>
      </c>
      <c r="J160" s="7">
        <v>45925</v>
      </c>
      <c r="K160" s="8" t="str">
        <f t="shared" si="7"/>
        <v/>
      </c>
      <c r="L160" s="8" t="str">
        <f t="shared" si="8"/>
        <v/>
      </c>
      <c r="M160" s="8">
        <f t="shared" si="6"/>
        <v>896</v>
      </c>
      <c r="N160" s="6" t="s">
        <v>26</v>
      </c>
    </row>
    <row r="161" spans="1:14" x14ac:dyDescent="0.2">
      <c r="A161" s="6" t="s">
        <v>189</v>
      </c>
      <c r="B161" s="6" t="s">
        <v>190</v>
      </c>
      <c r="C161" s="6" t="s">
        <v>33</v>
      </c>
      <c r="D161" s="7"/>
      <c r="E161" s="7"/>
      <c r="F161" s="7">
        <v>45029</v>
      </c>
      <c r="G161" s="9">
        <v>502</v>
      </c>
      <c r="H161" s="9">
        <v>444.25</v>
      </c>
      <c r="I161" s="9">
        <v>57.75</v>
      </c>
      <c r="J161" s="7">
        <v>45925</v>
      </c>
      <c r="K161" s="8" t="str">
        <f t="shared" si="7"/>
        <v/>
      </c>
      <c r="L161" s="8" t="str">
        <f t="shared" si="8"/>
        <v/>
      </c>
      <c r="M161" s="8">
        <f t="shared" si="6"/>
        <v>896</v>
      </c>
      <c r="N161" s="6" t="s">
        <v>26</v>
      </c>
    </row>
    <row r="162" spans="1:14" x14ac:dyDescent="0.2">
      <c r="A162" s="6" t="s">
        <v>189</v>
      </c>
      <c r="B162" s="6" t="s">
        <v>190</v>
      </c>
      <c r="C162" s="6" t="s">
        <v>33</v>
      </c>
      <c r="D162" s="7"/>
      <c r="E162" s="7"/>
      <c r="F162" s="7">
        <v>45029</v>
      </c>
      <c r="G162" s="9">
        <v>1625</v>
      </c>
      <c r="H162" s="9">
        <v>1438.05</v>
      </c>
      <c r="I162" s="9">
        <v>186.95</v>
      </c>
      <c r="J162" s="7">
        <v>45925</v>
      </c>
      <c r="K162" s="8" t="str">
        <f t="shared" si="7"/>
        <v/>
      </c>
      <c r="L162" s="8" t="str">
        <f t="shared" si="8"/>
        <v/>
      </c>
      <c r="M162" s="8">
        <f t="shared" si="6"/>
        <v>896</v>
      </c>
      <c r="N162" s="6" t="s">
        <v>26</v>
      </c>
    </row>
    <row r="163" spans="1:14" x14ac:dyDescent="0.2">
      <c r="A163" s="6" t="s">
        <v>189</v>
      </c>
      <c r="B163" s="6" t="s">
        <v>190</v>
      </c>
      <c r="C163" s="6" t="s">
        <v>33</v>
      </c>
      <c r="D163" s="7"/>
      <c r="E163" s="7"/>
      <c r="F163" s="7">
        <v>45029</v>
      </c>
      <c r="G163" s="9">
        <v>1625</v>
      </c>
      <c r="H163" s="9">
        <v>1438.05</v>
      </c>
      <c r="I163" s="9">
        <v>186.95</v>
      </c>
      <c r="J163" s="7">
        <v>45925</v>
      </c>
      <c r="K163" s="8" t="str">
        <f t="shared" si="7"/>
        <v/>
      </c>
      <c r="L163" s="8" t="str">
        <f t="shared" si="8"/>
        <v/>
      </c>
      <c r="M163" s="8">
        <f t="shared" si="6"/>
        <v>896</v>
      </c>
      <c r="N163" s="6" t="s">
        <v>26</v>
      </c>
    </row>
    <row r="164" spans="1:14" x14ac:dyDescent="0.2">
      <c r="A164" s="6" t="s">
        <v>191</v>
      </c>
      <c r="B164" s="6" t="s">
        <v>192</v>
      </c>
      <c r="C164" s="6" t="s">
        <v>20</v>
      </c>
      <c r="D164" s="7">
        <v>44999</v>
      </c>
      <c r="E164" s="7">
        <v>45009</v>
      </c>
      <c r="F164" s="7">
        <v>45029</v>
      </c>
      <c r="G164" s="9">
        <v>2700</v>
      </c>
      <c r="H164" s="9">
        <v>2389.38</v>
      </c>
      <c r="I164" s="9">
        <v>310.62</v>
      </c>
      <c r="J164" s="7">
        <v>45404</v>
      </c>
      <c r="K164" s="8">
        <f t="shared" si="7"/>
        <v>10</v>
      </c>
      <c r="L164" s="8">
        <f t="shared" si="8"/>
        <v>20</v>
      </c>
      <c r="M164" s="8">
        <f t="shared" si="6"/>
        <v>375</v>
      </c>
      <c r="N164" s="6" t="s">
        <v>26</v>
      </c>
    </row>
    <row r="165" spans="1:14" x14ac:dyDescent="0.2">
      <c r="A165" s="6" t="s">
        <v>193</v>
      </c>
      <c r="B165" s="6" t="s">
        <v>194</v>
      </c>
      <c r="C165" s="6" t="s">
        <v>20</v>
      </c>
      <c r="D165" s="7">
        <v>44801</v>
      </c>
      <c r="E165" s="7">
        <v>44819</v>
      </c>
      <c r="F165" s="7">
        <v>45029</v>
      </c>
      <c r="G165" s="9">
        <v>75000</v>
      </c>
      <c r="H165" s="9">
        <v>66371.69</v>
      </c>
      <c r="I165" s="9">
        <v>8628.31</v>
      </c>
      <c r="J165" s="7">
        <v>45941</v>
      </c>
      <c r="K165" s="8">
        <f t="shared" si="7"/>
        <v>18</v>
      </c>
      <c r="L165" s="8">
        <f t="shared" si="8"/>
        <v>210</v>
      </c>
      <c r="M165" s="8">
        <f t="shared" si="6"/>
        <v>912</v>
      </c>
      <c r="N165" s="6" t="s">
        <v>26</v>
      </c>
    </row>
    <row r="166" spans="1:14" x14ac:dyDescent="0.2">
      <c r="A166" s="6" t="s">
        <v>193</v>
      </c>
      <c r="B166" s="6" t="s">
        <v>195</v>
      </c>
      <c r="C166" s="6" t="s">
        <v>20</v>
      </c>
      <c r="D166" s="7">
        <v>44724</v>
      </c>
      <c r="E166" s="7">
        <v>44740</v>
      </c>
      <c r="F166" s="7">
        <v>45029</v>
      </c>
      <c r="G166" s="9">
        <v>3.8</v>
      </c>
      <c r="H166" s="9">
        <v>3.36</v>
      </c>
      <c r="I166" s="9">
        <v>0.44</v>
      </c>
      <c r="J166" s="7">
        <v>45941</v>
      </c>
      <c r="K166" s="8">
        <f t="shared" si="7"/>
        <v>16</v>
      </c>
      <c r="L166" s="8">
        <f t="shared" si="8"/>
        <v>289</v>
      </c>
      <c r="M166" s="8">
        <f t="shared" si="6"/>
        <v>912</v>
      </c>
      <c r="N166" s="6" t="s">
        <v>26</v>
      </c>
    </row>
    <row r="167" spans="1:14" x14ac:dyDescent="0.2">
      <c r="A167" s="6" t="s">
        <v>193</v>
      </c>
      <c r="B167" s="6" t="s">
        <v>195</v>
      </c>
      <c r="C167" s="6" t="s">
        <v>20</v>
      </c>
      <c r="D167" s="7"/>
      <c r="E167" s="7"/>
      <c r="F167" s="7">
        <v>45029</v>
      </c>
      <c r="G167" s="9">
        <v>89000</v>
      </c>
      <c r="H167" s="9">
        <v>78761.06</v>
      </c>
      <c r="I167" s="9">
        <v>10238.94</v>
      </c>
      <c r="J167" s="7">
        <v>45941</v>
      </c>
      <c r="K167" s="8" t="str">
        <f t="shared" si="7"/>
        <v/>
      </c>
      <c r="L167" s="8" t="str">
        <f t="shared" si="8"/>
        <v/>
      </c>
      <c r="M167" s="8">
        <f t="shared" si="6"/>
        <v>912</v>
      </c>
      <c r="N167" s="6" t="s">
        <v>26</v>
      </c>
    </row>
    <row r="168" spans="1:14" x14ac:dyDescent="0.2">
      <c r="A168" s="6" t="s">
        <v>196</v>
      </c>
      <c r="B168" s="6" t="s">
        <v>197</v>
      </c>
      <c r="C168" s="6" t="s">
        <v>20</v>
      </c>
      <c r="D168" s="7">
        <v>45013</v>
      </c>
      <c r="E168" s="7">
        <v>45019</v>
      </c>
      <c r="F168" s="7">
        <v>45030</v>
      </c>
      <c r="G168" s="9">
        <v>130</v>
      </c>
      <c r="H168" s="9">
        <v>115.04</v>
      </c>
      <c r="I168" s="9">
        <v>14.96</v>
      </c>
      <c r="J168" s="7"/>
      <c r="K168" s="8">
        <f t="shared" si="7"/>
        <v>6</v>
      </c>
      <c r="L168" s="8">
        <f t="shared" si="8"/>
        <v>11</v>
      </c>
      <c r="M168" s="8" t="str">
        <f t="shared" si="6"/>
        <v/>
      </c>
      <c r="N168" s="6" t="s">
        <v>21</v>
      </c>
    </row>
    <row r="169" spans="1:14" x14ac:dyDescent="0.2">
      <c r="A169" s="6" t="s">
        <v>196</v>
      </c>
      <c r="B169" s="6" t="s">
        <v>198</v>
      </c>
      <c r="C169" s="6" t="s">
        <v>20</v>
      </c>
      <c r="D169" s="7">
        <v>45014</v>
      </c>
      <c r="E169" s="7">
        <v>45017</v>
      </c>
      <c r="F169" s="7">
        <v>45030</v>
      </c>
      <c r="G169" s="9">
        <v>40000</v>
      </c>
      <c r="H169" s="9">
        <v>37735.85</v>
      </c>
      <c r="I169" s="9">
        <v>2264.15</v>
      </c>
      <c r="J169" s="7"/>
      <c r="K169" s="8">
        <f t="shared" si="7"/>
        <v>3</v>
      </c>
      <c r="L169" s="8">
        <f t="shared" si="8"/>
        <v>13</v>
      </c>
      <c r="M169" s="8" t="str">
        <f t="shared" si="6"/>
        <v/>
      </c>
      <c r="N169" s="6" t="s">
        <v>21</v>
      </c>
    </row>
    <row r="170" spans="1:14" x14ac:dyDescent="0.2">
      <c r="A170" s="6" t="s">
        <v>196</v>
      </c>
      <c r="B170" s="6" t="s">
        <v>199</v>
      </c>
      <c r="C170" s="6" t="s">
        <v>20</v>
      </c>
      <c r="D170" s="7"/>
      <c r="E170" s="7"/>
      <c r="F170" s="7">
        <v>45030</v>
      </c>
      <c r="G170" s="9">
        <v>13800</v>
      </c>
      <c r="H170" s="9">
        <v>13018.87</v>
      </c>
      <c r="I170" s="9">
        <v>781.13</v>
      </c>
      <c r="J170" s="7"/>
      <c r="K170" s="8" t="str">
        <f t="shared" si="7"/>
        <v/>
      </c>
      <c r="L170" s="8" t="str">
        <f t="shared" si="8"/>
        <v/>
      </c>
      <c r="M170" s="8" t="str">
        <f t="shared" si="6"/>
        <v/>
      </c>
      <c r="N170" s="6" t="s">
        <v>21</v>
      </c>
    </row>
    <row r="171" spans="1:14" x14ac:dyDescent="0.2">
      <c r="A171" s="6" t="s">
        <v>196</v>
      </c>
      <c r="B171" s="6" t="s">
        <v>200</v>
      </c>
      <c r="C171" s="6" t="s">
        <v>20</v>
      </c>
      <c r="D171" s="7"/>
      <c r="E171" s="7"/>
      <c r="F171" s="7">
        <v>45030</v>
      </c>
      <c r="G171" s="9">
        <v>30000</v>
      </c>
      <c r="H171" s="9">
        <v>28301.89</v>
      </c>
      <c r="I171" s="9">
        <v>1698.11</v>
      </c>
      <c r="J171" s="7"/>
      <c r="K171" s="8" t="str">
        <f t="shared" si="7"/>
        <v/>
      </c>
      <c r="L171" s="8" t="str">
        <f t="shared" si="8"/>
        <v/>
      </c>
      <c r="M171" s="8" t="str">
        <f t="shared" si="6"/>
        <v/>
      </c>
      <c r="N171" s="6" t="s">
        <v>21</v>
      </c>
    </row>
    <row r="172" spans="1:14" x14ac:dyDescent="0.2">
      <c r="A172" s="6" t="s">
        <v>201</v>
      </c>
      <c r="B172" s="6" t="s">
        <v>202</v>
      </c>
      <c r="C172" s="6" t="s">
        <v>33</v>
      </c>
      <c r="D172" s="7"/>
      <c r="E172" s="7"/>
      <c r="F172" s="7">
        <v>45031</v>
      </c>
      <c r="G172" s="9">
        <v>198000</v>
      </c>
      <c r="H172" s="9">
        <v>175221.24</v>
      </c>
      <c r="I172" s="9">
        <v>22778.76</v>
      </c>
      <c r="J172" s="7">
        <v>45316</v>
      </c>
      <c r="K172" s="8" t="str">
        <f t="shared" si="7"/>
        <v/>
      </c>
      <c r="L172" s="8" t="str">
        <f t="shared" si="8"/>
        <v/>
      </c>
      <c r="M172" s="8">
        <f t="shared" si="6"/>
        <v>285</v>
      </c>
      <c r="N172" s="6" t="s">
        <v>26</v>
      </c>
    </row>
    <row r="173" spans="1:14" x14ac:dyDescent="0.2">
      <c r="A173" s="6" t="s">
        <v>201</v>
      </c>
      <c r="B173" s="6" t="s">
        <v>202</v>
      </c>
      <c r="C173" s="6" t="s">
        <v>33</v>
      </c>
      <c r="D173" s="7"/>
      <c r="E173" s="7"/>
      <c r="F173" s="7">
        <v>45031</v>
      </c>
      <c r="G173" s="9">
        <v>198000</v>
      </c>
      <c r="H173" s="9">
        <v>175221.24</v>
      </c>
      <c r="I173" s="9">
        <v>22778.76</v>
      </c>
      <c r="J173" s="7">
        <v>45316</v>
      </c>
      <c r="K173" s="8" t="str">
        <f t="shared" si="7"/>
        <v/>
      </c>
      <c r="L173" s="8" t="str">
        <f t="shared" si="8"/>
        <v/>
      </c>
      <c r="M173" s="8">
        <f t="shared" si="6"/>
        <v>285</v>
      </c>
      <c r="N173" s="6" t="s">
        <v>26</v>
      </c>
    </row>
    <row r="174" spans="1:14" x14ac:dyDescent="0.2">
      <c r="A174" s="6" t="s">
        <v>201</v>
      </c>
      <c r="B174" s="6" t="s">
        <v>202</v>
      </c>
      <c r="C174" s="6" t="s">
        <v>33</v>
      </c>
      <c r="D174" s="7"/>
      <c r="E174" s="7"/>
      <c r="F174" s="7">
        <v>45031</v>
      </c>
      <c r="G174" s="9">
        <v>100000</v>
      </c>
      <c r="H174" s="9">
        <v>88495.58</v>
      </c>
      <c r="I174" s="9">
        <v>11504.42</v>
      </c>
      <c r="J174" s="7">
        <v>45316</v>
      </c>
      <c r="K174" s="8" t="str">
        <f t="shared" si="7"/>
        <v/>
      </c>
      <c r="L174" s="8" t="str">
        <f t="shared" si="8"/>
        <v/>
      </c>
      <c r="M174" s="8">
        <f t="shared" si="6"/>
        <v>285</v>
      </c>
      <c r="N174" s="6" t="s">
        <v>26</v>
      </c>
    </row>
    <row r="175" spans="1:14" x14ac:dyDescent="0.2">
      <c r="A175" s="6" t="s">
        <v>201</v>
      </c>
      <c r="B175" s="6" t="s">
        <v>202</v>
      </c>
      <c r="C175" s="6" t="s">
        <v>33</v>
      </c>
      <c r="D175" s="7"/>
      <c r="E175" s="7"/>
      <c r="F175" s="7">
        <v>45031</v>
      </c>
      <c r="G175" s="9">
        <v>110000</v>
      </c>
      <c r="H175" s="9">
        <v>97345.14</v>
      </c>
      <c r="I175" s="9">
        <v>12654.86</v>
      </c>
      <c r="J175" s="7">
        <v>45316</v>
      </c>
      <c r="K175" s="8" t="str">
        <f t="shared" si="7"/>
        <v/>
      </c>
      <c r="L175" s="8" t="str">
        <f t="shared" si="8"/>
        <v/>
      </c>
      <c r="M175" s="8">
        <f t="shared" si="6"/>
        <v>285</v>
      </c>
      <c r="N175" s="6" t="s">
        <v>26</v>
      </c>
    </row>
    <row r="176" spans="1:14" x14ac:dyDescent="0.2">
      <c r="A176" s="6" t="s">
        <v>201</v>
      </c>
      <c r="B176" s="6" t="s">
        <v>202</v>
      </c>
      <c r="C176" s="6" t="s">
        <v>33</v>
      </c>
      <c r="D176" s="7"/>
      <c r="E176" s="7"/>
      <c r="F176" s="7">
        <v>45031</v>
      </c>
      <c r="G176" s="9">
        <v>90000</v>
      </c>
      <c r="H176" s="9">
        <v>79646.02</v>
      </c>
      <c r="I176" s="9">
        <v>10353.98</v>
      </c>
      <c r="J176" s="7">
        <v>45316</v>
      </c>
      <c r="K176" s="8" t="str">
        <f t="shared" si="7"/>
        <v/>
      </c>
      <c r="L176" s="8" t="str">
        <f t="shared" si="8"/>
        <v/>
      </c>
      <c r="M176" s="8">
        <f t="shared" si="6"/>
        <v>285</v>
      </c>
      <c r="N176" s="6" t="s">
        <v>26</v>
      </c>
    </row>
    <row r="177" spans="1:14" x14ac:dyDescent="0.2">
      <c r="A177" s="6" t="s">
        <v>201</v>
      </c>
      <c r="B177" s="6" t="s">
        <v>202</v>
      </c>
      <c r="C177" s="6" t="s">
        <v>33</v>
      </c>
      <c r="D177" s="7"/>
      <c r="E177" s="7"/>
      <c r="F177" s="7">
        <v>45031</v>
      </c>
      <c r="G177" s="9">
        <v>50000</v>
      </c>
      <c r="H177" s="9">
        <v>44247.79</v>
      </c>
      <c r="I177" s="9">
        <v>5752.21</v>
      </c>
      <c r="J177" s="7">
        <v>45316</v>
      </c>
      <c r="K177" s="8" t="str">
        <f t="shared" si="7"/>
        <v/>
      </c>
      <c r="L177" s="8" t="str">
        <f t="shared" si="8"/>
        <v/>
      </c>
      <c r="M177" s="8">
        <f t="shared" si="6"/>
        <v>285</v>
      </c>
      <c r="N177" s="6" t="s">
        <v>26</v>
      </c>
    </row>
    <row r="178" spans="1:14" x14ac:dyDescent="0.2">
      <c r="A178" s="6" t="s">
        <v>201</v>
      </c>
      <c r="B178" s="6" t="s">
        <v>203</v>
      </c>
      <c r="C178" s="6" t="s">
        <v>33</v>
      </c>
      <c r="D178" s="7">
        <v>44927</v>
      </c>
      <c r="E178" s="7">
        <v>44940</v>
      </c>
      <c r="F178" s="7">
        <v>45031</v>
      </c>
      <c r="G178" s="9">
        <v>110000</v>
      </c>
      <c r="H178" s="9">
        <v>97345.13</v>
      </c>
      <c r="I178" s="9">
        <v>12654.87</v>
      </c>
      <c r="J178" s="7">
        <v>45316</v>
      </c>
      <c r="K178" s="8">
        <f t="shared" si="7"/>
        <v>13</v>
      </c>
      <c r="L178" s="8">
        <f t="shared" si="8"/>
        <v>91</v>
      </c>
      <c r="M178" s="8">
        <f t="shared" si="6"/>
        <v>285</v>
      </c>
      <c r="N178" s="6" t="s">
        <v>26</v>
      </c>
    </row>
    <row r="179" spans="1:14" x14ac:dyDescent="0.2">
      <c r="A179" s="6" t="s">
        <v>201</v>
      </c>
      <c r="B179" s="6" t="s">
        <v>203</v>
      </c>
      <c r="C179" s="6" t="s">
        <v>33</v>
      </c>
      <c r="D179" s="7"/>
      <c r="E179" s="7"/>
      <c r="F179" s="7">
        <v>45031</v>
      </c>
      <c r="G179" s="9">
        <v>75000</v>
      </c>
      <c r="H179" s="9">
        <v>66371.679999999993</v>
      </c>
      <c r="I179" s="9">
        <v>8628.32</v>
      </c>
      <c r="J179" s="7">
        <v>45316</v>
      </c>
      <c r="K179" s="8" t="str">
        <f t="shared" si="7"/>
        <v/>
      </c>
      <c r="L179" s="8" t="str">
        <f t="shared" si="8"/>
        <v/>
      </c>
      <c r="M179" s="8">
        <f t="shared" si="6"/>
        <v>285</v>
      </c>
      <c r="N179" s="6" t="s">
        <v>26</v>
      </c>
    </row>
    <row r="180" spans="1:14" x14ac:dyDescent="0.2">
      <c r="A180" s="6" t="s">
        <v>204</v>
      </c>
      <c r="B180" s="6" t="s">
        <v>205</v>
      </c>
      <c r="C180" s="6" t="s">
        <v>20</v>
      </c>
      <c r="D180" s="7">
        <v>44760</v>
      </c>
      <c r="E180" s="7">
        <v>44768</v>
      </c>
      <c r="F180" s="7">
        <v>45034</v>
      </c>
      <c r="G180" s="9">
        <v>95000</v>
      </c>
      <c r="H180" s="9">
        <v>84070.79</v>
      </c>
      <c r="I180" s="9">
        <v>10929.21</v>
      </c>
      <c r="J180" s="7"/>
      <c r="K180" s="8">
        <f t="shared" si="7"/>
        <v>8</v>
      </c>
      <c r="L180" s="8">
        <f t="shared" si="8"/>
        <v>266</v>
      </c>
      <c r="M180" s="8" t="str">
        <f t="shared" si="6"/>
        <v/>
      </c>
      <c r="N180" s="6" t="s">
        <v>21</v>
      </c>
    </row>
    <row r="181" spans="1:14" x14ac:dyDescent="0.2">
      <c r="A181" s="6" t="s">
        <v>204</v>
      </c>
      <c r="B181" s="6" t="s">
        <v>205</v>
      </c>
      <c r="C181" s="6" t="s">
        <v>20</v>
      </c>
      <c r="D181" s="7"/>
      <c r="E181" s="7"/>
      <c r="F181" s="7">
        <v>45034</v>
      </c>
      <c r="G181" s="9">
        <v>95000</v>
      </c>
      <c r="H181" s="9">
        <v>84070.79</v>
      </c>
      <c r="I181" s="9">
        <v>10929.21</v>
      </c>
      <c r="J181" s="7"/>
      <c r="K181" s="8" t="str">
        <f t="shared" si="7"/>
        <v/>
      </c>
      <c r="L181" s="8" t="str">
        <f t="shared" si="8"/>
        <v/>
      </c>
      <c r="M181" s="8" t="str">
        <f t="shared" si="6"/>
        <v/>
      </c>
      <c r="N181" s="6" t="s">
        <v>21</v>
      </c>
    </row>
    <row r="182" spans="1:14" x14ac:dyDescent="0.2">
      <c r="A182" s="6" t="s">
        <v>206</v>
      </c>
      <c r="B182" s="6" t="s">
        <v>207</v>
      </c>
      <c r="C182" s="6" t="s">
        <v>20</v>
      </c>
      <c r="D182" s="7"/>
      <c r="E182" s="7"/>
      <c r="F182" s="7">
        <v>45034</v>
      </c>
      <c r="G182" s="9">
        <v>47946.91</v>
      </c>
      <c r="H182" s="9">
        <v>38053.1</v>
      </c>
      <c r="I182" s="9">
        <v>9893.81</v>
      </c>
      <c r="J182" s="7"/>
      <c r="K182" s="8" t="str">
        <f t="shared" si="7"/>
        <v/>
      </c>
      <c r="L182" s="8" t="str">
        <f t="shared" si="8"/>
        <v/>
      </c>
      <c r="M182" s="8" t="str">
        <f t="shared" si="6"/>
        <v/>
      </c>
      <c r="N182" s="6" t="s">
        <v>21</v>
      </c>
    </row>
    <row r="183" spans="1:14" x14ac:dyDescent="0.2">
      <c r="A183" s="6" t="s">
        <v>206</v>
      </c>
      <c r="B183" s="6" t="s">
        <v>207</v>
      </c>
      <c r="C183" s="6" t="s">
        <v>20</v>
      </c>
      <c r="D183" s="7"/>
      <c r="E183" s="7"/>
      <c r="F183" s="7">
        <v>45034</v>
      </c>
      <c r="G183" s="9">
        <v>43000</v>
      </c>
      <c r="H183" s="9">
        <v>38053.1</v>
      </c>
      <c r="I183" s="9">
        <v>4946.8999999999996</v>
      </c>
      <c r="J183" s="7"/>
      <c r="K183" s="8" t="str">
        <f t="shared" si="7"/>
        <v/>
      </c>
      <c r="L183" s="8" t="str">
        <f t="shared" si="8"/>
        <v/>
      </c>
      <c r="M183" s="8" t="str">
        <f t="shared" si="6"/>
        <v/>
      </c>
      <c r="N183" s="6" t="s">
        <v>21</v>
      </c>
    </row>
    <row r="184" spans="1:14" x14ac:dyDescent="0.2">
      <c r="A184" s="6" t="s">
        <v>208</v>
      </c>
      <c r="B184" s="6" t="s">
        <v>209</v>
      </c>
      <c r="C184" s="6" t="s">
        <v>20</v>
      </c>
      <c r="D184" s="7">
        <v>44850</v>
      </c>
      <c r="E184" s="7">
        <v>44852</v>
      </c>
      <c r="F184" s="7">
        <v>45034</v>
      </c>
      <c r="G184" s="9">
        <v>4</v>
      </c>
      <c r="H184" s="9">
        <v>3.54</v>
      </c>
      <c r="I184" s="9">
        <v>0.46</v>
      </c>
      <c r="J184" s="7">
        <v>45595</v>
      </c>
      <c r="K184" s="8">
        <f t="shared" si="7"/>
        <v>2</v>
      </c>
      <c r="L184" s="8">
        <f t="shared" si="8"/>
        <v>182</v>
      </c>
      <c r="M184" s="8">
        <f t="shared" si="6"/>
        <v>561</v>
      </c>
      <c r="N184" s="6" t="s">
        <v>26</v>
      </c>
    </row>
    <row r="185" spans="1:14" x14ac:dyDescent="0.2">
      <c r="A185" s="6" t="s">
        <v>208</v>
      </c>
      <c r="B185" s="6" t="s">
        <v>210</v>
      </c>
      <c r="C185" s="6" t="s">
        <v>20</v>
      </c>
      <c r="D185" s="7">
        <v>44900</v>
      </c>
      <c r="E185" s="7">
        <v>44911</v>
      </c>
      <c r="F185" s="7">
        <v>45034</v>
      </c>
      <c r="G185" s="9">
        <v>70000</v>
      </c>
      <c r="H185" s="9">
        <v>66037.740000000005</v>
      </c>
      <c r="I185" s="9">
        <v>3962.26</v>
      </c>
      <c r="J185" s="7">
        <v>45595</v>
      </c>
      <c r="K185" s="8">
        <f t="shared" si="7"/>
        <v>11</v>
      </c>
      <c r="L185" s="8">
        <f t="shared" si="8"/>
        <v>123</v>
      </c>
      <c r="M185" s="8">
        <f t="shared" si="6"/>
        <v>561</v>
      </c>
      <c r="N185" s="6" t="s">
        <v>26</v>
      </c>
    </row>
    <row r="186" spans="1:14" x14ac:dyDescent="0.2">
      <c r="A186" s="6" t="s">
        <v>211</v>
      </c>
      <c r="B186" s="6" t="s">
        <v>212</v>
      </c>
      <c r="C186" s="6" t="s">
        <v>20</v>
      </c>
      <c r="D186" s="7">
        <v>44988</v>
      </c>
      <c r="E186" s="7">
        <v>44988</v>
      </c>
      <c r="F186" s="7">
        <v>45034</v>
      </c>
      <c r="G186" s="9">
        <v>37699.11</v>
      </c>
      <c r="H186" s="9">
        <v>35398.230000000003</v>
      </c>
      <c r="I186" s="9">
        <v>2300.88</v>
      </c>
      <c r="J186" s="7">
        <v>45320</v>
      </c>
      <c r="K186" s="8">
        <f t="shared" si="7"/>
        <v>0</v>
      </c>
      <c r="L186" s="8">
        <f t="shared" si="8"/>
        <v>46</v>
      </c>
      <c r="M186" s="8">
        <f t="shared" si="6"/>
        <v>286</v>
      </c>
      <c r="N186" s="6" t="s">
        <v>26</v>
      </c>
    </row>
    <row r="187" spans="1:14" x14ac:dyDescent="0.2">
      <c r="A187" s="6" t="s">
        <v>213</v>
      </c>
      <c r="B187" s="6" t="s">
        <v>214</v>
      </c>
      <c r="C187" s="6" t="s">
        <v>20</v>
      </c>
      <c r="D187" s="7">
        <v>44969</v>
      </c>
      <c r="E187" s="7">
        <v>44972</v>
      </c>
      <c r="F187" s="7">
        <v>45034</v>
      </c>
      <c r="G187" s="9">
        <v>27000</v>
      </c>
      <c r="H187" s="9">
        <v>25471.7</v>
      </c>
      <c r="I187" s="9">
        <v>1528.3</v>
      </c>
      <c r="J187" s="7">
        <v>45471</v>
      </c>
      <c r="K187" s="8">
        <f t="shared" si="7"/>
        <v>3</v>
      </c>
      <c r="L187" s="8">
        <f t="shared" si="8"/>
        <v>62</v>
      </c>
      <c r="M187" s="8">
        <f t="shared" si="6"/>
        <v>437</v>
      </c>
      <c r="N187" s="6" t="s">
        <v>26</v>
      </c>
    </row>
    <row r="188" spans="1:14" x14ac:dyDescent="0.2">
      <c r="A188" s="6" t="s">
        <v>27</v>
      </c>
      <c r="B188" s="6" t="s">
        <v>215</v>
      </c>
      <c r="C188" s="6" t="s">
        <v>20</v>
      </c>
      <c r="D188" s="7">
        <v>45011</v>
      </c>
      <c r="E188" s="7">
        <v>45019</v>
      </c>
      <c r="F188" s="7">
        <v>45034</v>
      </c>
      <c r="G188" s="9">
        <v>40000</v>
      </c>
      <c r="H188" s="9">
        <v>35398.230000000003</v>
      </c>
      <c r="I188" s="9">
        <v>4601.7700000000004</v>
      </c>
      <c r="J188" s="7">
        <v>45322</v>
      </c>
      <c r="K188" s="8">
        <f t="shared" si="7"/>
        <v>8</v>
      </c>
      <c r="L188" s="8">
        <f t="shared" si="8"/>
        <v>15</v>
      </c>
      <c r="M188" s="8">
        <f t="shared" si="6"/>
        <v>288</v>
      </c>
      <c r="N188" s="6" t="s">
        <v>26</v>
      </c>
    </row>
    <row r="189" spans="1:14" x14ac:dyDescent="0.2">
      <c r="A189" s="6" t="s">
        <v>96</v>
      </c>
      <c r="B189" s="6" t="s">
        <v>216</v>
      </c>
      <c r="C189" s="6" t="s">
        <v>20</v>
      </c>
      <c r="D189" s="7">
        <v>45019</v>
      </c>
      <c r="E189" s="7">
        <v>45024</v>
      </c>
      <c r="F189" s="7">
        <v>45035</v>
      </c>
      <c r="G189" s="9">
        <v>55000</v>
      </c>
      <c r="H189" s="9">
        <v>48672.56</v>
      </c>
      <c r="I189" s="9">
        <v>6327.44</v>
      </c>
      <c r="J189" s="7">
        <v>45329</v>
      </c>
      <c r="K189" s="8">
        <f t="shared" si="7"/>
        <v>5</v>
      </c>
      <c r="L189" s="8">
        <f t="shared" si="8"/>
        <v>11</v>
      </c>
      <c r="M189" s="8">
        <f t="shared" si="6"/>
        <v>294</v>
      </c>
      <c r="N189" s="6" t="s">
        <v>26</v>
      </c>
    </row>
    <row r="190" spans="1:14" x14ac:dyDescent="0.2">
      <c r="A190" s="6" t="s">
        <v>217</v>
      </c>
      <c r="B190" s="6" t="s">
        <v>218</v>
      </c>
      <c r="C190" s="6" t="s">
        <v>20</v>
      </c>
      <c r="D190" s="7">
        <v>45009</v>
      </c>
      <c r="E190" s="7">
        <v>45015</v>
      </c>
      <c r="F190" s="7">
        <v>45035</v>
      </c>
      <c r="G190" s="9">
        <v>46330</v>
      </c>
      <c r="H190" s="9">
        <v>41000</v>
      </c>
      <c r="I190" s="9">
        <v>5330</v>
      </c>
      <c r="J190" s="7">
        <v>45483</v>
      </c>
      <c r="K190" s="8">
        <f t="shared" si="7"/>
        <v>6</v>
      </c>
      <c r="L190" s="8">
        <f t="shared" si="8"/>
        <v>20</v>
      </c>
      <c r="M190" s="8">
        <f t="shared" si="6"/>
        <v>448</v>
      </c>
      <c r="N190" s="6" t="s">
        <v>26</v>
      </c>
    </row>
    <row r="191" spans="1:14" x14ac:dyDescent="0.2">
      <c r="A191" s="6" t="s">
        <v>219</v>
      </c>
      <c r="B191" s="6" t="s">
        <v>220</v>
      </c>
      <c r="C191" s="6" t="s">
        <v>20</v>
      </c>
      <c r="D191" s="7">
        <v>45013</v>
      </c>
      <c r="E191" s="7">
        <v>45016</v>
      </c>
      <c r="F191" s="7">
        <v>45039</v>
      </c>
      <c r="G191" s="9">
        <v>70000</v>
      </c>
      <c r="H191" s="9">
        <v>66037.740000000005</v>
      </c>
      <c r="I191" s="9">
        <v>3962.26</v>
      </c>
      <c r="J191" s="7"/>
      <c r="K191" s="8">
        <f t="shared" si="7"/>
        <v>3</v>
      </c>
      <c r="L191" s="8">
        <f t="shared" si="8"/>
        <v>23</v>
      </c>
      <c r="M191" s="8" t="str">
        <f t="shared" si="6"/>
        <v/>
      </c>
      <c r="N191" s="6" t="s">
        <v>21</v>
      </c>
    </row>
    <row r="192" spans="1:14" x14ac:dyDescent="0.2">
      <c r="A192" s="6" t="s">
        <v>219</v>
      </c>
      <c r="B192" s="6" t="s">
        <v>220</v>
      </c>
      <c r="C192" s="6" t="s">
        <v>20</v>
      </c>
      <c r="D192" s="7"/>
      <c r="E192" s="7"/>
      <c r="F192" s="7">
        <v>45039</v>
      </c>
      <c r="G192" s="9">
        <v>80000</v>
      </c>
      <c r="H192" s="9">
        <v>75471.7</v>
      </c>
      <c r="I192" s="9">
        <v>4528.3</v>
      </c>
      <c r="J192" s="7"/>
      <c r="K192" s="8" t="str">
        <f t="shared" si="7"/>
        <v/>
      </c>
      <c r="L192" s="8" t="str">
        <f t="shared" si="8"/>
        <v/>
      </c>
      <c r="M192" s="8" t="str">
        <f t="shared" si="6"/>
        <v/>
      </c>
      <c r="N192" s="6" t="s">
        <v>21</v>
      </c>
    </row>
    <row r="193" spans="1:14" x14ac:dyDescent="0.2">
      <c r="A193" s="6" t="s">
        <v>221</v>
      </c>
      <c r="B193" s="6" t="s">
        <v>222</v>
      </c>
      <c r="C193" s="6" t="s">
        <v>20</v>
      </c>
      <c r="D193" s="7">
        <v>44953</v>
      </c>
      <c r="E193" s="7">
        <v>44958</v>
      </c>
      <c r="F193" s="7">
        <v>45040</v>
      </c>
      <c r="G193" s="9">
        <v>109500</v>
      </c>
      <c r="H193" s="9">
        <v>96902.66</v>
      </c>
      <c r="I193" s="9">
        <v>12597.34</v>
      </c>
      <c r="J193" s="7"/>
      <c r="K193" s="8">
        <f t="shared" si="7"/>
        <v>5</v>
      </c>
      <c r="L193" s="8">
        <f t="shared" si="8"/>
        <v>82</v>
      </c>
      <c r="M193" s="8" t="str">
        <f t="shared" si="6"/>
        <v/>
      </c>
      <c r="N193" s="6" t="s">
        <v>21</v>
      </c>
    </row>
    <row r="194" spans="1:14" x14ac:dyDescent="0.2">
      <c r="A194" s="6" t="s">
        <v>221</v>
      </c>
      <c r="B194" s="6" t="s">
        <v>222</v>
      </c>
      <c r="C194" s="6" t="s">
        <v>20</v>
      </c>
      <c r="D194" s="7"/>
      <c r="E194" s="7"/>
      <c r="F194" s="7">
        <v>45040</v>
      </c>
      <c r="G194" s="9">
        <v>232743.36</v>
      </c>
      <c r="H194" s="9">
        <v>221238.94</v>
      </c>
      <c r="I194" s="9">
        <v>11504.42</v>
      </c>
      <c r="J194" s="7"/>
      <c r="K194" s="8" t="str">
        <f t="shared" si="7"/>
        <v/>
      </c>
      <c r="L194" s="8" t="str">
        <f t="shared" si="8"/>
        <v/>
      </c>
      <c r="M194" s="8" t="str">
        <f t="shared" ref="M194:M257" si="9">IF(OR($F194="", $J194=""),"", $J194-$F194)</f>
        <v/>
      </c>
      <c r="N194" s="6" t="s">
        <v>21</v>
      </c>
    </row>
    <row r="195" spans="1:14" x14ac:dyDescent="0.2">
      <c r="A195" s="6" t="s">
        <v>221</v>
      </c>
      <c r="B195" s="6" t="s">
        <v>222</v>
      </c>
      <c r="C195" s="6" t="s">
        <v>20</v>
      </c>
      <c r="D195" s="7"/>
      <c r="E195" s="7"/>
      <c r="F195" s="7">
        <v>45040</v>
      </c>
      <c r="G195" s="9">
        <v>232743.36</v>
      </c>
      <c r="H195" s="9">
        <v>221238.94</v>
      </c>
      <c r="I195" s="9">
        <v>11504.42</v>
      </c>
      <c r="J195" s="7"/>
      <c r="K195" s="8" t="str">
        <f t="shared" ref="K195:K258" si="10">IF(OR($D195="", $F195=""),"", $E195-$D195)</f>
        <v/>
      </c>
      <c r="L195" s="8" t="str">
        <f t="shared" ref="L195:L258" si="11">IF(OR($D195="", $F195=""),"", $F195-$E195)</f>
        <v/>
      </c>
      <c r="M195" s="8" t="str">
        <f t="shared" si="9"/>
        <v/>
      </c>
      <c r="N195" s="6" t="s">
        <v>21</v>
      </c>
    </row>
    <row r="196" spans="1:14" x14ac:dyDescent="0.2">
      <c r="A196" s="6" t="s">
        <v>223</v>
      </c>
      <c r="B196" s="6" t="s">
        <v>224</v>
      </c>
      <c r="C196" s="6" t="s">
        <v>20</v>
      </c>
      <c r="D196" s="7">
        <v>44942</v>
      </c>
      <c r="E196" s="7">
        <v>44943</v>
      </c>
      <c r="F196" s="7">
        <v>45040</v>
      </c>
      <c r="G196" s="9">
        <v>799.99</v>
      </c>
      <c r="H196" s="9">
        <v>707.96</v>
      </c>
      <c r="I196" s="9">
        <v>92.03</v>
      </c>
      <c r="J196" s="7">
        <v>45313</v>
      </c>
      <c r="K196" s="8">
        <f t="shared" si="10"/>
        <v>1</v>
      </c>
      <c r="L196" s="8">
        <f t="shared" si="11"/>
        <v>97</v>
      </c>
      <c r="M196" s="8">
        <f t="shared" si="9"/>
        <v>273</v>
      </c>
      <c r="N196" s="6" t="s">
        <v>26</v>
      </c>
    </row>
    <row r="197" spans="1:14" x14ac:dyDescent="0.2">
      <c r="A197" s="6" t="s">
        <v>225</v>
      </c>
      <c r="B197" s="6" t="s">
        <v>226</v>
      </c>
      <c r="C197" s="6" t="s">
        <v>20</v>
      </c>
      <c r="D197" s="7">
        <v>44965</v>
      </c>
      <c r="E197" s="7">
        <v>44983</v>
      </c>
      <c r="F197" s="7">
        <v>45040</v>
      </c>
      <c r="G197" s="9">
        <v>97280</v>
      </c>
      <c r="H197" s="9">
        <v>86088.5</v>
      </c>
      <c r="I197" s="9">
        <v>11191.5</v>
      </c>
      <c r="J197" s="7">
        <v>45329</v>
      </c>
      <c r="K197" s="8">
        <f t="shared" si="10"/>
        <v>18</v>
      </c>
      <c r="L197" s="8">
        <f t="shared" si="11"/>
        <v>57</v>
      </c>
      <c r="M197" s="8">
        <f t="shared" si="9"/>
        <v>289</v>
      </c>
      <c r="N197" s="6" t="s">
        <v>26</v>
      </c>
    </row>
    <row r="198" spans="1:14" x14ac:dyDescent="0.2">
      <c r="A198" s="6" t="s">
        <v>225</v>
      </c>
      <c r="B198" s="6" t="s">
        <v>226</v>
      </c>
      <c r="C198" s="6" t="s">
        <v>20</v>
      </c>
      <c r="D198" s="7"/>
      <c r="E198" s="7"/>
      <c r="F198" s="7">
        <v>45040</v>
      </c>
      <c r="G198" s="9">
        <v>106000</v>
      </c>
      <c r="H198" s="9">
        <v>93805.31</v>
      </c>
      <c r="I198" s="9">
        <v>12194.69</v>
      </c>
      <c r="J198" s="7">
        <v>45329</v>
      </c>
      <c r="K198" s="8" t="str">
        <f t="shared" si="10"/>
        <v/>
      </c>
      <c r="L198" s="8" t="str">
        <f t="shared" si="11"/>
        <v/>
      </c>
      <c r="M198" s="8">
        <f t="shared" si="9"/>
        <v>289</v>
      </c>
      <c r="N198" s="6" t="s">
        <v>26</v>
      </c>
    </row>
    <row r="199" spans="1:14" x14ac:dyDescent="0.2">
      <c r="A199" s="6" t="s">
        <v>109</v>
      </c>
      <c r="B199" s="6" t="s">
        <v>227</v>
      </c>
      <c r="C199" s="6" t="s">
        <v>20</v>
      </c>
      <c r="D199" s="7"/>
      <c r="E199" s="7"/>
      <c r="F199" s="7">
        <v>45040</v>
      </c>
      <c r="G199" s="9">
        <v>107350</v>
      </c>
      <c r="H199" s="9">
        <v>95000</v>
      </c>
      <c r="I199" s="9">
        <v>12350</v>
      </c>
      <c r="J199" s="7">
        <v>45294</v>
      </c>
      <c r="K199" s="8" t="str">
        <f t="shared" si="10"/>
        <v/>
      </c>
      <c r="L199" s="8" t="str">
        <f t="shared" si="11"/>
        <v/>
      </c>
      <c r="M199" s="8">
        <f t="shared" si="9"/>
        <v>254</v>
      </c>
      <c r="N199" s="6" t="s">
        <v>26</v>
      </c>
    </row>
    <row r="200" spans="1:14" x14ac:dyDescent="0.2">
      <c r="A200" s="6" t="s">
        <v>228</v>
      </c>
      <c r="B200" s="6" t="s">
        <v>229</v>
      </c>
      <c r="C200" s="6" t="s">
        <v>20</v>
      </c>
      <c r="D200" s="7"/>
      <c r="E200" s="7"/>
      <c r="F200" s="7">
        <v>45043</v>
      </c>
      <c r="G200" s="9">
        <v>94600</v>
      </c>
      <c r="H200" s="9">
        <v>86788.99</v>
      </c>
      <c r="I200" s="9">
        <v>7811.01</v>
      </c>
      <c r="J200" s="7">
        <v>45329</v>
      </c>
      <c r="K200" s="8" t="str">
        <f t="shared" si="10"/>
        <v/>
      </c>
      <c r="L200" s="8" t="str">
        <f t="shared" si="11"/>
        <v/>
      </c>
      <c r="M200" s="8">
        <f t="shared" si="9"/>
        <v>286</v>
      </c>
      <c r="N200" s="6" t="s">
        <v>26</v>
      </c>
    </row>
    <row r="201" spans="1:14" x14ac:dyDescent="0.2">
      <c r="A201" s="6" t="s">
        <v>228</v>
      </c>
      <c r="B201" s="6" t="s">
        <v>229</v>
      </c>
      <c r="C201" s="6" t="s">
        <v>20</v>
      </c>
      <c r="D201" s="7"/>
      <c r="E201" s="7"/>
      <c r="F201" s="7">
        <v>45043</v>
      </c>
      <c r="G201" s="9">
        <v>112999.99</v>
      </c>
      <c r="H201" s="9">
        <v>103669.72</v>
      </c>
      <c r="I201" s="9">
        <v>9330.27</v>
      </c>
      <c r="J201" s="7">
        <v>45329</v>
      </c>
      <c r="K201" s="8" t="str">
        <f t="shared" si="10"/>
        <v/>
      </c>
      <c r="L201" s="8" t="str">
        <f t="shared" si="11"/>
        <v/>
      </c>
      <c r="M201" s="8">
        <f t="shared" si="9"/>
        <v>286</v>
      </c>
      <c r="N201" s="6" t="s">
        <v>26</v>
      </c>
    </row>
    <row r="202" spans="1:14" x14ac:dyDescent="0.2">
      <c r="A202" s="6" t="s">
        <v>228</v>
      </c>
      <c r="B202" s="6" t="s">
        <v>229</v>
      </c>
      <c r="C202" s="6" t="s">
        <v>20</v>
      </c>
      <c r="D202" s="7"/>
      <c r="E202" s="7"/>
      <c r="F202" s="7">
        <v>45043</v>
      </c>
      <c r="G202" s="9">
        <v>75000</v>
      </c>
      <c r="H202" s="9">
        <v>68807.34</v>
      </c>
      <c r="I202" s="9">
        <v>6192.66</v>
      </c>
      <c r="J202" s="7">
        <v>45329</v>
      </c>
      <c r="K202" s="8" t="str">
        <f t="shared" si="10"/>
        <v/>
      </c>
      <c r="L202" s="8" t="str">
        <f t="shared" si="11"/>
        <v/>
      </c>
      <c r="M202" s="8">
        <f t="shared" si="9"/>
        <v>286</v>
      </c>
      <c r="N202" s="6" t="s">
        <v>26</v>
      </c>
    </row>
    <row r="203" spans="1:14" x14ac:dyDescent="0.2">
      <c r="A203" s="6" t="s">
        <v>109</v>
      </c>
      <c r="B203" s="6" t="s">
        <v>230</v>
      </c>
      <c r="C203" s="6" t="s">
        <v>20</v>
      </c>
      <c r="D203" s="7">
        <v>45008</v>
      </c>
      <c r="E203" s="7">
        <v>45008</v>
      </c>
      <c r="F203" s="7">
        <v>45051</v>
      </c>
      <c r="G203" s="9">
        <v>10000</v>
      </c>
      <c r="H203" s="9">
        <v>9433.9599999999991</v>
      </c>
      <c r="I203" s="9">
        <v>566.04</v>
      </c>
      <c r="J203" s="7">
        <v>45294</v>
      </c>
      <c r="K203" s="8">
        <f t="shared" si="10"/>
        <v>0</v>
      </c>
      <c r="L203" s="8">
        <f t="shared" si="11"/>
        <v>43</v>
      </c>
      <c r="M203" s="8">
        <f t="shared" si="9"/>
        <v>243</v>
      </c>
      <c r="N203" s="6" t="s">
        <v>26</v>
      </c>
    </row>
    <row r="204" spans="1:14" x14ac:dyDescent="0.2">
      <c r="A204" s="6" t="s">
        <v>109</v>
      </c>
      <c r="B204" s="6" t="s">
        <v>231</v>
      </c>
      <c r="C204" s="6" t="s">
        <v>20</v>
      </c>
      <c r="D204" s="7"/>
      <c r="E204" s="7"/>
      <c r="F204" s="7">
        <v>45051</v>
      </c>
      <c r="G204" s="9">
        <v>44520</v>
      </c>
      <c r="H204" s="9">
        <v>42000</v>
      </c>
      <c r="I204" s="9">
        <v>2520</v>
      </c>
      <c r="J204" s="7">
        <v>45294</v>
      </c>
      <c r="K204" s="8" t="str">
        <f t="shared" si="10"/>
        <v/>
      </c>
      <c r="L204" s="8" t="str">
        <f t="shared" si="11"/>
        <v/>
      </c>
      <c r="M204" s="8">
        <f t="shared" si="9"/>
        <v>243</v>
      </c>
      <c r="N204" s="6" t="s">
        <v>26</v>
      </c>
    </row>
    <row r="205" spans="1:14" x14ac:dyDescent="0.2">
      <c r="A205" s="6" t="s">
        <v>232</v>
      </c>
      <c r="B205" s="6" t="s">
        <v>233</v>
      </c>
      <c r="C205" s="6" t="s">
        <v>20</v>
      </c>
      <c r="D205" s="7">
        <v>45043</v>
      </c>
      <c r="E205" s="7">
        <v>45047</v>
      </c>
      <c r="F205" s="7">
        <v>45054</v>
      </c>
      <c r="G205" s="9">
        <v>10000</v>
      </c>
      <c r="H205" s="9">
        <v>8849.56</v>
      </c>
      <c r="I205" s="9">
        <v>1150.44</v>
      </c>
      <c r="J205" s="7"/>
      <c r="K205" s="8">
        <f t="shared" si="10"/>
        <v>4</v>
      </c>
      <c r="L205" s="8">
        <f t="shared" si="11"/>
        <v>7</v>
      </c>
      <c r="M205" s="8" t="str">
        <f t="shared" si="9"/>
        <v/>
      </c>
      <c r="N205" s="6" t="s">
        <v>21</v>
      </c>
    </row>
    <row r="206" spans="1:14" x14ac:dyDescent="0.2">
      <c r="A206" s="6" t="s">
        <v>191</v>
      </c>
      <c r="B206" s="6" t="s">
        <v>192</v>
      </c>
      <c r="C206" s="6" t="s">
        <v>20</v>
      </c>
      <c r="D206" s="7">
        <v>44999</v>
      </c>
      <c r="E206" s="7">
        <v>45009</v>
      </c>
      <c r="F206" s="7">
        <v>45064</v>
      </c>
      <c r="G206" s="9">
        <v>70000</v>
      </c>
      <c r="H206" s="9">
        <v>61946.9</v>
      </c>
      <c r="I206" s="9">
        <v>8053.1</v>
      </c>
      <c r="J206" s="7">
        <v>45404</v>
      </c>
      <c r="K206" s="8">
        <f t="shared" si="10"/>
        <v>10</v>
      </c>
      <c r="L206" s="8">
        <f t="shared" si="11"/>
        <v>55</v>
      </c>
      <c r="M206" s="8">
        <f t="shared" si="9"/>
        <v>340</v>
      </c>
      <c r="N206" s="6" t="s">
        <v>26</v>
      </c>
    </row>
    <row r="207" spans="1:14" x14ac:dyDescent="0.2">
      <c r="A207" s="6" t="s">
        <v>187</v>
      </c>
      <c r="B207" s="6" t="s">
        <v>188</v>
      </c>
      <c r="C207" s="6" t="s">
        <v>20</v>
      </c>
      <c r="D207" s="7">
        <v>44971</v>
      </c>
      <c r="E207" s="7">
        <v>44996</v>
      </c>
      <c r="F207" s="7">
        <v>45056</v>
      </c>
      <c r="G207" s="9">
        <v>110000</v>
      </c>
      <c r="H207" s="9">
        <v>97345.15</v>
      </c>
      <c r="I207" s="9">
        <v>12654.85</v>
      </c>
      <c r="J207" s="7">
        <v>45433</v>
      </c>
      <c r="K207" s="8">
        <f t="shared" si="10"/>
        <v>25</v>
      </c>
      <c r="L207" s="8">
        <f t="shared" si="11"/>
        <v>60</v>
      </c>
      <c r="M207" s="8">
        <f t="shared" si="9"/>
        <v>377</v>
      </c>
      <c r="N207" s="6" t="s">
        <v>26</v>
      </c>
    </row>
    <row r="208" spans="1:14" x14ac:dyDescent="0.2">
      <c r="A208" s="6" t="s">
        <v>234</v>
      </c>
      <c r="B208" s="6" t="s">
        <v>235</v>
      </c>
      <c r="C208" s="6" t="s">
        <v>20</v>
      </c>
      <c r="D208" s="7">
        <v>45017</v>
      </c>
      <c r="E208" s="7">
        <v>45023</v>
      </c>
      <c r="F208" s="7">
        <v>45056</v>
      </c>
      <c r="G208" s="9">
        <v>35000</v>
      </c>
      <c r="H208" s="9">
        <v>33018.870000000003</v>
      </c>
      <c r="I208" s="9">
        <v>1981.13</v>
      </c>
      <c r="J208" s="7"/>
      <c r="K208" s="8">
        <f t="shared" si="10"/>
        <v>6</v>
      </c>
      <c r="L208" s="8">
        <f t="shared" si="11"/>
        <v>33</v>
      </c>
      <c r="M208" s="8" t="str">
        <f t="shared" si="9"/>
        <v/>
      </c>
      <c r="N208" s="6" t="s">
        <v>21</v>
      </c>
    </row>
    <row r="209" spans="1:14" x14ac:dyDescent="0.2">
      <c r="A209" s="6" t="s">
        <v>236</v>
      </c>
      <c r="B209" s="6" t="s">
        <v>237</v>
      </c>
      <c r="C209" s="6" t="s">
        <v>33</v>
      </c>
      <c r="D209" s="7"/>
      <c r="E209" s="7"/>
      <c r="F209" s="7">
        <v>45056</v>
      </c>
      <c r="G209" s="9">
        <v>7000</v>
      </c>
      <c r="H209" s="9">
        <v>6422.02</v>
      </c>
      <c r="I209" s="9">
        <v>577.98</v>
      </c>
      <c r="J209" s="7"/>
      <c r="K209" s="8" t="str">
        <f t="shared" si="10"/>
        <v/>
      </c>
      <c r="L209" s="8" t="str">
        <f t="shared" si="11"/>
        <v/>
      </c>
      <c r="M209" s="8" t="str">
        <f t="shared" si="9"/>
        <v/>
      </c>
      <c r="N209" s="6" t="s">
        <v>21</v>
      </c>
    </row>
    <row r="210" spans="1:14" x14ac:dyDescent="0.2">
      <c r="A210" s="6" t="s">
        <v>238</v>
      </c>
      <c r="B210" s="6" t="s">
        <v>239</v>
      </c>
      <c r="C210" s="6" t="s">
        <v>20</v>
      </c>
      <c r="D210" s="7">
        <v>44979</v>
      </c>
      <c r="E210" s="7">
        <v>44983</v>
      </c>
      <c r="F210" s="7">
        <v>45057</v>
      </c>
      <c r="G210" s="9">
        <v>30000</v>
      </c>
      <c r="H210" s="9">
        <v>26548.67</v>
      </c>
      <c r="I210" s="9">
        <v>3451.33</v>
      </c>
      <c r="J210" s="7">
        <v>45555</v>
      </c>
      <c r="K210" s="8">
        <f t="shared" si="10"/>
        <v>4</v>
      </c>
      <c r="L210" s="8">
        <f t="shared" si="11"/>
        <v>74</v>
      </c>
      <c r="M210" s="8">
        <f t="shared" si="9"/>
        <v>498</v>
      </c>
      <c r="N210" s="6" t="s">
        <v>26</v>
      </c>
    </row>
    <row r="211" spans="1:14" x14ac:dyDescent="0.2">
      <c r="A211" s="6" t="s">
        <v>240</v>
      </c>
      <c r="B211" s="6" t="s">
        <v>241</v>
      </c>
      <c r="C211" s="6" t="s">
        <v>20</v>
      </c>
      <c r="D211" s="7"/>
      <c r="E211" s="7"/>
      <c r="F211" s="7">
        <v>45057</v>
      </c>
      <c r="G211" s="9">
        <v>321640</v>
      </c>
      <c r="H211" s="9">
        <v>284637.17</v>
      </c>
      <c r="I211" s="9">
        <v>37002.83</v>
      </c>
      <c r="J211" s="7">
        <v>45561</v>
      </c>
      <c r="K211" s="8" t="str">
        <f t="shared" si="10"/>
        <v/>
      </c>
      <c r="L211" s="8" t="str">
        <f t="shared" si="11"/>
        <v/>
      </c>
      <c r="M211" s="8">
        <f t="shared" si="9"/>
        <v>504</v>
      </c>
      <c r="N211" s="6" t="s">
        <v>26</v>
      </c>
    </row>
    <row r="212" spans="1:14" x14ac:dyDescent="0.2">
      <c r="A212" s="6" t="s">
        <v>240</v>
      </c>
      <c r="B212" s="6" t="s">
        <v>241</v>
      </c>
      <c r="C212" s="6" t="s">
        <v>20</v>
      </c>
      <c r="D212" s="7"/>
      <c r="E212" s="7"/>
      <c r="F212" s="7">
        <v>45057</v>
      </c>
      <c r="G212" s="9">
        <v>296848.09999999998</v>
      </c>
      <c r="H212" s="9">
        <v>284637.17</v>
      </c>
      <c r="I212" s="9">
        <v>12210.93</v>
      </c>
      <c r="J212" s="7">
        <v>45561</v>
      </c>
      <c r="K212" s="8" t="str">
        <f t="shared" si="10"/>
        <v/>
      </c>
      <c r="L212" s="8" t="str">
        <f t="shared" si="11"/>
        <v/>
      </c>
      <c r="M212" s="8">
        <f t="shared" si="9"/>
        <v>504</v>
      </c>
      <c r="N212" s="6" t="s">
        <v>26</v>
      </c>
    </row>
    <row r="213" spans="1:14" x14ac:dyDescent="0.2">
      <c r="A213" s="6" t="s">
        <v>240</v>
      </c>
      <c r="B213" s="6" t="s">
        <v>241</v>
      </c>
      <c r="C213" s="6" t="s">
        <v>20</v>
      </c>
      <c r="D213" s="7"/>
      <c r="E213" s="7"/>
      <c r="F213" s="7">
        <v>45057</v>
      </c>
      <c r="G213" s="9">
        <v>296848.09999999998</v>
      </c>
      <c r="H213" s="9">
        <v>284637.17</v>
      </c>
      <c r="I213" s="9">
        <v>12210.93</v>
      </c>
      <c r="J213" s="7">
        <v>45561</v>
      </c>
      <c r="K213" s="8" t="str">
        <f t="shared" si="10"/>
        <v/>
      </c>
      <c r="L213" s="8" t="str">
        <f t="shared" si="11"/>
        <v/>
      </c>
      <c r="M213" s="8">
        <f t="shared" si="9"/>
        <v>504</v>
      </c>
      <c r="N213" s="6" t="s">
        <v>26</v>
      </c>
    </row>
    <row r="214" spans="1:14" x14ac:dyDescent="0.2">
      <c r="A214" s="6" t="s">
        <v>242</v>
      </c>
      <c r="B214" s="6" t="s">
        <v>243</v>
      </c>
      <c r="C214" s="6" t="s">
        <v>20</v>
      </c>
      <c r="D214" s="7"/>
      <c r="E214" s="7"/>
      <c r="F214" s="7">
        <v>45058</v>
      </c>
      <c r="G214" s="9">
        <v>397999.99</v>
      </c>
      <c r="H214" s="9">
        <v>365137.61</v>
      </c>
      <c r="I214" s="9">
        <v>32862.379999999997</v>
      </c>
      <c r="J214" s="7">
        <v>45609</v>
      </c>
      <c r="K214" s="8" t="str">
        <f t="shared" si="10"/>
        <v/>
      </c>
      <c r="L214" s="8" t="str">
        <f t="shared" si="11"/>
        <v/>
      </c>
      <c r="M214" s="8">
        <f t="shared" si="9"/>
        <v>551</v>
      </c>
      <c r="N214" s="6" t="s">
        <v>26</v>
      </c>
    </row>
    <row r="215" spans="1:14" x14ac:dyDescent="0.2">
      <c r="A215" s="6" t="s">
        <v>242</v>
      </c>
      <c r="B215" s="6" t="s">
        <v>243</v>
      </c>
      <c r="C215" s="6" t="s">
        <v>20</v>
      </c>
      <c r="D215" s="7"/>
      <c r="E215" s="7"/>
      <c r="F215" s="7">
        <v>45058</v>
      </c>
      <c r="G215" s="9">
        <v>397999.99</v>
      </c>
      <c r="H215" s="9">
        <v>365137.61</v>
      </c>
      <c r="I215" s="9">
        <v>32862.379999999997</v>
      </c>
      <c r="J215" s="7">
        <v>45609</v>
      </c>
      <c r="K215" s="8" t="str">
        <f t="shared" si="10"/>
        <v/>
      </c>
      <c r="L215" s="8" t="str">
        <f t="shared" si="11"/>
        <v/>
      </c>
      <c r="M215" s="8">
        <f t="shared" si="9"/>
        <v>551</v>
      </c>
      <c r="N215" s="6" t="s">
        <v>26</v>
      </c>
    </row>
    <row r="216" spans="1:14" x14ac:dyDescent="0.2">
      <c r="A216" s="6" t="s">
        <v>242</v>
      </c>
      <c r="B216" s="6" t="s">
        <v>243</v>
      </c>
      <c r="C216" s="6" t="s">
        <v>20</v>
      </c>
      <c r="D216" s="7"/>
      <c r="E216" s="7"/>
      <c r="F216" s="7">
        <v>45058</v>
      </c>
      <c r="G216" s="9">
        <v>397999.99</v>
      </c>
      <c r="H216" s="9">
        <v>365137.61</v>
      </c>
      <c r="I216" s="9">
        <v>32862.379999999997</v>
      </c>
      <c r="J216" s="7">
        <v>45609</v>
      </c>
      <c r="K216" s="8" t="str">
        <f t="shared" si="10"/>
        <v/>
      </c>
      <c r="L216" s="8" t="str">
        <f t="shared" si="11"/>
        <v/>
      </c>
      <c r="M216" s="8">
        <f t="shared" si="9"/>
        <v>551</v>
      </c>
      <c r="N216" s="6" t="s">
        <v>26</v>
      </c>
    </row>
    <row r="217" spans="1:14" x14ac:dyDescent="0.2">
      <c r="A217" s="6" t="s">
        <v>242</v>
      </c>
      <c r="B217" s="6" t="s">
        <v>243</v>
      </c>
      <c r="C217" s="6" t="s">
        <v>20</v>
      </c>
      <c r="D217" s="7"/>
      <c r="E217" s="7"/>
      <c r="F217" s="7">
        <v>45058</v>
      </c>
      <c r="G217" s="9">
        <v>397999.99</v>
      </c>
      <c r="H217" s="9">
        <v>365137.61</v>
      </c>
      <c r="I217" s="9">
        <v>32862.379999999997</v>
      </c>
      <c r="J217" s="7">
        <v>45609</v>
      </c>
      <c r="K217" s="8" t="str">
        <f t="shared" si="10"/>
        <v/>
      </c>
      <c r="L217" s="8" t="str">
        <f t="shared" si="11"/>
        <v/>
      </c>
      <c r="M217" s="8">
        <f t="shared" si="9"/>
        <v>551</v>
      </c>
      <c r="N217" s="6" t="s">
        <v>26</v>
      </c>
    </row>
    <row r="218" spans="1:14" x14ac:dyDescent="0.2">
      <c r="A218" s="6" t="s">
        <v>36</v>
      </c>
      <c r="B218" s="6" t="s">
        <v>244</v>
      </c>
      <c r="C218" s="6" t="s">
        <v>20</v>
      </c>
      <c r="D218" s="7"/>
      <c r="E218" s="7"/>
      <c r="F218" s="7">
        <v>45061</v>
      </c>
      <c r="G218" s="9">
        <v>49166.3</v>
      </c>
      <c r="H218" s="9">
        <v>43510</v>
      </c>
      <c r="I218" s="9">
        <v>5656.3</v>
      </c>
      <c r="J218" s="7">
        <v>45315</v>
      </c>
      <c r="K218" s="8" t="str">
        <f t="shared" si="10"/>
        <v/>
      </c>
      <c r="L218" s="8" t="str">
        <f t="shared" si="11"/>
        <v/>
      </c>
      <c r="M218" s="8">
        <f t="shared" si="9"/>
        <v>254</v>
      </c>
      <c r="N218" s="6" t="s">
        <v>26</v>
      </c>
    </row>
    <row r="219" spans="1:14" x14ac:dyDescent="0.2">
      <c r="A219" s="6" t="s">
        <v>245</v>
      </c>
      <c r="B219" s="6" t="s">
        <v>246</v>
      </c>
      <c r="C219" s="6" t="s">
        <v>20</v>
      </c>
      <c r="D219" s="7">
        <v>44970</v>
      </c>
      <c r="E219" s="7">
        <v>44977</v>
      </c>
      <c r="F219" s="7">
        <v>45061</v>
      </c>
      <c r="G219" s="9">
        <v>13000</v>
      </c>
      <c r="H219" s="9">
        <v>11504.42</v>
      </c>
      <c r="I219" s="9">
        <v>1495.58</v>
      </c>
      <c r="J219" s="7">
        <v>45854</v>
      </c>
      <c r="K219" s="8">
        <f t="shared" si="10"/>
        <v>7</v>
      </c>
      <c r="L219" s="8">
        <f t="shared" si="11"/>
        <v>84</v>
      </c>
      <c r="M219" s="8">
        <f t="shared" si="9"/>
        <v>793</v>
      </c>
      <c r="N219" s="6" t="s">
        <v>26</v>
      </c>
    </row>
    <row r="220" spans="1:14" x14ac:dyDescent="0.2">
      <c r="A220" s="6" t="s">
        <v>145</v>
      </c>
      <c r="B220" s="6" t="s">
        <v>247</v>
      </c>
      <c r="C220" s="6" t="s">
        <v>20</v>
      </c>
      <c r="D220" s="7"/>
      <c r="E220" s="7"/>
      <c r="F220" s="7">
        <v>45061</v>
      </c>
      <c r="G220" s="9">
        <v>70000</v>
      </c>
      <c r="H220" s="9">
        <v>61946.9</v>
      </c>
      <c r="I220" s="9">
        <v>8053.1</v>
      </c>
      <c r="J220" s="7">
        <v>45301</v>
      </c>
      <c r="K220" s="8" t="str">
        <f t="shared" si="10"/>
        <v/>
      </c>
      <c r="L220" s="8" t="str">
        <f t="shared" si="11"/>
        <v/>
      </c>
      <c r="M220" s="8">
        <f t="shared" si="9"/>
        <v>240</v>
      </c>
      <c r="N220" s="6" t="s">
        <v>26</v>
      </c>
    </row>
    <row r="221" spans="1:14" x14ac:dyDescent="0.2">
      <c r="A221" s="6" t="s">
        <v>145</v>
      </c>
      <c r="B221" s="6" t="s">
        <v>247</v>
      </c>
      <c r="C221" s="6" t="s">
        <v>20</v>
      </c>
      <c r="D221" s="7"/>
      <c r="E221" s="7"/>
      <c r="F221" s="7">
        <v>45061</v>
      </c>
      <c r="G221" s="9">
        <v>20000</v>
      </c>
      <c r="H221" s="9">
        <v>17699.12</v>
      </c>
      <c r="I221" s="9">
        <v>2300.88</v>
      </c>
      <c r="J221" s="7">
        <v>45301</v>
      </c>
      <c r="K221" s="8" t="str">
        <f t="shared" si="10"/>
        <v/>
      </c>
      <c r="L221" s="8" t="str">
        <f t="shared" si="11"/>
        <v/>
      </c>
      <c r="M221" s="8">
        <f t="shared" si="9"/>
        <v>240</v>
      </c>
      <c r="N221" s="6" t="s">
        <v>26</v>
      </c>
    </row>
    <row r="222" spans="1:14" x14ac:dyDescent="0.2">
      <c r="A222" s="6" t="s">
        <v>145</v>
      </c>
      <c r="B222" s="6" t="s">
        <v>146</v>
      </c>
      <c r="C222" s="6" t="s">
        <v>20</v>
      </c>
      <c r="D222" s="7"/>
      <c r="E222" s="7"/>
      <c r="F222" s="7">
        <v>45061</v>
      </c>
      <c r="G222" s="9">
        <v>69300</v>
      </c>
      <c r="H222" s="9">
        <v>61327.43</v>
      </c>
      <c r="I222" s="9">
        <v>7972.57</v>
      </c>
      <c r="J222" s="7">
        <v>45301</v>
      </c>
      <c r="K222" s="8" t="str">
        <f t="shared" si="10"/>
        <v/>
      </c>
      <c r="L222" s="8" t="str">
        <f t="shared" si="11"/>
        <v/>
      </c>
      <c r="M222" s="8">
        <f t="shared" si="9"/>
        <v>240</v>
      </c>
      <c r="N222" s="6" t="s">
        <v>26</v>
      </c>
    </row>
    <row r="223" spans="1:14" x14ac:dyDescent="0.2">
      <c r="A223" s="6" t="s">
        <v>248</v>
      </c>
      <c r="B223" s="6" t="s">
        <v>249</v>
      </c>
      <c r="C223" s="6" t="s">
        <v>33</v>
      </c>
      <c r="D223" s="7">
        <v>45009</v>
      </c>
      <c r="E223" s="7">
        <v>45013</v>
      </c>
      <c r="F223" s="7">
        <v>45061</v>
      </c>
      <c r="G223" s="9">
        <v>25800</v>
      </c>
      <c r="H223" s="9">
        <v>22831.86</v>
      </c>
      <c r="I223" s="9">
        <v>2968.14</v>
      </c>
      <c r="J223" s="7">
        <v>45317</v>
      </c>
      <c r="K223" s="8">
        <f t="shared" si="10"/>
        <v>4</v>
      </c>
      <c r="L223" s="8">
        <f t="shared" si="11"/>
        <v>48</v>
      </c>
      <c r="M223" s="8">
        <f t="shared" si="9"/>
        <v>256</v>
      </c>
      <c r="N223" s="6" t="s">
        <v>26</v>
      </c>
    </row>
    <row r="224" spans="1:14" x14ac:dyDescent="0.2">
      <c r="A224" s="6" t="s">
        <v>145</v>
      </c>
      <c r="B224" s="6" t="s">
        <v>250</v>
      </c>
      <c r="C224" s="6" t="s">
        <v>20</v>
      </c>
      <c r="D224" s="7">
        <v>44911</v>
      </c>
      <c r="E224" s="7"/>
      <c r="F224" s="7">
        <v>45063</v>
      </c>
      <c r="G224" s="9">
        <v>70000</v>
      </c>
      <c r="H224" s="9">
        <v>64220.18</v>
      </c>
      <c r="I224" s="9">
        <v>5779.82</v>
      </c>
      <c r="J224" s="7">
        <v>45301</v>
      </c>
      <c r="K224" s="8">
        <f t="shared" si="10"/>
        <v>-44911</v>
      </c>
      <c r="L224" s="8">
        <f t="shared" si="11"/>
        <v>45063</v>
      </c>
      <c r="M224" s="8">
        <f t="shared" si="9"/>
        <v>238</v>
      </c>
      <c r="N224" s="6" t="s">
        <v>26</v>
      </c>
    </row>
    <row r="225" spans="1:14" x14ac:dyDescent="0.2">
      <c r="A225" s="6" t="s">
        <v>251</v>
      </c>
      <c r="B225" s="6" t="s">
        <v>252</v>
      </c>
      <c r="C225" s="6" t="s">
        <v>20</v>
      </c>
      <c r="D225" s="7"/>
      <c r="E225" s="7"/>
      <c r="F225" s="7">
        <v>45063</v>
      </c>
      <c r="G225" s="9">
        <v>70000</v>
      </c>
      <c r="H225" s="9">
        <v>61946.9</v>
      </c>
      <c r="I225" s="9">
        <v>8053.1</v>
      </c>
      <c r="J225" s="7">
        <v>45877</v>
      </c>
      <c r="K225" s="8" t="str">
        <f t="shared" si="10"/>
        <v/>
      </c>
      <c r="L225" s="8" t="str">
        <f t="shared" si="11"/>
        <v/>
      </c>
      <c r="M225" s="8">
        <f t="shared" si="9"/>
        <v>814</v>
      </c>
      <c r="N225" s="6" t="s">
        <v>26</v>
      </c>
    </row>
    <row r="226" spans="1:14" x14ac:dyDescent="0.2">
      <c r="A226" s="6" t="s">
        <v>253</v>
      </c>
      <c r="B226" s="6" t="s">
        <v>254</v>
      </c>
      <c r="C226" s="6" t="s">
        <v>20</v>
      </c>
      <c r="D226" s="7">
        <v>44822</v>
      </c>
      <c r="E226" s="7">
        <v>44825</v>
      </c>
      <c r="F226" s="7">
        <v>45065</v>
      </c>
      <c r="G226" s="9">
        <v>5607.5</v>
      </c>
      <c r="H226" s="9">
        <v>5.31</v>
      </c>
      <c r="I226" s="9">
        <v>5602.19</v>
      </c>
      <c r="J226" s="7">
        <v>45744</v>
      </c>
      <c r="K226" s="8">
        <f t="shared" si="10"/>
        <v>3</v>
      </c>
      <c r="L226" s="8">
        <f t="shared" si="11"/>
        <v>240</v>
      </c>
      <c r="M226" s="8">
        <f t="shared" si="9"/>
        <v>679</v>
      </c>
      <c r="N226" s="6" t="s">
        <v>26</v>
      </c>
    </row>
    <row r="227" spans="1:14" x14ac:dyDescent="0.2">
      <c r="A227" s="6" t="s">
        <v>255</v>
      </c>
      <c r="B227" s="6" t="s">
        <v>256</v>
      </c>
      <c r="C227" s="6" t="s">
        <v>20</v>
      </c>
      <c r="D227" s="7"/>
      <c r="E227" s="7"/>
      <c r="F227" s="7">
        <v>45069</v>
      </c>
      <c r="G227" s="9">
        <v>62000</v>
      </c>
      <c r="H227" s="9">
        <v>54867.26</v>
      </c>
      <c r="I227" s="9">
        <v>7132.74</v>
      </c>
      <c r="J227" s="7">
        <v>45378</v>
      </c>
      <c r="K227" s="8" t="str">
        <f t="shared" si="10"/>
        <v/>
      </c>
      <c r="L227" s="8" t="str">
        <f t="shared" si="11"/>
        <v/>
      </c>
      <c r="M227" s="8">
        <f t="shared" si="9"/>
        <v>309</v>
      </c>
      <c r="N227" s="6" t="s">
        <v>26</v>
      </c>
    </row>
    <row r="228" spans="1:14" x14ac:dyDescent="0.2">
      <c r="A228" s="6" t="s">
        <v>257</v>
      </c>
      <c r="B228" s="6" t="s">
        <v>258</v>
      </c>
      <c r="C228" s="6" t="s">
        <v>20</v>
      </c>
      <c r="D228" s="7"/>
      <c r="E228" s="7"/>
      <c r="F228" s="7">
        <v>45069</v>
      </c>
      <c r="G228" s="9">
        <v>68000</v>
      </c>
      <c r="H228" s="9">
        <v>62385.32</v>
      </c>
      <c r="I228" s="9">
        <v>5614.68</v>
      </c>
      <c r="J228" s="7">
        <v>45618</v>
      </c>
      <c r="K228" s="8" t="str">
        <f t="shared" si="10"/>
        <v/>
      </c>
      <c r="L228" s="8" t="str">
        <f t="shared" si="11"/>
        <v/>
      </c>
      <c r="M228" s="8">
        <f t="shared" si="9"/>
        <v>549</v>
      </c>
      <c r="N228" s="6" t="s">
        <v>26</v>
      </c>
    </row>
    <row r="229" spans="1:14" x14ac:dyDescent="0.2">
      <c r="A229" s="6" t="s">
        <v>259</v>
      </c>
      <c r="B229" s="6" t="s">
        <v>260</v>
      </c>
      <c r="C229" s="6" t="s">
        <v>33</v>
      </c>
      <c r="D229" s="7"/>
      <c r="E229" s="7"/>
      <c r="F229" s="7">
        <v>45069</v>
      </c>
      <c r="G229" s="9">
        <v>10000</v>
      </c>
      <c r="H229" s="9">
        <v>8849.56</v>
      </c>
      <c r="I229" s="9">
        <v>1150.44</v>
      </c>
      <c r="J229" s="7"/>
      <c r="K229" s="8" t="str">
        <f t="shared" si="10"/>
        <v/>
      </c>
      <c r="L229" s="8" t="str">
        <f t="shared" si="11"/>
        <v/>
      </c>
      <c r="M229" s="8" t="str">
        <f t="shared" si="9"/>
        <v/>
      </c>
      <c r="N229" s="6" t="s">
        <v>21</v>
      </c>
    </row>
    <row r="230" spans="1:14" x14ac:dyDescent="0.2">
      <c r="A230" s="6" t="s">
        <v>201</v>
      </c>
      <c r="B230" s="6" t="s">
        <v>203</v>
      </c>
      <c r="C230" s="6" t="s">
        <v>33</v>
      </c>
      <c r="D230" s="7"/>
      <c r="E230" s="7"/>
      <c r="F230" s="7">
        <v>45069</v>
      </c>
      <c r="G230" s="9">
        <v>110000</v>
      </c>
      <c r="H230" s="9">
        <v>97345.13</v>
      </c>
      <c r="I230" s="9">
        <v>12654.87</v>
      </c>
      <c r="J230" s="7">
        <v>45316</v>
      </c>
      <c r="K230" s="8" t="str">
        <f t="shared" si="10"/>
        <v/>
      </c>
      <c r="L230" s="8" t="str">
        <f t="shared" si="11"/>
        <v/>
      </c>
      <c r="M230" s="8">
        <f t="shared" si="9"/>
        <v>247</v>
      </c>
      <c r="N230" s="6" t="s">
        <v>26</v>
      </c>
    </row>
    <row r="231" spans="1:14" x14ac:dyDescent="0.2">
      <c r="A231" s="6" t="s">
        <v>201</v>
      </c>
      <c r="B231" s="6" t="s">
        <v>203</v>
      </c>
      <c r="C231" s="6" t="s">
        <v>33</v>
      </c>
      <c r="D231" s="7"/>
      <c r="E231" s="7"/>
      <c r="F231" s="7">
        <v>45069</v>
      </c>
      <c r="G231" s="9">
        <v>75000</v>
      </c>
      <c r="H231" s="9">
        <v>66371.679999999993</v>
      </c>
      <c r="I231" s="9">
        <v>8628.32</v>
      </c>
      <c r="J231" s="7">
        <v>45316</v>
      </c>
      <c r="K231" s="8" t="str">
        <f t="shared" si="10"/>
        <v/>
      </c>
      <c r="L231" s="8" t="str">
        <f t="shared" si="11"/>
        <v/>
      </c>
      <c r="M231" s="8">
        <f t="shared" si="9"/>
        <v>247</v>
      </c>
      <c r="N231" s="6" t="s">
        <v>26</v>
      </c>
    </row>
    <row r="232" spans="1:14" x14ac:dyDescent="0.2">
      <c r="A232" s="6" t="s">
        <v>201</v>
      </c>
      <c r="B232" s="6" t="s">
        <v>202</v>
      </c>
      <c r="C232" s="6" t="s">
        <v>33</v>
      </c>
      <c r="D232" s="7"/>
      <c r="E232" s="7"/>
      <c r="F232" s="7">
        <v>45070</v>
      </c>
      <c r="G232" s="9">
        <v>-99000</v>
      </c>
      <c r="H232" s="9">
        <v>-87610.62</v>
      </c>
      <c r="I232" s="9">
        <v>-11389.38</v>
      </c>
      <c r="J232" s="7">
        <v>45316</v>
      </c>
      <c r="K232" s="8" t="str">
        <f t="shared" si="10"/>
        <v/>
      </c>
      <c r="L232" s="8" t="str">
        <f t="shared" si="11"/>
        <v/>
      </c>
      <c r="M232" s="8">
        <f t="shared" si="9"/>
        <v>246</v>
      </c>
      <c r="N232" s="6" t="s">
        <v>26</v>
      </c>
    </row>
    <row r="233" spans="1:14" x14ac:dyDescent="0.2">
      <c r="A233" s="6" t="s">
        <v>201</v>
      </c>
      <c r="B233" s="6" t="s">
        <v>202</v>
      </c>
      <c r="C233" s="6" t="s">
        <v>33</v>
      </c>
      <c r="D233" s="7"/>
      <c r="E233" s="7"/>
      <c r="F233" s="7">
        <v>45070</v>
      </c>
      <c r="G233" s="9">
        <v>-99000</v>
      </c>
      <c r="H233" s="9">
        <v>-87610.62</v>
      </c>
      <c r="I233" s="9">
        <v>-11389.38</v>
      </c>
      <c r="J233" s="7">
        <v>45316</v>
      </c>
      <c r="K233" s="8" t="str">
        <f t="shared" si="10"/>
        <v/>
      </c>
      <c r="L233" s="8" t="str">
        <f t="shared" si="11"/>
        <v/>
      </c>
      <c r="M233" s="8">
        <f t="shared" si="9"/>
        <v>246</v>
      </c>
      <c r="N233" s="6" t="s">
        <v>26</v>
      </c>
    </row>
    <row r="234" spans="1:14" x14ac:dyDescent="0.2">
      <c r="A234" s="6" t="s">
        <v>201</v>
      </c>
      <c r="B234" s="6" t="s">
        <v>202</v>
      </c>
      <c r="C234" s="6" t="s">
        <v>33</v>
      </c>
      <c r="D234" s="7"/>
      <c r="E234" s="7"/>
      <c r="F234" s="7">
        <v>45070</v>
      </c>
      <c r="G234" s="9">
        <v>-100000</v>
      </c>
      <c r="H234" s="9">
        <v>-88495.58</v>
      </c>
      <c r="I234" s="9">
        <v>-11504.42</v>
      </c>
      <c r="J234" s="7">
        <v>45316</v>
      </c>
      <c r="K234" s="8" t="str">
        <f t="shared" si="10"/>
        <v/>
      </c>
      <c r="L234" s="8" t="str">
        <f t="shared" si="11"/>
        <v/>
      </c>
      <c r="M234" s="8">
        <f t="shared" si="9"/>
        <v>246</v>
      </c>
      <c r="N234" s="6" t="s">
        <v>26</v>
      </c>
    </row>
    <row r="235" spans="1:14" x14ac:dyDescent="0.2">
      <c r="A235" s="6" t="s">
        <v>201</v>
      </c>
      <c r="B235" s="6" t="s">
        <v>202</v>
      </c>
      <c r="C235" s="6" t="s">
        <v>33</v>
      </c>
      <c r="D235" s="7"/>
      <c r="E235" s="7"/>
      <c r="F235" s="7">
        <v>45070</v>
      </c>
      <c r="G235" s="9">
        <v>-110000.01</v>
      </c>
      <c r="H235" s="9">
        <v>-97345.14</v>
      </c>
      <c r="I235" s="9">
        <v>-12654.87</v>
      </c>
      <c r="J235" s="7">
        <v>45316</v>
      </c>
      <c r="K235" s="8" t="str">
        <f t="shared" si="10"/>
        <v/>
      </c>
      <c r="L235" s="8" t="str">
        <f t="shared" si="11"/>
        <v/>
      </c>
      <c r="M235" s="8">
        <f t="shared" si="9"/>
        <v>246</v>
      </c>
      <c r="N235" s="6" t="s">
        <v>26</v>
      </c>
    </row>
    <row r="236" spans="1:14" x14ac:dyDescent="0.2">
      <c r="A236" s="6" t="s">
        <v>201</v>
      </c>
      <c r="B236" s="6" t="s">
        <v>202</v>
      </c>
      <c r="C236" s="6" t="s">
        <v>33</v>
      </c>
      <c r="D236" s="7"/>
      <c r="E236" s="7"/>
      <c r="F236" s="7">
        <v>45070</v>
      </c>
      <c r="G236" s="9">
        <v>-90000</v>
      </c>
      <c r="H236" s="9">
        <v>-79646.02</v>
      </c>
      <c r="I236" s="9">
        <v>-10353.98</v>
      </c>
      <c r="J236" s="7">
        <v>45316</v>
      </c>
      <c r="K236" s="8" t="str">
        <f t="shared" si="10"/>
        <v/>
      </c>
      <c r="L236" s="8" t="str">
        <f t="shared" si="11"/>
        <v/>
      </c>
      <c r="M236" s="8">
        <f t="shared" si="9"/>
        <v>246</v>
      </c>
      <c r="N236" s="6" t="s">
        <v>26</v>
      </c>
    </row>
    <row r="237" spans="1:14" x14ac:dyDescent="0.2">
      <c r="A237" s="6" t="s">
        <v>201</v>
      </c>
      <c r="B237" s="6" t="s">
        <v>202</v>
      </c>
      <c r="C237" s="6" t="s">
        <v>33</v>
      </c>
      <c r="D237" s="7"/>
      <c r="E237" s="7"/>
      <c r="F237" s="7">
        <v>45070</v>
      </c>
      <c r="G237" s="9">
        <v>-50000</v>
      </c>
      <c r="H237" s="9">
        <v>-44247.79</v>
      </c>
      <c r="I237" s="9">
        <v>-5752.21</v>
      </c>
      <c r="J237" s="7">
        <v>45316</v>
      </c>
      <c r="K237" s="8" t="str">
        <f t="shared" si="10"/>
        <v/>
      </c>
      <c r="L237" s="8" t="str">
        <f t="shared" si="11"/>
        <v/>
      </c>
      <c r="M237" s="8">
        <f t="shared" si="9"/>
        <v>246</v>
      </c>
      <c r="N237" s="6" t="s">
        <v>26</v>
      </c>
    </row>
    <row r="238" spans="1:14" x14ac:dyDescent="0.2">
      <c r="A238" s="6" t="s">
        <v>201</v>
      </c>
      <c r="B238" s="6" t="s">
        <v>203</v>
      </c>
      <c r="C238" s="6" t="s">
        <v>33</v>
      </c>
      <c r="D238" s="7"/>
      <c r="E238" s="7"/>
      <c r="F238" s="7">
        <v>45070</v>
      </c>
      <c r="G238" s="9">
        <v>-110000</v>
      </c>
      <c r="H238" s="9">
        <v>-97345.13</v>
      </c>
      <c r="I238" s="9">
        <v>-12654.87</v>
      </c>
      <c r="J238" s="7">
        <v>45316</v>
      </c>
      <c r="K238" s="8" t="str">
        <f t="shared" si="10"/>
        <v/>
      </c>
      <c r="L238" s="8" t="str">
        <f t="shared" si="11"/>
        <v/>
      </c>
      <c r="M238" s="8">
        <f t="shared" si="9"/>
        <v>246</v>
      </c>
      <c r="N238" s="6" t="s">
        <v>26</v>
      </c>
    </row>
    <row r="239" spans="1:14" x14ac:dyDescent="0.2">
      <c r="A239" s="6" t="s">
        <v>201</v>
      </c>
      <c r="B239" s="6" t="s">
        <v>203</v>
      </c>
      <c r="C239" s="6" t="s">
        <v>33</v>
      </c>
      <c r="D239" s="7"/>
      <c r="E239" s="7"/>
      <c r="F239" s="7">
        <v>45070</v>
      </c>
      <c r="G239" s="9">
        <v>-75000</v>
      </c>
      <c r="H239" s="9">
        <v>-66371.679999999993</v>
      </c>
      <c r="I239" s="9">
        <v>-8628.32</v>
      </c>
      <c r="J239" s="7">
        <v>45316</v>
      </c>
      <c r="K239" s="8" t="str">
        <f t="shared" si="10"/>
        <v/>
      </c>
      <c r="L239" s="8" t="str">
        <f t="shared" si="11"/>
        <v/>
      </c>
      <c r="M239" s="8">
        <f t="shared" si="9"/>
        <v>246</v>
      </c>
      <c r="N239" s="6" t="s">
        <v>26</v>
      </c>
    </row>
    <row r="240" spans="1:14" x14ac:dyDescent="0.2">
      <c r="A240" s="6" t="s">
        <v>63</v>
      </c>
      <c r="B240" s="6" t="s">
        <v>261</v>
      </c>
      <c r="C240" s="6" t="s">
        <v>20</v>
      </c>
      <c r="D240" s="7"/>
      <c r="E240" s="7"/>
      <c r="F240" s="7">
        <v>45070</v>
      </c>
      <c r="G240" s="9">
        <v>150</v>
      </c>
      <c r="H240" s="9">
        <v>132.74</v>
      </c>
      <c r="I240" s="9">
        <v>17.260000000000002</v>
      </c>
      <c r="J240" s="7"/>
      <c r="K240" s="8" t="str">
        <f t="shared" si="10"/>
        <v/>
      </c>
      <c r="L240" s="8" t="str">
        <f t="shared" si="11"/>
        <v/>
      </c>
      <c r="M240" s="8" t="str">
        <f t="shared" si="9"/>
        <v/>
      </c>
      <c r="N240" s="6" t="s">
        <v>21</v>
      </c>
    </row>
    <row r="241" spans="1:14" x14ac:dyDescent="0.2">
      <c r="A241" s="6" t="s">
        <v>29</v>
      </c>
      <c r="B241" s="6" t="s">
        <v>262</v>
      </c>
      <c r="C241" s="6" t="s">
        <v>20</v>
      </c>
      <c r="D241" s="7">
        <v>44979</v>
      </c>
      <c r="E241" s="7">
        <v>44985</v>
      </c>
      <c r="F241" s="7">
        <v>45071</v>
      </c>
      <c r="G241" s="9">
        <v>33628.31</v>
      </c>
      <c r="H241" s="9">
        <v>22123.89</v>
      </c>
      <c r="I241" s="9">
        <v>11504.42</v>
      </c>
      <c r="J241" s="7">
        <v>45365</v>
      </c>
      <c r="K241" s="8">
        <f t="shared" si="10"/>
        <v>6</v>
      </c>
      <c r="L241" s="8">
        <f t="shared" si="11"/>
        <v>86</v>
      </c>
      <c r="M241" s="8">
        <f t="shared" si="9"/>
        <v>294</v>
      </c>
      <c r="N241" s="6" t="s">
        <v>26</v>
      </c>
    </row>
    <row r="242" spans="1:14" x14ac:dyDescent="0.2">
      <c r="A242" s="6" t="s">
        <v>29</v>
      </c>
      <c r="B242" s="6" t="s">
        <v>262</v>
      </c>
      <c r="C242" s="6" t="s">
        <v>20</v>
      </c>
      <c r="D242" s="7"/>
      <c r="E242" s="7"/>
      <c r="F242" s="7">
        <v>45071</v>
      </c>
      <c r="G242" s="9">
        <v>25000</v>
      </c>
      <c r="H242" s="9">
        <v>22123.89</v>
      </c>
      <c r="I242" s="9">
        <v>2876.11</v>
      </c>
      <c r="J242" s="7">
        <v>45365</v>
      </c>
      <c r="K242" s="8" t="str">
        <f t="shared" si="10"/>
        <v/>
      </c>
      <c r="L242" s="8" t="str">
        <f t="shared" si="11"/>
        <v/>
      </c>
      <c r="M242" s="8">
        <f t="shared" si="9"/>
        <v>294</v>
      </c>
      <c r="N242" s="6" t="s">
        <v>26</v>
      </c>
    </row>
    <row r="243" spans="1:14" x14ac:dyDescent="0.2">
      <c r="A243" s="6" t="s">
        <v>29</v>
      </c>
      <c r="B243" s="6" t="s">
        <v>262</v>
      </c>
      <c r="C243" s="6" t="s">
        <v>20</v>
      </c>
      <c r="D243" s="7"/>
      <c r="E243" s="7"/>
      <c r="F243" s="7">
        <v>45071</v>
      </c>
      <c r="G243" s="9">
        <v>25000</v>
      </c>
      <c r="H243" s="9">
        <v>22123.89</v>
      </c>
      <c r="I243" s="9">
        <v>2876.11</v>
      </c>
      <c r="J243" s="7">
        <v>45365</v>
      </c>
      <c r="K243" s="8" t="str">
        <f t="shared" si="10"/>
        <v/>
      </c>
      <c r="L243" s="8" t="str">
        <f t="shared" si="11"/>
        <v/>
      </c>
      <c r="M243" s="8">
        <f t="shared" si="9"/>
        <v>294</v>
      </c>
      <c r="N243" s="6" t="s">
        <v>26</v>
      </c>
    </row>
    <row r="244" spans="1:14" x14ac:dyDescent="0.2">
      <c r="A244" s="6" t="s">
        <v>29</v>
      </c>
      <c r="B244" s="6" t="s">
        <v>262</v>
      </c>
      <c r="C244" s="6" t="s">
        <v>20</v>
      </c>
      <c r="D244" s="7"/>
      <c r="E244" s="7"/>
      <c r="F244" s="7">
        <v>45071</v>
      </c>
      <c r="G244" s="9">
        <v>87500</v>
      </c>
      <c r="H244" s="9">
        <v>77433.63</v>
      </c>
      <c r="I244" s="9">
        <v>10066.370000000001</v>
      </c>
      <c r="J244" s="7">
        <v>45365</v>
      </c>
      <c r="K244" s="8" t="str">
        <f t="shared" si="10"/>
        <v/>
      </c>
      <c r="L244" s="8" t="str">
        <f t="shared" si="11"/>
        <v/>
      </c>
      <c r="M244" s="8">
        <f t="shared" si="9"/>
        <v>294</v>
      </c>
      <c r="N244" s="6" t="s">
        <v>26</v>
      </c>
    </row>
    <row r="245" spans="1:14" x14ac:dyDescent="0.2">
      <c r="A245" s="6" t="s">
        <v>263</v>
      </c>
      <c r="B245" s="6" t="s">
        <v>264</v>
      </c>
      <c r="C245" s="6" t="s">
        <v>20</v>
      </c>
      <c r="D245" s="7">
        <v>44817</v>
      </c>
      <c r="E245" s="7">
        <v>44843</v>
      </c>
      <c r="F245" s="7">
        <v>45071</v>
      </c>
      <c r="G245" s="9">
        <v>95000</v>
      </c>
      <c r="H245" s="9">
        <v>87155.97</v>
      </c>
      <c r="I245" s="9">
        <v>7844.03</v>
      </c>
      <c r="J245" s="7"/>
      <c r="K245" s="8">
        <f t="shared" si="10"/>
        <v>26</v>
      </c>
      <c r="L245" s="8">
        <f t="shared" si="11"/>
        <v>228</v>
      </c>
      <c r="M245" s="8" t="str">
        <f t="shared" si="9"/>
        <v/>
      </c>
      <c r="N245" s="6" t="s">
        <v>21</v>
      </c>
    </row>
    <row r="246" spans="1:14" x14ac:dyDescent="0.2">
      <c r="A246" s="6" t="s">
        <v>22</v>
      </c>
      <c r="B246" s="6" t="s">
        <v>265</v>
      </c>
      <c r="C246" s="6" t="s">
        <v>20</v>
      </c>
      <c r="D246" s="7">
        <v>45015</v>
      </c>
      <c r="E246" s="7">
        <v>45040</v>
      </c>
      <c r="F246" s="7">
        <v>45072</v>
      </c>
      <c r="G246" s="9">
        <v>54000</v>
      </c>
      <c r="H246" s="9">
        <v>49541.29</v>
      </c>
      <c r="I246" s="9">
        <v>4458.71</v>
      </c>
      <c r="J246" s="7"/>
      <c r="K246" s="8">
        <f t="shared" si="10"/>
        <v>25</v>
      </c>
      <c r="L246" s="8">
        <f t="shared" si="11"/>
        <v>32</v>
      </c>
      <c r="M246" s="8" t="str">
        <f t="shared" si="9"/>
        <v/>
      </c>
      <c r="N246" s="6" t="s">
        <v>21</v>
      </c>
    </row>
    <row r="247" spans="1:14" x14ac:dyDescent="0.2">
      <c r="A247" s="6" t="s">
        <v>266</v>
      </c>
      <c r="B247" s="6" t="s">
        <v>267</v>
      </c>
      <c r="C247" s="6" t="s">
        <v>20</v>
      </c>
      <c r="D247" s="7">
        <v>44964</v>
      </c>
      <c r="E247" s="7">
        <v>44982</v>
      </c>
      <c r="F247" s="7">
        <v>45075</v>
      </c>
      <c r="G247" s="9">
        <v>97500</v>
      </c>
      <c r="H247" s="9">
        <v>86283.19</v>
      </c>
      <c r="I247" s="9">
        <v>11216.81</v>
      </c>
      <c r="J247" s="7">
        <v>45586</v>
      </c>
      <c r="K247" s="8">
        <f t="shared" si="10"/>
        <v>18</v>
      </c>
      <c r="L247" s="8">
        <f t="shared" si="11"/>
        <v>93</v>
      </c>
      <c r="M247" s="8">
        <f t="shared" si="9"/>
        <v>511</v>
      </c>
      <c r="N247" s="6" t="s">
        <v>26</v>
      </c>
    </row>
    <row r="248" spans="1:14" x14ac:dyDescent="0.2">
      <c r="A248" s="6" t="s">
        <v>266</v>
      </c>
      <c r="B248" s="6" t="s">
        <v>267</v>
      </c>
      <c r="C248" s="6" t="s">
        <v>20</v>
      </c>
      <c r="D248" s="7"/>
      <c r="E248" s="7"/>
      <c r="F248" s="7">
        <v>45075</v>
      </c>
      <c r="G248" s="9">
        <v>97500</v>
      </c>
      <c r="H248" s="9">
        <v>86283.19</v>
      </c>
      <c r="I248" s="9">
        <v>11216.81</v>
      </c>
      <c r="J248" s="7">
        <v>45586</v>
      </c>
      <c r="K248" s="8" t="str">
        <f t="shared" si="10"/>
        <v/>
      </c>
      <c r="L248" s="8" t="str">
        <f t="shared" si="11"/>
        <v/>
      </c>
      <c r="M248" s="8">
        <f t="shared" si="9"/>
        <v>511</v>
      </c>
      <c r="N248" s="6" t="s">
        <v>26</v>
      </c>
    </row>
    <row r="249" spans="1:14" x14ac:dyDescent="0.2">
      <c r="A249" s="6" t="s">
        <v>268</v>
      </c>
      <c r="B249" s="6" t="s">
        <v>269</v>
      </c>
      <c r="C249" s="6" t="s">
        <v>20</v>
      </c>
      <c r="D249" s="7">
        <v>44867</v>
      </c>
      <c r="E249" s="7">
        <v>44878</v>
      </c>
      <c r="F249" s="7">
        <v>45075</v>
      </c>
      <c r="G249" s="9">
        <v>91956</v>
      </c>
      <c r="H249" s="9">
        <v>81376.990000000005</v>
      </c>
      <c r="I249" s="9">
        <v>10579.01</v>
      </c>
      <c r="J249" s="7">
        <v>45532</v>
      </c>
      <c r="K249" s="8">
        <f t="shared" si="10"/>
        <v>11</v>
      </c>
      <c r="L249" s="8">
        <f t="shared" si="11"/>
        <v>197</v>
      </c>
      <c r="M249" s="8">
        <f t="shared" si="9"/>
        <v>457</v>
      </c>
      <c r="N249" s="6" t="s">
        <v>26</v>
      </c>
    </row>
    <row r="250" spans="1:14" x14ac:dyDescent="0.2">
      <c r="A250" s="6" t="s">
        <v>268</v>
      </c>
      <c r="B250" s="6" t="s">
        <v>269</v>
      </c>
      <c r="C250" s="6" t="s">
        <v>20</v>
      </c>
      <c r="D250" s="7"/>
      <c r="E250" s="7"/>
      <c r="F250" s="7">
        <v>45075</v>
      </c>
      <c r="G250" s="9">
        <v>55896</v>
      </c>
      <c r="H250" s="9">
        <v>49465.48</v>
      </c>
      <c r="I250" s="9">
        <v>6430.52</v>
      </c>
      <c r="J250" s="7">
        <v>45532</v>
      </c>
      <c r="K250" s="8" t="str">
        <f t="shared" si="10"/>
        <v/>
      </c>
      <c r="L250" s="8" t="str">
        <f t="shared" si="11"/>
        <v/>
      </c>
      <c r="M250" s="8">
        <f t="shared" si="9"/>
        <v>457</v>
      </c>
      <c r="N250" s="6" t="s">
        <v>26</v>
      </c>
    </row>
    <row r="251" spans="1:14" x14ac:dyDescent="0.2">
      <c r="A251" s="6" t="s">
        <v>71</v>
      </c>
      <c r="B251" s="6" t="s">
        <v>270</v>
      </c>
      <c r="C251" s="6" t="s">
        <v>20</v>
      </c>
      <c r="D251" s="7">
        <v>45041</v>
      </c>
      <c r="E251" s="7">
        <v>45042</v>
      </c>
      <c r="F251" s="7">
        <v>45076</v>
      </c>
      <c r="G251" s="9">
        <v>45000</v>
      </c>
      <c r="H251" s="9">
        <v>39823.01</v>
      </c>
      <c r="I251" s="9">
        <v>5176.99</v>
      </c>
      <c r="J251" s="7">
        <v>45345</v>
      </c>
      <c r="K251" s="8">
        <f t="shared" si="10"/>
        <v>1</v>
      </c>
      <c r="L251" s="8">
        <f t="shared" si="11"/>
        <v>34</v>
      </c>
      <c r="M251" s="8">
        <f t="shared" si="9"/>
        <v>269</v>
      </c>
      <c r="N251" s="6" t="s">
        <v>26</v>
      </c>
    </row>
    <row r="252" spans="1:14" x14ac:dyDescent="0.2">
      <c r="A252" s="6" t="s">
        <v>271</v>
      </c>
      <c r="B252" s="6" t="s">
        <v>272</v>
      </c>
      <c r="C252" s="6" t="s">
        <v>20</v>
      </c>
      <c r="D252" s="7"/>
      <c r="E252" s="7"/>
      <c r="F252" s="7">
        <v>45077</v>
      </c>
      <c r="G252" s="9">
        <v>95000</v>
      </c>
      <c r="H252" s="9">
        <v>84070.8</v>
      </c>
      <c r="I252" s="9">
        <v>10929.2</v>
      </c>
      <c r="J252" s="7">
        <v>45295</v>
      </c>
      <c r="K252" s="8" t="str">
        <f t="shared" si="10"/>
        <v/>
      </c>
      <c r="L252" s="8" t="str">
        <f t="shared" si="11"/>
        <v/>
      </c>
      <c r="M252" s="8">
        <f t="shared" si="9"/>
        <v>218</v>
      </c>
      <c r="N252" s="6" t="s">
        <v>26</v>
      </c>
    </row>
    <row r="253" spans="1:14" x14ac:dyDescent="0.2">
      <c r="A253" s="6" t="s">
        <v>271</v>
      </c>
      <c r="B253" s="6" t="s">
        <v>272</v>
      </c>
      <c r="C253" s="6" t="s">
        <v>20</v>
      </c>
      <c r="D253" s="7"/>
      <c r="E253" s="7"/>
      <c r="F253" s="7">
        <v>45077</v>
      </c>
      <c r="G253" s="9">
        <v>95000</v>
      </c>
      <c r="H253" s="9">
        <v>84070.8</v>
      </c>
      <c r="I253" s="9">
        <v>10929.2</v>
      </c>
      <c r="J253" s="7">
        <v>45295</v>
      </c>
      <c r="K253" s="8" t="str">
        <f t="shared" si="10"/>
        <v/>
      </c>
      <c r="L253" s="8" t="str">
        <f t="shared" si="11"/>
        <v/>
      </c>
      <c r="M253" s="8">
        <f t="shared" si="9"/>
        <v>218</v>
      </c>
      <c r="N253" s="6" t="s">
        <v>26</v>
      </c>
    </row>
    <row r="254" spans="1:14" x14ac:dyDescent="0.2">
      <c r="A254" s="6" t="s">
        <v>271</v>
      </c>
      <c r="B254" s="6" t="s">
        <v>272</v>
      </c>
      <c r="C254" s="6" t="s">
        <v>20</v>
      </c>
      <c r="D254" s="7"/>
      <c r="E254" s="7"/>
      <c r="F254" s="7">
        <v>45077</v>
      </c>
      <c r="G254" s="9">
        <v>95000</v>
      </c>
      <c r="H254" s="9">
        <v>84070.8</v>
      </c>
      <c r="I254" s="9">
        <v>10929.2</v>
      </c>
      <c r="J254" s="7">
        <v>45295</v>
      </c>
      <c r="K254" s="8" t="str">
        <f t="shared" si="10"/>
        <v/>
      </c>
      <c r="L254" s="8" t="str">
        <f t="shared" si="11"/>
        <v/>
      </c>
      <c r="M254" s="8">
        <f t="shared" si="9"/>
        <v>218</v>
      </c>
      <c r="N254" s="6" t="s">
        <v>26</v>
      </c>
    </row>
    <row r="255" spans="1:14" x14ac:dyDescent="0.2">
      <c r="A255" s="6" t="s">
        <v>271</v>
      </c>
      <c r="B255" s="6" t="s">
        <v>272</v>
      </c>
      <c r="C255" s="6" t="s">
        <v>20</v>
      </c>
      <c r="D255" s="7"/>
      <c r="E255" s="7"/>
      <c r="F255" s="7">
        <v>45077</v>
      </c>
      <c r="G255" s="9">
        <v>95000</v>
      </c>
      <c r="H255" s="9">
        <v>84070.8</v>
      </c>
      <c r="I255" s="9">
        <v>10929.2</v>
      </c>
      <c r="J255" s="7">
        <v>45295</v>
      </c>
      <c r="K255" s="8" t="str">
        <f t="shared" si="10"/>
        <v/>
      </c>
      <c r="L255" s="8" t="str">
        <f t="shared" si="11"/>
        <v/>
      </c>
      <c r="M255" s="8">
        <f t="shared" si="9"/>
        <v>218</v>
      </c>
      <c r="N255" s="6" t="s">
        <v>26</v>
      </c>
    </row>
    <row r="256" spans="1:14" x14ac:dyDescent="0.2">
      <c r="A256" s="6" t="s">
        <v>273</v>
      </c>
      <c r="B256" s="6" t="s">
        <v>274</v>
      </c>
      <c r="C256" s="6" t="s">
        <v>20</v>
      </c>
      <c r="D256" s="7"/>
      <c r="E256" s="7"/>
      <c r="F256" s="7">
        <v>45077</v>
      </c>
      <c r="G256" s="9">
        <v>57500</v>
      </c>
      <c r="H256" s="9">
        <v>50884.95</v>
      </c>
      <c r="I256" s="9">
        <v>6615.05</v>
      </c>
      <c r="J256" s="7">
        <v>45524</v>
      </c>
      <c r="K256" s="8" t="str">
        <f t="shared" si="10"/>
        <v/>
      </c>
      <c r="L256" s="8" t="str">
        <f t="shared" si="11"/>
        <v/>
      </c>
      <c r="M256" s="8">
        <f t="shared" si="9"/>
        <v>447</v>
      </c>
      <c r="N256" s="6" t="s">
        <v>26</v>
      </c>
    </row>
    <row r="257" spans="1:14" x14ac:dyDescent="0.2">
      <c r="A257" s="6" t="s">
        <v>273</v>
      </c>
      <c r="B257" s="6" t="s">
        <v>274</v>
      </c>
      <c r="C257" s="6" t="s">
        <v>20</v>
      </c>
      <c r="D257" s="7"/>
      <c r="E257" s="7"/>
      <c r="F257" s="7">
        <v>45077</v>
      </c>
      <c r="G257" s="9">
        <v>35000</v>
      </c>
      <c r="H257" s="9">
        <v>30973.45</v>
      </c>
      <c r="I257" s="9">
        <v>4026.55</v>
      </c>
      <c r="J257" s="7">
        <v>45524</v>
      </c>
      <c r="K257" s="8" t="str">
        <f t="shared" si="10"/>
        <v/>
      </c>
      <c r="L257" s="8" t="str">
        <f t="shared" si="11"/>
        <v/>
      </c>
      <c r="M257" s="8">
        <f t="shared" si="9"/>
        <v>447</v>
      </c>
      <c r="N257" s="6" t="s">
        <v>26</v>
      </c>
    </row>
    <row r="258" spans="1:14" x14ac:dyDescent="0.2">
      <c r="A258" s="6" t="s">
        <v>275</v>
      </c>
      <c r="B258" s="6" t="s">
        <v>276</v>
      </c>
      <c r="C258" s="6" t="s">
        <v>20</v>
      </c>
      <c r="D258" s="7">
        <v>45078</v>
      </c>
      <c r="E258" s="7">
        <v>45079</v>
      </c>
      <c r="F258" s="7">
        <v>45084</v>
      </c>
      <c r="G258" s="9">
        <v>72000</v>
      </c>
      <c r="H258" s="9">
        <v>63716.81</v>
      </c>
      <c r="I258" s="9">
        <v>8283.19</v>
      </c>
      <c r="J258" s="7"/>
      <c r="K258" s="8">
        <f t="shared" si="10"/>
        <v>1</v>
      </c>
      <c r="L258" s="8">
        <f t="shared" si="11"/>
        <v>5</v>
      </c>
      <c r="M258" s="8" t="str">
        <f t="shared" ref="M258:M321" si="12">IF(OR($F258="", $J258=""),"", $J258-$F258)</f>
        <v/>
      </c>
      <c r="N258" s="6" t="s">
        <v>21</v>
      </c>
    </row>
    <row r="259" spans="1:14" x14ac:dyDescent="0.2">
      <c r="A259" s="6" t="s">
        <v>277</v>
      </c>
      <c r="B259" s="6" t="s">
        <v>278</v>
      </c>
      <c r="C259" s="6" t="s">
        <v>20</v>
      </c>
      <c r="D259" s="7"/>
      <c r="E259" s="7"/>
      <c r="F259" s="7">
        <v>45084</v>
      </c>
      <c r="G259" s="9">
        <v>101700</v>
      </c>
      <c r="H259" s="9">
        <v>90000</v>
      </c>
      <c r="I259" s="9">
        <v>11700</v>
      </c>
      <c r="J259" s="7">
        <v>45764</v>
      </c>
      <c r="K259" s="8" t="str">
        <f t="shared" ref="K259:K322" si="13">IF(OR($D259="", $F259=""),"", $E259-$D259)</f>
        <v/>
      </c>
      <c r="L259" s="8" t="str">
        <f t="shared" ref="L259:L322" si="14">IF(OR($D259="", $F259=""),"", $F259-$E259)</f>
        <v/>
      </c>
      <c r="M259" s="8">
        <f t="shared" si="12"/>
        <v>680</v>
      </c>
      <c r="N259" s="6" t="s">
        <v>26</v>
      </c>
    </row>
    <row r="260" spans="1:14" x14ac:dyDescent="0.2">
      <c r="A260" s="6" t="s">
        <v>277</v>
      </c>
      <c r="B260" s="6" t="s">
        <v>278</v>
      </c>
      <c r="C260" s="6" t="s">
        <v>20</v>
      </c>
      <c r="D260" s="7"/>
      <c r="E260" s="7"/>
      <c r="F260" s="7">
        <v>45084</v>
      </c>
      <c r="G260" s="9">
        <v>112096</v>
      </c>
      <c r="H260" s="9">
        <v>99200</v>
      </c>
      <c r="I260" s="9">
        <v>12896</v>
      </c>
      <c r="J260" s="7">
        <v>45764</v>
      </c>
      <c r="K260" s="8" t="str">
        <f t="shared" si="13"/>
        <v/>
      </c>
      <c r="L260" s="8" t="str">
        <f t="shared" si="14"/>
        <v/>
      </c>
      <c r="M260" s="8">
        <f t="shared" si="12"/>
        <v>680</v>
      </c>
      <c r="N260" s="6" t="s">
        <v>26</v>
      </c>
    </row>
    <row r="261" spans="1:14" x14ac:dyDescent="0.2">
      <c r="A261" s="6" t="s">
        <v>279</v>
      </c>
      <c r="B261" s="6" t="s">
        <v>280</v>
      </c>
      <c r="C261" s="6" t="s">
        <v>20</v>
      </c>
      <c r="D261" s="7">
        <v>45026</v>
      </c>
      <c r="E261" s="7">
        <v>45033</v>
      </c>
      <c r="F261" s="7">
        <v>45086</v>
      </c>
      <c r="G261" s="9">
        <v>34227.699999999997</v>
      </c>
      <c r="H261" s="9">
        <v>30290</v>
      </c>
      <c r="I261" s="9">
        <v>3937.7</v>
      </c>
      <c r="J261" s="7"/>
      <c r="K261" s="8">
        <f t="shared" si="13"/>
        <v>7</v>
      </c>
      <c r="L261" s="8">
        <f t="shared" si="14"/>
        <v>53</v>
      </c>
      <c r="M261" s="8" t="str">
        <f t="shared" si="12"/>
        <v/>
      </c>
      <c r="N261" s="6" t="s">
        <v>21</v>
      </c>
    </row>
    <row r="262" spans="1:14" x14ac:dyDescent="0.2">
      <c r="A262" s="6" t="s">
        <v>281</v>
      </c>
      <c r="B262" s="6" t="s">
        <v>282</v>
      </c>
      <c r="C262" s="6" t="s">
        <v>33</v>
      </c>
      <c r="D262" s="7">
        <v>44855</v>
      </c>
      <c r="E262" s="7">
        <v>44869</v>
      </c>
      <c r="F262" s="7">
        <v>45089</v>
      </c>
      <c r="G262" s="9">
        <v>87000</v>
      </c>
      <c r="H262" s="9">
        <v>76991.16</v>
      </c>
      <c r="I262" s="9">
        <v>10008.84</v>
      </c>
      <c r="J262" s="7">
        <v>45916</v>
      </c>
      <c r="K262" s="8">
        <f t="shared" si="13"/>
        <v>14</v>
      </c>
      <c r="L262" s="8">
        <f t="shared" si="14"/>
        <v>220</v>
      </c>
      <c r="M262" s="8">
        <f t="shared" si="12"/>
        <v>827</v>
      </c>
      <c r="N262" s="6" t="s">
        <v>26</v>
      </c>
    </row>
    <row r="263" spans="1:14" x14ac:dyDescent="0.2">
      <c r="A263" s="6" t="s">
        <v>281</v>
      </c>
      <c r="B263" s="6" t="s">
        <v>282</v>
      </c>
      <c r="C263" s="6" t="s">
        <v>33</v>
      </c>
      <c r="D263" s="7"/>
      <c r="E263" s="7"/>
      <c r="F263" s="7">
        <v>45089</v>
      </c>
      <c r="G263" s="9">
        <v>103000</v>
      </c>
      <c r="H263" s="9">
        <v>91150.44</v>
      </c>
      <c r="I263" s="9">
        <v>11849.56</v>
      </c>
      <c r="J263" s="7">
        <v>45916</v>
      </c>
      <c r="K263" s="8" t="str">
        <f t="shared" si="13"/>
        <v/>
      </c>
      <c r="L263" s="8" t="str">
        <f t="shared" si="14"/>
        <v/>
      </c>
      <c r="M263" s="8">
        <f t="shared" si="12"/>
        <v>827</v>
      </c>
      <c r="N263" s="6" t="s">
        <v>26</v>
      </c>
    </row>
    <row r="264" spans="1:14" x14ac:dyDescent="0.2">
      <c r="A264" s="6" t="s">
        <v>283</v>
      </c>
      <c r="B264" s="6" t="s">
        <v>284</v>
      </c>
      <c r="C264" s="6" t="s">
        <v>20</v>
      </c>
      <c r="D264" s="7">
        <v>44866</v>
      </c>
      <c r="E264" s="7">
        <v>44926</v>
      </c>
      <c r="F264" s="7">
        <v>45090</v>
      </c>
      <c r="G264" s="9">
        <v>640000</v>
      </c>
      <c r="H264" s="9">
        <v>587155.96</v>
      </c>
      <c r="I264" s="9">
        <v>52844.04</v>
      </c>
      <c r="J264" s="7">
        <v>45581</v>
      </c>
      <c r="K264" s="8">
        <f t="shared" si="13"/>
        <v>60</v>
      </c>
      <c r="L264" s="8">
        <f t="shared" si="14"/>
        <v>164</v>
      </c>
      <c r="M264" s="8">
        <f t="shared" si="12"/>
        <v>491</v>
      </c>
      <c r="N264" s="6" t="s">
        <v>26</v>
      </c>
    </row>
    <row r="265" spans="1:14" x14ac:dyDescent="0.2">
      <c r="A265" s="6" t="s">
        <v>283</v>
      </c>
      <c r="B265" s="6" t="s">
        <v>284</v>
      </c>
      <c r="C265" s="6" t="s">
        <v>20</v>
      </c>
      <c r="D265" s="7"/>
      <c r="E265" s="7"/>
      <c r="F265" s="7">
        <v>45090</v>
      </c>
      <c r="G265" s="9">
        <v>640000</v>
      </c>
      <c r="H265" s="9">
        <v>587155.96</v>
      </c>
      <c r="I265" s="9">
        <v>52844.04</v>
      </c>
      <c r="J265" s="7">
        <v>45581</v>
      </c>
      <c r="K265" s="8" t="str">
        <f t="shared" si="13"/>
        <v/>
      </c>
      <c r="L265" s="8" t="str">
        <f t="shared" si="14"/>
        <v/>
      </c>
      <c r="M265" s="8">
        <f t="shared" si="12"/>
        <v>491</v>
      </c>
      <c r="N265" s="6" t="s">
        <v>26</v>
      </c>
    </row>
    <row r="266" spans="1:14" x14ac:dyDescent="0.2">
      <c r="A266" s="6" t="s">
        <v>283</v>
      </c>
      <c r="B266" s="6" t="s">
        <v>284</v>
      </c>
      <c r="C266" s="6" t="s">
        <v>20</v>
      </c>
      <c r="D266" s="7"/>
      <c r="E266" s="7"/>
      <c r="F266" s="7">
        <v>45090</v>
      </c>
      <c r="G266" s="9">
        <v>640000</v>
      </c>
      <c r="H266" s="9">
        <v>587155.96</v>
      </c>
      <c r="I266" s="9">
        <v>52844.04</v>
      </c>
      <c r="J266" s="7">
        <v>45581</v>
      </c>
      <c r="K266" s="8" t="str">
        <f t="shared" si="13"/>
        <v/>
      </c>
      <c r="L266" s="8" t="str">
        <f t="shared" si="14"/>
        <v/>
      </c>
      <c r="M266" s="8">
        <f t="shared" si="12"/>
        <v>491</v>
      </c>
      <c r="N266" s="6" t="s">
        <v>26</v>
      </c>
    </row>
    <row r="267" spans="1:14" x14ac:dyDescent="0.2">
      <c r="A267" s="6" t="s">
        <v>283</v>
      </c>
      <c r="B267" s="6" t="s">
        <v>284</v>
      </c>
      <c r="C267" s="6" t="s">
        <v>20</v>
      </c>
      <c r="D267" s="7"/>
      <c r="E267" s="7"/>
      <c r="F267" s="7">
        <v>45090</v>
      </c>
      <c r="G267" s="9">
        <v>640000</v>
      </c>
      <c r="H267" s="9">
        <v>587155.96</v>
      </c>
      <c r="I267" s="9">
        <v>52844.04</v>
      </c>
      <c r="J267" s="7">
        <v>45581</v>
      </c>
      <c r="K267" s="8" t="str">
        <f t="shared" si="13"/>
        <v/>
      </c>
      <c r="L267" s="8" t="str">
        <f t="shared" si="14"/>
        <v/>
      </c>
      <c r="M267" s="8">
        <f t="shared" si="12"/>
        <v>491</v>
      </c>
      <c r="N267" s="6" t="s">
        <v>26</v>
      </c>
    </row>
    <row r="268" spans="1:14" x14ac:dyDescent="0.2">
      <c r="A268" s="6" t="s">
        <v>283</v>
      </c>
      <c r="B268" s="6" t="s">
        <v>284</v>
      </c>
      <c r="C268" s="6" t="s">
        <v>20</v>
      </c>
      <c r="D268" s="7"/>
      <c r="E268" s="7"/>
      <c r="F268" s="7">
        <v>45090</v>
      </c>
      <c r="G268" s="9">
        <v>640000</v>
      </c>
      <c r="H268" s="9">
        <v>587155.96</v>
      </c>
      <c r="I268" s="9">
        <v>52844.04</v>
      </c>
      <c r="J268" s="7">
        <v>45581</v>
      </c>
      <c r="K268" s="8" t="str">
        <f t="shared" si="13"/>
        <v/>
      </c>
      <c r="L268" s="8" t="str">
        <f t="shared" si="14"/>
        <v/>
      </c>
      <c r="M268" s="8">
        <f t="shared" si="12"/>
        <v>491</v>
      </c>
      <c r="N268" s="6" t="s">
        <v>26</v>
      </c>
    </row>
    <row r="269" spans="1:14" x14ac:dyDescent="0.2">
      <c r="A269" s="6" t="s">
        <v>283</v>
      </c>
      <c r="B269" s="6" t="s">
        <v>284</v>
      </c>
      <c r="C269" s="6" t="s">
        <v>20</v>
      </c>
      <c r="D269" s="7"/>
      <c r="E269" s="7"/>
      <c r="F269" s="7">
        <v>45090</v>
      </c>
      <c r="G269" s="9">
        <v>640000</v>
      </c>
      <c r="H269" s="9">
        <v>587155.96</v>
      </c>
      <c r="I269" s="9">
        <v>52844.04</v>
      </c>
      <c r="J269" s="7">
        <v>45581</v>
      </c>
      <c r="K269" s="8" t="str">
        <f t="shared" si="13"/>
        <v/>
      </c>
      <c r="L269" s="8" t="str">
        <f t="shared" si="14"/>
        <v/>
      </c>
      <c r="M269" s="8">
        <f t="shared" si="12"/>
        <v>491</v>
      </c>
      <c r="N269" s="6" t="s">
        <v>26</v>
      </c>
    </row>
    <row r="270" spans="1:14" x14ac:dyDescent="0.2">
      <c r="A270" s="6" t="s">
        <v>240</v>
      </c>
      <c r="B270" s="6" t="s">
        <v>285</v>
      </c>
      <c r="C270" s="6" t="s">
        <v>20</v>
      </c>
      <c r="D270" s="7">
        <v>45060</v>
      </c>
      <c r="E270" s="7">
        <v>45069</v>
      </c>
      <c r="F270" s="7">
        <v>45091</v>
      </c>
      <c r="G270" s="9">
        <v>46000</v>
      </c>
      <c r="H270" s="9">
        <v>40707.96</v>
      </c>
      <c r="I270" s="9">
        <v>5292.04</v>
      </c>
      <c r="J270" s="7">
        <v>45561</v>
      </c>
      <c r="K270" s="8">
        <f t="shared" si="13"/>
        <v>9</v>
      </c>
      <c r="L270" s="8">
        <f t="shared" si="14"/>
        <v>22</v>
      </c>
      <c r="M270" s="8">
        <f t="shared" si="12"/>
        <v>470</v>
      </c>
      <c r="N270" s="6" t="s">
        <v>26</v>
      </c>
    </row>
    <row r="271" spans="1:14" x14ac:dyDescent="0.2">
      <c r="A271" s="6" t="s">
        <v>286</v>
      </c>
      <c r="B271" s="6" t="s">
        <v>287</v>
      </c>
      <c r="C271" s="6" t="s">
        <v>20</v>
      </c>
      <c r="D271" s="7">
        <v>45060</v>
      </c>
      <c r="E271" s="7">
        <v>45061</v>
      </c>
      <c r="F271" s="7">
        <v>45091</v>
      </c>
      <c r="G271" s="9">
        <v>5999.99</v>
      </c>
      <c r="H271" s="9">
        <v>5309.73</v>
      </c>
      <c r="I271" s="9">
        <v>690.26</v>
      </c>
      <c r="J271" s="7"/>
      <c r="K271" s="8">
        <f t="shared" si="13"/>
        <v>1</v>
      </c>
      <c r="L271" s="8">
        <f t="shared" si="14"/>
        <v>30</v>
      </c>
      <c r="M271" s="8" t="str">
        <f t="shared" si="12"/>
        <v/>
      </c>
      <c r="N271" s="6" t="s">
        <v>21</v>
      </c>
    </row>
    <row r="272" spans="1:14" x14ac:dyDescent="0.2">
      <c r="A272" s="6" t="s">
        <v>288</v>
      </c>
      <c r="B272" s="6" t="s">
        <v>289</v>
      </c>
      <c r="C272" s="6" t="s">
        <v>20</v>
      </c>
      <c r="D272" s="7"/>
      <c r="E272" s="7"/>
      <c r="F272" s="7">
        <v>45092</v>
      </c>
      <c r="G272" s="9">
        <v>48000</v>
      </c>
      <c r="H272" s="9">
        <v>42477.88</v>
      </c>
      <c r="I272" s="9">
        <v>5522.12</v>
      </c>
      <c r="J272" s="7">
        <v>45618</v>
      </c>
      <c r="K272" s="8" t="str">
        <f t="shared" si="13"/>
        <v/>
      </c>
      <c r="L272" s="8" t="str">
        <f t="shared" si="14"/>
        <v/>
      </c>
      <c r="M272" s="8">
        <f t="shared" si="12"/>
        <v>526</v>
      </c>
      <c r="N272" s="6" t="s">
        <v>26</v>
      </c>
    </row>
    <row r="273" spans="1:14" x14ac:dyDescent="0.2">
      <c r="A273" s="6" t="s">
        <v>228</v>
      </c>
      <c r="B273" s="6" t="s">
        <v>229</v>
      </c>
      <c r="C273" s="6" t="s">
        <v>20</v>
      </c>
      <c r="D273" s="7"/>
      <c r="E273" s="7"/>
      <c r="F273" s="7">
        <v>45092</v>
      </c>
      <c r="G273" s="9">
        <v>75000</v>
      </c>
      <c r="H273" s="9">
        <v>68807.34</v>
      </c>
      <c r="I273" s="9">
        <v>6192.66</v>
      </c>
      <c r="J273" s="7">
        <v>45329</v>
      </c>
      <c r="K273" s="8" t="str">
        <f t="shared" si="13"/>
        <v/>
      </c>
      <c r="L273" s="8" t="str">
        <f t="shared" si="14"/>
        <v/>
      </c>
      <c r="M273" s="8">
        <f t="shared" si="12"/>
        <v>237</v>
      </c>
      <c r="N273" s="6" t="s">
        <v>26</v>
      </c>
    </row>
    <row r="274" spans="1:14" x14ac:dyDescent="0.2">
      <c r="A274" s="6" t="s">
        <v>228</v>
      </c>
      <c r="B274" s="6" t="s">
        <v>229</v>
      </c>
      <c r="C274" s="6" t="s">
        <v>20</v>
      </c>
      <c r="D274" s="7"/>
      <c r="E274" s="7"/>
      <c r="F274" s="7">
        <v>45092</v>
      </c>
      <c r="G274" s="9">
        <v>106000</v>
      </c>
      <c r="H274" s="9">
        <v>97247.71</v>
      </c>
      <c r="I274" s="9">
        <v>8752.2900000000009</v>
      </c>
      <c r="J274" s="7">
        <v>45329</v>
      </c>
      <c r="K274" s="8" t="str">
        <f t="shared" si="13"/>
        <v/>
      </c>
      <c r="L274" s="8" t="str">
        <f t="shared" si="14"/>
        <v/>
      </c>
      <c r="M274" s="8">
        <f t="shared" si="12"/>
        <v>237</v>
      </c>
      <c r="N274" s="6" t="s">
        <v>26</v>
      </c>
    </row>
    <row r="275" spans="1:14" x14ac:dyDescent="0.2">
      <c r="A275" s="6" t="s">
        <v>228</v>
      </c>
      <c r="B275" s="6" t="s">
        <v>229</v>
      </c>
      <c r="C275" s="6" t="s">
        <v>20</v>
      </c>
      <c r="D275" s="7"/>
      <c r="E275" s="7"/>
      <c r="F275" s="7">
        <v>45092</v>
      </c>
      <c r="G275" s="9">
        <v>72000</v>
      </c>
      <c r="H275" s="9">
        <v>66055.05</v>
      </c>
      <c r="I275" s="9">
        <v>5944.95</v>
      </c>
      <c r="J275" s="7">
        <v>45329</v>
      </c>
      <c r="K275" s="8" t="str">
        <f t="shared" si="13"/>
        <v/>
      </c>
      <c r="L275" s="8" t="str">
        <f t="shared" si="14"/>
        <v/>
      </c>
      <c r="M275" s="8">
        <f t="shared" si="12"/>
        <v>237</v>
      </c>
      <c r="N275" s="6" t="s">
        <v>26</v>
      </c>
    </row>
    <row r="276" spans="1:14" x14ac:dyDescent="0.2">
      <c r="A276" s="6" t="s">
        <v>228</v>
      </c>
      <c r="B276" s="6" t="s">
        <v>229</v>
      </c>
      <c r="C276" s="6" t="s">
        <v>20</v>
      </c>
      <c r="D276" s="7"/>
      <c r="E276" s="7"/>
      <c r="F276" s="7">
        <v>45092</v>
      </c>
      <c r="G276" s="9">
        <v>-94600</v>
      </c>
      <c r="H276" s="9">
        <v>-86788.99</v>
      </c>
      <c r="I276" s="9">
        <v>-7811.01</v>
      </c>
      <c r="J276" s="7">
        <v>45329</v>
      </c>
      <c r="K276" s="8" t="str">
        <f t="shared" si="13"/>
        <v/>
      </c>
      <c r="L276" s="8" t="str">
        <f t="shared" si="14"/>
        <v/>
      </c>
      <c r="M276" s="8">
        <f t="shared" si="12"/>
        <v>237</v>
      </c>
      <c r="N276" s="6" t="s">
        <v>26</v>
      </c>
    </row>
    <row r="277" spans="1:14" x14ac:dyDescent="0.2">
      <c r="A277" s="6" t="s">
        <v>228</v>
      </c>
      <c r="B277" s="6" t="s">
        <v>229</v>
      </c>
      <c r="C277" s="6" t="s">
        <v>20</v>
      </c>
      <c r="D277" s="7"/>
      <c r="E277" s="7"/>
      <c r="F277" s="7">
        <v>45092</v>
      </c>
      <c r="G277" s="9">
        <v>-90400</v>
      </c>
      <c r="H277" s="9">
        <v>-82935.78</v>
      </c>
      <c r="I277" s="9">
        <v>-7464.22</v>
      </c>
      <c r="J277" s="7">
        <v>45329</v>
      </c>
      <c r="K277" s="8" t="str">
        <f t="shared" si="13"/>
        <v/>
      </c>
      <c r="L277" s="8" t="str">
        <f t="shared" si="14"/>
        <v/>
      </c>
      <c r="M277" s="8">
        <f t="shared" si="12"/>
        <v>237</v>
      </c>
      <c r="N277" s="6" t="s">
        <v>26</v>
      </c>
    </row>
    <row r="278" spans="1:14" x14ac:dyDescent="0.2">
      <c r="A278" s="6" t="s">
        <v>228</v>
      </c>
      <c r="B278" s="6" t="s">
        <v>229</v>
      </c>
      <c r="C278" s="6" t="s">
        <v>20</v>
      </c>
      <c r="D278" s="7"/>
      <c r="E278" s="7"/>
      <c r="F278" s="7">
        <v>45092</v>
      </c>
      <c r="G278" s="9">
        <v>-75000</v>
      </c>
      <c r="H278" s="9">
        <v>-68807.34</v>
      </c>
      <c r="I278" s="9">
        <v>-6192.66</v>
      </c>
      <c r="J278" s="7">
        <v>45329</v>
      </c>
      <c r="K278" s="8" t="str">
        <f t="shared" si="13"/>
        <v/>
      </c>
      <c r="L278" s="8" t="str">
        <f t="shared" si="14"/>
        <v/>
      </c>
      <c r="M278" s="8">
        <f t="shared" si="12"/>
        <v>237</v>
      </c>
      <c r="N278" s="6" t="s">
        <v>26</v>
      </c>
    </row>
    <row r="279" spans="1:14" x14ac:dyDescent="0.2">
      <c r="A279" s="6" t="s">
        <v>290</v>
      </c>
      <c r="B279" s="6" t="s">
        <v>291</v>
      </c>
      <c r="C279" s="6" t="s">
        <v>20</v>
      </c>
      <c r="D279" s="7"/>
      <c r="E279" s="7"/>
      <c r="F279" s="7">
        <v>45093</v>
      </c>
      <c r="G279" s="9">
        <v>328000</v>
      </c>
      <c r="H279" s="9">
        <v>300917.43</v>
      </c>
      <c r="I279" s="9">
        <v>27082.57</v>
      </c>
      <c r="J279" s="7">
        <v>45657</v>
      </c>
      <c r="K279" s="8" t="str">
        <f t="shared" si="13"/>
        <v/>
      </c>
      <c r="L279" s="8" t="str">
        <f t="shared" si="14"/>
        <v/>
      </c>
      <c r="M279" s="8">
        <f t="shared" si="12"/>
        <v>564</v>
      </c>
      <c r="N279" s="6" t="s">
        <v>26</v>
      </c>
    </row>
    <row r="280" spans="1:14" x14ac:dyDescent="0.2">
      <c r="A280" s="6" t="s">
        <v>290</v>
      </c>
      <c r="B280" s="6" t="s">
        <v>291</v>
      </c>
      <c r="C280" s="6" t="s">
        <v>20</v>
      </c>
      <c r="D280" s="7"/>
      <c r="E280" s="7"/>
      <c r="F280" s="7">
        <v>45093</v>
      </c>
      <c r="G280" s="9">
        <v>328000</v>
      </c>
      <c r="H280" s="9">
        <v>300917.43</v>
      </c>
      <c r="I280" s="9">
        <v>27082.57</v>
      </c>
      <c r="J280" s="7">
        <v>45657</v>
      </c>
      <c r="K280" s="8" t="str">
        <f t="shared" si="13"/>
        <v/>
      </c>
      <c r="L280" s="8" t="str">
        <f t="shared" si="14"/>
        <v/>
      </c>
      <c r="M280" s="8">
        <f t="shared" si="12"/>
        <v>564</v>
      </c>
      <c r="N280" s="6" t="s">
        <v>26</v>
      </c>
    </row>
    <row r="281" spans="1:14" x14ac:dyDescent="0.2">
      <c r="A281" s="6" t="s">
        <v>290</v>
      </c>
      <c r="B281" s="6" t="s">
        <v>291</v>
      </c>
      <c r="C281" s="6" t="s">
        <v>20</v>
      </c>
      <c r="D281" s="7"/>
      <c r="E281" s="7"/>
      <c r="F281" s="7">
        <v>45093</v>
      </c>
      <c r="G281" s="9">
        <v>328000</v>
      </c>
      <c r="H281" s="9">
        <v>300917.43</v>
      </c>
      <c r="I281" s="9">
        <v>27082.57</v>
      </c>
      <c r="J281" s="7">
        <v>45657</v>
      </c>
      <c r="K281" s="8" t="str">
        <f t="shared" si="13"/>
        <v/>
      </c>
      <c r="L281" s="8" t="str">
        <f t="shared" si="14"/>
        <v/>
      </c>
      <c r="M281" s="8">
        <f t="shared" si="12"/>
        <v>564</v>
      </c>
      <c r="N281" s="6" t="s">
        <v>26</v>
      </c>
    </row>
    <row r="282" spans="1:14" x14ac:dyDescent="0.2">
      <c r="A282" s="6" t="s">
        <v>290</v>
      </c>
      <c r="B282" s="6" t="s">
        <v>291</v>
      </c>
      <c r="C282" s="6" t="s">
        <v>20</v>
      </c>
      <c r="D282" s="7"/>
      <c r="E282" s="7"/>
      <c r="F282" s="7">
        <v>45093</v>
      </c>
      <c r="G282" s="9">
        <v>328000</v>
      </c>
      <c r="H282" s="9">
        <v>300917.43</v>
      </c>
      <c r="I282" s="9">
        <v>27082.57</v>
      </c>
      <c r="J282" s="7">
        <v>45657</v>
      </c>
      <c r="K282" s="8" t="str">
        <f t="shared" si="13"/>
        <v/>
      </c>
      <c r="L282" s="8" t="str">
        <f t="shared" si="14"/>
        <v/>
      </c>
      <c r="M282" s="8">
        <f t="shared" si="12"/>
        <v>564</v>
      </c>
      <c r="N282" s="6" t="s">
        <v>26</v>
      </c>
    </row>
    <row r="283" spans="1:14" x14ac:dyDescent="0.2">
      <c r="A283" s="6" t="s">
        <v>292</v>
      </c>
      <c r="B283" s="6" t="s">
        <v>293</v>
      </c>
      <c r="C283" s="6" t="s">
        <v>20</v>
      </c>
      <c r="D283" s="7">
        <v>44770</v>
      </c>
      <c r="E283" s="7">
        <v>44772</v>
      </c>
      <c r="F283" s="7">
        <v>45093</v>
      </c>
      <c r="G283" s="9">
        <v>40000</v>
      </c>
      <c r="H283" s="9">
        <v>37735.85</v>
      </c>
      <c r="I283" s="9">
        <v>2264.15</v>
      </c>
      <c r="J283" s="7">
        <v>45849</v>
      </c>
      <c r="K283" s="8">
        <f t="shared" si="13"/>
        <v>2</v>
      </c>
      <c r="L283" s="8">
        <f t="shared" si="14"/>
        <v>321</v>
      </c>
      <c r="M283" s="8">
        <f t="shared" si="12"/>
        <v>756</v>
      </c>
      <c r="N283" s="6" t="s">
        <v>26</v>
      </c>
    </row>
    <row r="284" spans="1:14" x14ac:dyDescent="0.2">
      <c r="A284" s="6" t="s">
        <v>294</v>
      </c>
      <c r="B284" s="6" t="s">
        <v>295</v>
      </c>
      <c r="C284" s="6" t="s">
        <v>33</v>
      </c>
      <c r="D284" s="7">
        <v>44759</v>
      </c>
      <c r="E284" s="7">
        <v>44761</v>
      </c>
      <c r="F284" s="7">
        <v>45093</v>
      </c>
      <c r="G284" s="9">
        <v>30000</v>
      </c>
      <c r="H284" s="9">
        <v>26548.67</v>
      </c>
      <c r="I284" s="9">
        <v>3451.33</v>
      </c>
      <c r="J284" s="7">
        <v>45580</v>
      </c>
      <c r="K284" s="8">
        <f t="shared" si="13"/>
        <v>2</v>
      </c>
      <c r="L284" s="8">
        <f t="shared" si="14"/>
        <v>332</v>
      </c>
      <c r="M284" s="8">
        <f t="shared" si="12"/>
        <v>487</v>
      </c>
      <c r="N284" s="6" t="s">
        <v>26</v>
      </c>
    </row>
    <row r="285" spans="1:14" x14ac:dyDescent="0.2">
      <c r="A285" s="6" t="s">
        <v>160</v>
      </c>
      <c r="B285" s="6" t="s">
        <v>296</v>
      </c>
      <c r="C285" s="6" t="s">
        <v>20</v>
      </c>
      <c r="D285" s="7">
        <v>45017</v>
      </c>
      <c r="E285" s="7">
        <v>45029</v>
      </c>
      <c r="F285" s="7">
        <v>45098</v>
      </c>
      <c r="G285" s="9">
        <v>77970</v>
      </c>
      <c r="H285" s="9">
        <v>69000</v>
      </c>
      <c r="I285" s="9">
        <v>8970</v>
      </c>
      <c r="J285" s="7">
        <v>45615</v>
      </c>
      <c r="K285" s="8">
        <f t="shared" si="13"/>
        <v>12</v>
      </c>
      <c r="L285" s="8">
        <f t="shared" si="14"/>
        <v>69</v>
      </c>
      <c r="M285" s="8">
        <f t="shared" si="12"/>
        <v>517</v>
      </c>
      <c r="N285" s="6" t="s">
        <v>26</v>
      </c>
    </row>
    <row r="286" spans="1:14" x14ac:dyDescent="0.2">
      <c r="A286" s="6" t="s">
        <v>297</v>
      </c>
      <c r="B286" s="6" t="s">
        <v>298</v>
      </c>
      <c r="C286" s="6" t="s">
        <v>20</v>
      </c>
      <c r="D286" s="7">
        <v>45061</v>
      </c>
      <c r="E286" s="7">
        <v>45066</v>
      </c>
      <c r="F286" s="7">
        <v>45102</v>
      </c>
      <c r="G286" s="9">
        <v>3.5</v>
      </c>
      <c r="H286" s="9">
        <v>3.1</v>
      </c>
      <c r="I286" s="9">
        <v>0.4</v>
      </c>
      <c r="J286" s="7">
        <v>45326</v>
      </c>
      <c r="K286" s="8">
        <f t="shared" si="13"/>
        <v>5</v>
      </c>
      <c r="L286" s="8">
        <f t="shared" si="14"/>
        <v>36</v>
      </c>
      <c r="M286" s="8">
        <f t="shared" si="12"/>
        <v>224</v>
      </c>
      <c r="N286" s="6" t="s">
        <v>26</v>
      </c>
    </row>
    <row r="287" spans="1:14" x14ac:dyDescent="0.2">
      <c r="A287" s="6" t="s">
        <v>299</v>
      </c>
      <c r="B287" s="6" t="s">
        <v>300</v>
      </c>
      <c r="C287" s="6" t="s">
        <v>20</v>
      </c>
      <c r="D287" s="7">
        <v>45065</v>
      </c>
      <c r="E287" s="7">
        <v>46171</v>
      </c>
      <c r="F287" s="7">
        <v>45103</v>
      </c>
      <c r="G287" s="9">
        <v>1.8</v>
      </c>
      <c r="H287" s="9">
        <v>1.59</v>
      </c>
      <c r="I287" s="9">
        <v>0.21</v>
      </c>
      <c r="J287" s="7">
        <v>45314</v>
      </c>
      <c r="K287" s="8">
        <f t="shared" si="13"/>
        <v>1106</v>
      </c>
      <c r="L287" s="8">
        <f t="shared" si="14"/>
        <v>-1068</v>
      </c>
      <c r="M287" s="8">
        <f t="shared" si="12"/>
        <v>211</v>
      </c>
      <c r="N287" s="6" t="s">
        <v>26</v>
      </c>
    </row>
    <row r="288" spans="1:14" x14ac:dyDescent="0.2">
      <c r="A288" s="6" t="s">
        <v>301</v>
      </c>
      <c r="B288" s="6" t="s">
        <v>302</v>
      </c>
      <c r="C288" s="6" t="s">
        <v>20</v>
      </c>
      <c r="D288" s="7">
        <v>44329</v>
      </c>
      <c r="E288" s="7">
        <v>44330</v>
      </c>
      <c r="F288" s="7">
        <v>45104</v>
      </c>
      <c r="G288" s="9">
        <v>13000</v>
      </c>
      <c r="H288" s="9">
        <v>11504.42</v>
      </c>
      <c r="I288" s="9">
        <v>1495.58</v>
      </c>
      <c r="J288" s="7"/>
      <c r="K288" s="8">
        <f t="shared" si="13"/>
        <v>1</v>
      </c>
      <c r="L288" s="8">
        <f t="shared" si="14"/>
        <v>774</v>
      </c>
      <c r="M288" s="8" t="str">
        <f t="shared" si="12"/>
        <v/>
      </c>
      <c r="N288" s="6" t="s">
        <v>21</v>
      </c>
    </row>
    <row r="289" spans="1:14" x14ac:dyDescent="0.2">
      <c r="A289" s="6" t="s">
        <v>303</v>
      </c>
      <c r="B289" s="6" t="s">
        <v>304</v>
      </c>
      <c r="C289" s="6" t="s">
        <v>20</v>
      </c>
      <c r="D289" s="7"/>
      <c r="E289" s="7"/>
      <c r="F289" s="7">
        <v>45105</v>
      </c>
      <c r="G289" s="9">
        <v>212261.95</v>
      </c>
      <c r="H289" s="9">
        <v>201769.91</v>
      </c>
      <c r="I289" s="9">
        <v>10492.04</v>
      </c>
      <c r="J289" s="7">
        <v>45307</v>
      </c>
      <c r="K289" s="8" t="str">
        <f t="shared" si="13"/>
        <v/>
      </c>
      <c r="L289" s="8" t="str">
        <f t="shared" si="14"/>
        <v/>
      </c>
      <c r="M289" s="8">
        <f t="shared" si="12"/>
        <v>202</v>
      </c>
      <c r="N289" s="6" t="s">
        <v>26</v>
      </c>
    </row>
    <row r="290" spans="1:14" x14ac:dyDescent="0.2">
      <c r="A290" s="6" t="s">
        <v>303</v>
      </c>
      <c r="B290" s="6" t="s">
        <v>304</v>
      </c>
      <c r="C290" s="6" t="s">
        <v>20</v>
      </c>
      <c r="D290" s="7"/>
      <c r="E290" s="7"/>
      <c r="F290" s="7">
        <v>45105</v>
      </c>
      <c r="G290" s="9">
        <v>212261.95</v>
      </c>
      <c r="H290" s="9">
        <v>201769.91</v>
      </c>
      <c r="I290" s="9">
        <v>10492.04</v>
      </c>
      <c r="J290" s="7">
        <v>45307</v>
      </c>
      <c r="K290" s="8" t="str">
        <f t="shared" si="13"/>
        <v/>
      </c>
      <c r="L290" s="8" t="str">
        <f t="shared" si="14"/>
        <v/>
      </c>
      <c r="M290" s="8">
        <f t="shared" si="12"/>
        <v>202</v>
      </c>
      <c r="N290" s="6" t="s">
        <v>26</v>
      </c>
    </row>
    <row r="291" spans="1:14" x14ac:dyDescent="0.2">
      <c r="A291" s="6" t="s">
        <v>303</v>
      </c>
      <c r="B291" s="6" t="s">
        <v>304</v>
      </c>
      <c r="C291" s="6" t="s">
        <v>20</v>
      </c>
      <c r="D291" s="7"/>
      <c r="E291" s="7"/>
      <c r="F291" s="7">
        <v>45105</v>
      </c>
      <c r="G291" s="9">
        <v>228000</v>
      </c>
      <c r="H291" s="9">
        <v>201769.91</v>
      </c>
      <c r="I291" s="9">
        <v>26230.09</v>
      </c>
      <c r="J291" s="7">
        <v>45307</v>
      </c>
      <c r="K291" s="8" t="str">
        <f t="shared" si="13"/>
        <v/>
      </c>
      <c r="L291" s="8" t="str">
        <f t="shared" si="14"/>
        <v/>
      </c>
      <c r="M291" s="8">
        <f t="shared" si="12"/>
        <v>202</v>
      </c>
      <c r="N291" s="6" t="s">
        <v>26</v>
      </c>
    </row>
    <row r="292" spans="1:14" x14ac:dyDescent="0.2">
      <c r="A292" s="6" t="s">
        <v>305</v>
      </c>
      <c r="B292" s="6" t="s">
        <v>306</v>
      </c>
      <c r="C292" s="6" t="s">
        <v>20</v>
      </c>
      <c r="D292" s="7"/>
      <c r="E292" s="7"/>
      <c r="F292" s="7">
        <v>45107</v>
      </c>
      <c r="G292" s="9">
        <v>101900</v>
      </c>
      <c r="H292" s="9">
        <v>90176.98</v>
      </c>
      <c r="I292" s="9">
        <v>11723.02</v>
      </c>
      <c r="J292" s="7">
        <v>45322</v>
      </c>
      <c r="K292" s="8" t="str">
        <f t="shared" si="13"/>
        <v/>
      </c>
      <c r="L292" s="8" t="str">
        <f t="shared" si="14"/>
        <v/>
      </c>
      <c r="M292" s="8">
        <f t="shared" si="12"/>
        <v>215</v>
      </c>
      <c r="N292" s="6" t="s">
        <v>26</v>
      </c>
    </row>
    <row r="293" spans="1:14" x14ac:dyDescent="0.2">
      <c r="A293" s="6" t="s">
        <v>305</v>
      </c>
      <c r="B293" s="6" t="s">
        <v>306</v>
      </c>
      <c r="C293" s="6" t="s">
        <v>20</v>
      </c>
      <c r="D293" s="7"/>
      <c r="E293" s="7"/>
      <c r="F293" s="7">
        <v>45107</v>
      </c>
      <c r="G293" s="9">
        <v>79000</v>
      </c>
      <c r="H293" s="9">
        <v>69911.5</v>
      </c>
      <c r="I293" s="9">
        <v>9088.5</v>
      </c>
      <c r="J293" s="7">
        <v>45322</v>
      </c>
      <c r="K293" s="8" t="str">
        <f t="shared" si="13"/>
        <v/>
      </c>
      <c r="L293" s="8" t="str">
        <f t="shared" si="14"/>
        <v/>
      </c>
      <c r="M293" s="8">
        <f t="shared" si="12"/>
        <v>215</v>
      </c>
      <c r="N293" s="6" t="s">
        <v>26</v>
      </c>
    </row>
    <row r="294" spans="1:14" x14ac:dyDescent="0.2">
      <c r="A294" s="6" t="s">
        <v>255</v>
      </c>
      <c r="B294" s="6" t="s">
        <v>307</v>
      </c>
      <c r="C294" s="6" t="s">
        <v>20</v>
      </c>
      <c r="D294" s="7">
        <v>45070</v>
      </c>
      <c r="E294" s="7">
        <v>45075</v>
      </c>
      <c r="F294" s="7">
        <v>45107</v>
      </c>
      <c r="G294" s="9">
        <v>50000</v>
      </c>
      <c r="H294" s="9">
        <v>44247.79</v>
      </c>
      <c r="I294" s="9">
        <v>5752.21</v>
      </c>
      <c r="J294" s="7">
        <v>45378</v>
      </c>
      <c r="K294" s="8">
        <f t="shared" si="13"/>
        <v>5</v>
      </c>
      <c r="L294" s="8">
        <f t="shared" si="14"/>
        <v>32</v>
      </c>
      <c r="M294" s="8">
        <f t="shared" si="12"/>
        <v>271</v>
      </c>
      <c r="N294" s="6" t="s">
        <v>26</v>
      </c>
    </row>
    <row r="295" spans="1:14" x14ac:dyDescent="0.2">
      <c r="A295" s="6" t="s">
        <v>308</v>
      </c>
      <c r="B295" s="6" t="s">
        <v>309</v>
      </c>
      <c r="C295" s="6" t="s">
        <v>20</v>
      </c>
      <c r="D295" s="7">
        <v>44941</v>
      </c>
      <c r="E295" s="7">
        <v>44943</v>
      </c>
      <c r="F295" s="7">
        <v>45110</v>
      </c>
      <c r="G295" s="9">
        <v>2152.21</v>
      </c>
      <c r="H295" s="9">
        <v>840.71</v>
      </c>
      <c r="I295" s="9">
        <v>1311.5</v>
      </c>
      <c r="J295" s="7">
        <v>45755</v>
      </c>
      <c r="K295" s="8">
        <f t="shared" si="13"/>
        <v>2</v>
      </c>
      <c r="L295" s="8">
        <f t="shared" si="14"/>
        <v>167</v>
      </c>
      <c r="M295" s="8">
        <f t="shared" si="12"/>
        <v>645</v>
      </c>
      <c r="N295" s="6" t="s">
        <v>26</v>
      </c>
    </row>
    <row r="296" spans="1:14" x14ac:dyDescent="0.2">
      <c r="A296" s="6" t="s">
        <v>308</v>
      </c>
      <c r="B296" s="6" t="s">
        <v>310</v>
      </c>
      <c r="C296" s="6" t="s">
        <v>20</v>
      </c>
      <c r="D296" s="7">
        <v>44941</v>
      </c>
      <c r="E296" s="7">
        <v>44943</v>
      </c>
      <c r="F296" s="7">
        <v>45110</v>
      </c>
      <c r="G296" s="9">
        <v>10000</v>
      </c>
      <c r="H296" s="9">
        <v>8849.56</v>
      </c>
      <c r="I296" s="9">
        <v>1150.44</v>
      </c>
      <c r="J296" s="7">
        <v>45755</v>
      </c>
      <c r="K296" s="8">
        <f t="shared" si="13"/>
        <v>2</v>
      </c>
      <c r="L296" s="8">
        <f t="shared" si="14"/>
        <v>167</v>
      </c>
      <c r="M296" s="8">
        <f t="shared" si="12"/>
        <v>645</v>
      </c>
      <c r="N296" s="6" t="s">
        <v>26</v>
      </c>
    </row>
    <row r="297" spans="1:14" x14ac:dyDescent="0.2">
      <c r="A297" s="6" t="s">
        <v>223</v>
      </c>
      <c r="B297" s="6" t="s">
        <v>311</v>
      </c>
      <c r="C297" s="6" t="s">
        <v>20</v>
      </c>
      <c r="D297" s="7"/>
      <c r="E297" s="7"/>
      <c r="F297" s="7">
        <v>45110</v>
      </c>
      <c r="G297" s="9">
        <v>78000</v>
      </c>
      <c r="H297" s="9">
        <v>69026.55</v>
      </c>
      <c r="I297" s="9">
        <v>8973.4500000000007</v>
      </c>
      <c r="J297" s="7">
        <v>45313</v>
      </c>
      <c r="K297" s="8" t="str">
        <f t="shared" si="13"/>
        <v/>
      </c>
      <c r="L297" s="8" t="str">
        <f t="shared" si="14"/>
        <v/>
      </c>
      <c r="M297" s="8">
        <f t="shared" si="12"/>
        <v>203</v>
      </c>
      <c r="N297" s="6" t="s">
        <v>26</v>
      </c>
    </row>
    <row r="298" spans="1:14" x14ac:dyDescent="0.2">
      <c r="A298" s="6" t="s">
        <v>223</v>
      </c>
      <c r="B298" s="6" t="s">
        <v>312</v>
      </c>
      <c r="C298" s="6" t="s">
        <v>20</v>
      </c>
      <c r="D298" s="7"/>
      <c r="E298" s="7"/>
      <c r="F298" s="7">
        <v>45110</v>
      </c>
      <c r="G298" s="9">
        <v>2.99</v>
      </c>
      <c r="H298" s="9">
        <v>2.65</v>
      </c>
      <c r="I298" s="9">
        <v>0.34</v>
      </c>
      <c r="J298" s="7">
        <v>45313</v>
      </c>
      <c r="K298" s="8" t="str">
        <f t="shared" si="13"/>
        <v/>
      </c>
      <c r="L298" s="8" t="str">
        <f t="shared" si="14"/>
        <v/>
      </c>
      <c r="M298" s="8">
        <f t="shared" si="12"/>
        <v>203</v>
      </c>
      <c r="N298" s="6" t="s">
        <v>26</v>
      </c>
    </row>
    <row r="299" spans="1:14" x14ac:dyDescent="0.2">
      <c r="A299" s="6" t="s">
        <v>223</v>
      </c>
      <c r="B299" s="6" t="s">
        <v>312</v>
      </c>
      <c r="C299" s="6" t="s">
        <v>20</v>
      </c>
      <c r="D299" s="7"/>
      <c r="E299" s="7"/>
      <c r="F299" s="7">
        <v>45110</v>
      </c>
      <c r="G299" s="9">
        <v>2.99</v>
      </c>
      <c r="H299" s="9">
        <v>2.65</v>
      </c>
      <c r="I299" s="9">
        <v>0.34</v>
      </c>
      <c r="J299" s="7">
        <v>45313</v>
      </c>
      <c r="K299" s="8" t="str">
        <f t="shared" si="13"/>
        <v/>
      </c>
      <c r="L299" s="8" t="str">
        <f t="shared" si="14"/>
        <v/>
      </c>
      <c r="M299" s="8">
        <f t="shared" si="12"/>
        <v>203</v>
      </c>
      <c r="N299" s="6" t="s">
        <v>26</v>
      </c>
    </row>
    <row r="300" spans="1:14" x14ac:dyDescent="0.2">
      <c r="A300" s="6" t="s">
        <v>223</v>
      </c>
      <c r="B300" s="6" t="s">
        <v>312</v>
      </c>
      <c r="C300" s="6" t="s">
        <v>20</v>
      </c>
      <c r="D300" s="7"/>
      <c r="E300" s="7"/>
      <c r="F300" s="7">
        <v>45110</v>
      </c>
      <c r="G300" s="9">
        <v>2.99</v>
      </c>
      <c r="H300" s="9">
        <v>2.65</v>
      </c>
      <c r="I300" s="9">
        <v>0.34</v>
      </c>
      <c r="J300" s="7">
        <v>45313</v>
      </c>
      <c r="K300" s="8" t="str">
        <f t="shared" si="13"/>
        <v/>
      </c>
      <c r="L300" s="8" t="str">
        <f t="shared" si="14"/>
        <v/>
      </c>
      <c r="M300" s="8">
        <f t="shared" si="12"/>
        <v>203</v>
      </c>
      <c r="N300" s="6" t="s">
        <v>26</v>
      </c>
    </row>
    <row r="301" spans="1:14" x14ac:dyDescent="0.2">
      <c r="A301" s="6" t="s">
        <v>313</v>
      </c>
      <c r="B301" s="6" t="s">
        <v>314</v>
      </c>
      <c r="C301" s="6" t="s">
        <v>20</v>
      </c>
      <c r="D301" s="7"/>
      <c r="E301" s="7"/>
      <c r="F301" s="7">
        <v>45112</v>
      </c>
      <c r="G301" s="9">
        <v>93000</v>
      </c>
      <c r="H301" s="9">
        <v>82300.89</v>
      </c>
      <c r="I301" s="9">
        <v>10699.11</v>
      </c>
      <c r="J301" s="7">
        <v>45533</v>
      </c>
      <c r="K301" s="8" t="str">
        <f t="shared" si="13"/>
        <v/>
      </c>
      <c r="L301" s="8" t="str">
        <f t="shared" si="14"/>
        <v/>
      </c>
      <c r="M301" s="8">
        <f t="shared" si="12"/>
        <v>421</v>
      </c>
      <c r="N301" s="6" t="s">
        <v>26</v>
      </c>
    </row>
    <row r="302" spans="1:14" x14ac:dyDescent="0.2">
      <c r="A302" s="6" t="s">
        <v>313</v>
      </c>
      <c r="B302" s="6" t="s">
        <v>314</v>
      </c>
      <c r="C302" s="6" t="s">
        <v>20</v>
      </c>
      <c r="D302" s="7"/>
      <c r="E302" s="7"/>
      <c r="F302" s="7">
        <v>45112</v>
      </c>
      <c r="G302" s="9">
        <v>105000</v>
      </c>
      <c r="H302" s="9">
        <v>92920.35</v>
      </c>
      <c r="I302" s="9">
        <v>12079.65</v>
      </c>
      <c r="J302" s="7">
        <v>45533</v>
      </c>
      <c r="K302" s="8" t="str">
        <f t="shared" si="13"/>
        <v/>
      </c>
      <c r="L302" s="8" t="str">
        <f t="shared" si="14"/>
        <v/>
      </c>
      <c r="M302" s="8">
        <f t="shared" si="12"/>
        <v>421</v>
      </c>
      <c r="N302" s="6" t="s">
        <v>26</v>
      </c>
    </row>
    <row r="303" spans="1:14" x14ac:dyDescent="0.2">
      <c r="A303" s="6" t="s">
        <v>315</v>
      </c>
      <c r="B303" s="6" t="s">
        <v>316</v>
      </c>
      <c r="C303" s="6" t="s">
        <v>20</v>
      </c>
      <c r="D303" s="7"/>
      <c r="E303" s="7"/>
      <c r="F303" s="7">
        <v>45112</v>
      </c>
      <c r="G303" s="9">
        <v>85000</v>
      </c>
      <c r="H303" s="9">
        <v>80188.679999999993</v>
      </c>
      <c r="I303" s="9">
        <v>4811.32</v>
      </c>
      <c r="J303" s="7"/>
      <c r="K303" s="8" t="str">
        <f t="shared" si="13"/>
        <v/>
      </c>
      <c r="L303" s="8" t="str">
        <f t="shared" si="14"/>
        <v/>
      </c>
      <c r="M303" s="8" t="str">
        <f t="shared" si="12"/>
        <v/>
      </c>
      <c r="N303" s="6" t="s">
        <v>21</v>
      </c>
    </row>
    <row r="304" spans="1:14" x14ac:dyDescent="0.2">
      <c r="A304" s="6" t="s">
        <v>315</v>
      </c>
      <c r="B304" s="6" t="s">
        <v>316</v>
      </c>
      <c r="C304" s="6" t="s">
        <v>20</v>
      </c>
      <c r="D304" s="7"/>
      <c r="E304" s="7"/>
      <c r="F304" s="7">
        <v>45112</v>
      </c>
      <c r="G304" s="9">
        <v>85000</v>
      </c>
      <c r="H304" s="9">
        <v>80188.679999999993</v>
      </c>
      <c r="I304" s="9">
        <v>4811.32</v>
      </c>
      <c r="J304" s="7"/>
      <c r="K304" s="8" t="str">
        <f t="shared" si="13"/>
        <v/>
      </c>
      <c r="L304" s="8" t="str">
        <f t="shared" si="14"/>
        <v/>
      </c>
      <c r="M304" s="8" t="str">
        <f t="shared" si="12"/>
        <v/>
      </c>
      <c r="N304" s="6" t="s">
        <v>21</v>
      </c>
    </row>
    <row r="305" spans="1:14" x14ac:dyDescent="0.2">
      <c r="A305" s="6" t="s">
        <v>315</v>
      </c>
      <c r="B305" s="6" t="s">
        <v>316</v>
      </c>
      <c r="C305" s="6" t="s">
        <v>20</v>
      </c>
      <c r="D305" s="7"/>
      <c r="E305" s="7"/>
      <c r="F305" s="7">
        <v>45112</v>
      </c>
      <c r="G305" s="9">
        <v>42500</v>
      </c>
      <c r="H305" s="9">
        <v>40094.339999999997</v>
      </c>
      <c r="I305" s="9">
        <v>2405.66</v>
      </c>
      <c r="J305" s="7"/>
      <c r="K305" s="8" t="str">
        <f t="shared" si="13"/>
        <v/>
      </c>
      <c r="L305" s="8" t="str">
        <f t="shared" si="14"/>
        <v/>
      </c>
      <c r="M305" s="8" t="str">
        <f t="shared" si="12"/>
        <v/>
      </c>
      <c r="N305" s="6" t="s">
        <v>21</v>
      </c>
    </row>
    <row r="306" spans="1:14" x14ac:dyDescent="0.2">
      <c r="A306" s="6" t="s">
        <v>317</v>
      </c>
      <c r="B306" s="6" t="s">
        <v>318</v>
      </c>
      <c r="C306" s="6" t="s">
        <v>20</v>
      </c>
      <c r="D306" s="7"/>
      <c r="E306" s="7"/>
      <c r="F306" s="7">
        <v>45113</v>
      </c>
      <c r="G306" s="9">
        <v>3.8</v>
      </c>
      <c r="H306" s="9">
        <v>3.36</v>
      </c>
      <c r="I306" s="9">
        <v>0.44</v>
      </c>
      <c r="J306" s="7">
        <v>45600</v>
      </c>
      <c r="K306" s="8" t="str">
        <f t="shared" si="13"/>
        <v/>
      </c>
      <c r="L306" s="8" t="str">
        <f t="shared" si="14"/>
        <v/>
      </c>
      <c r="M306" s="8">
        <f t="shared" si="12"/>
        <v>487</v>
      </c>
      <c r="N306" s="6" t="s">
        <v>26</v>
      </c>
    </row>
    <row r="307" spans="1:14" x14ac:dyDescent="0.2">
      <c r="A307" s="6" t="s">
        <v>317</v>
      </c>
      <c r="B307" s="6" t="s">
        <v>318</v>
      </c>
      <c r="C307" s="6" t="s">
        <v>20</v>
      </c>
      <c r="D307" s="7"/>
      <c r="E307" s="7"/>
      <c r="F307" s="7">
        <v>45113</v>
      </c>
      <c r="G307" s="9">
        <v>3.8</v>
      </c>
      <c r="H307" s="9">
        <v>3.36</v>
      </c>
      <c r="I307" s="9">
        <v>0.44</v>
      </c>
      <c r="J307" s="7">
        <v>45600</v>
      </c>
      <c r="K307" s="8" t="str">
        <f t="shared" si="13"/>
        <v/>
      </c>
      <c r="L307" s="8" t="str">
        <f t="shared" si="14"/>
        <v/>
      </c>
      <c r="M307" s="8">
        <f t="shared" si="12"/>
        <v>487</v>
      </c>
      <c r="N307" s="6" t="s">
        <v>26</v>
      </c>
    </row>
    <row r="308" spans="1:14" x14ac:dyDescent="0.2">
      <c r="A308" s="6" t="s">
        <v>317</v>
      </c>
      <c r="B308" s="6" t="s">
        <v>319</v>
      </c>
      <c r="C308" s="6" t="s">
        <v>20</v>
      </c>
      <c r="D308" s="7"/>
      <c r="E308" s="7"/>
      <c r="F308" s="7">
        <v>45113</v>
      </c>
      <c r="G308" s="9">
        <v>3.8</v>
      </c>
      <c r="H308" s="9">
        <v>3.36</v>
      </c>
      <c r="I308" s="9">
        <v>0.44</v>
      </c>
      <c r="J308" s="7">
        <v>45600</v>
      </c>
      <c r="K308" s="8" t="str">
        <f t="shared" si="13"/>
        <v/>
      </c>
      <c r="L308" s="8" t="str">
        <f t="shared" si="14"/>
        <v/>
      </c>
      <c r="M308" s="8">
        <f t="shared" si="12"/>
        <v>487</v>
      </c>
      <c r="N308" s="6" t="s">
        <v>26</v>
      </c>
    </row>
    <row r="309" spans="1:14" x14ac:dyDescent="0.2">
      <c r="A309" s="6" t="s">
        <v>187</v>
      </c>
      <c r="B309" s="6" t="s">
        <v>320</v>
      </c>
      <c r="C309" s="6" t="s">
        <v>20</v>
      </c>
      <c r="D309" s="7"/>
      <c r="E309" s="7"/>
      <c r="F309" s="7">
        <v>45114</v>
      </c>
      <c r="G309" s="9">
        <v>20000.009999999998</v>
      </c>
      <c r="H309" s="9">
        <v>17699.12</v>
      </c>
      <c r="I309" s="9">
        <v>2300.89</v>
      </c>
      <c r="J309" s="7">
        <v>45433</v>
      </c>
      <c r="K309" s="8" t="str">
        <f t="shared" si="13"/>
        <v/>
      </c>
      <c r="L309" s="8" t="str">
        <f t="shared" si="14"/>
        <v/>
      </c>
      <c r="M309" s="8">
        <f t="shared" si="12"/>
        <v>319</v>
      </c>
      <c r="N309" s="6" t="s">
        <v>26</v>
      </c>
    </row>
    <row r="310" spans="1:14" x14ac:dyDescent="0.2">
      <c r="A310" s="6" t="s">
        <v>187</v>
      </c>
      <c r="B310" s="6" t="s">
        <v>320</v>
      </c>
      <c r="C310" s="6" t="s">
        <v>20</v>
      </c>
      <c r="D310" s="7">
        <v>44971</v>
      </c>
      <c r="E310" s="7">
        <v>44996</v>
      </c>
      <c r="F310" s="7">
        <v>45114</v>
      </c>
      <c r="G310" s="9">
        <v>106000</v>
      </c>
      <c r="H310" s="9">
        <v>93805.31</v>
      </c>
      <c r="I310" s="9">
        <v>12194.69</v>
      </c>
      <c r="J310" s="7">
        <v>45433</v>
      </c>
      <c r="K310" s="8">
        <f t="shared" si="13"/>
        <v>25</v>
      </c>
      <c r="L310" s="8">
        <f t="shared" si="14"/>
        <v>118</v>
      </c>
      <c r="M310" s="8">
        <f t="shared" si="12"/>
        <v>319</v>
      </c>
      <c r="N310" s="6" t="s">
        <v>26</v>
      </c>
    </row>
    <row r="311" spans="1:14" x14ac:dyDescent="0.2">
      <c r="A311" s="6" t="s">
        <v>321</v>
      </c>
      <c r="B311" s="6" t="s">
        <v>322</v>
      </c>
      <c r="C311" s="6" t="s">
        <v>20</v>
      </c>
      <c r="D311" s="7"/>
      <c r="E311" s="7"/>
      <c r="F311" s="7">
        <v>45117</v>
      </c>
      <c r="G311" s="9">
        <v>85000</v>
      </c>
      <c r="H311" s="9">
        <v>75221.240000000005</v>
      </c>
      <c r="I311" s="9">
        <v>9778.76</v>
      </c>
      <c r="J311" s="7">
        <v>45436</v>
      </c>
      <c r="K311" s="8" t="str">
        <f t="shared" si="13"/>
        <v/>
      </c>
      <c r="L311" s="8" t="str">
        <f t="shared" si="14"/>
        <v/>
      </c>
      <c r="M311" s="8">
        <f t="shared" si="12"/>
        <v>319</v>
      </c>
      <c r="N311" s="6" t="s">
        <v>26</v>
      </c>
    </row>
    <row r="312" spans="1:14" x14ac:dyDescent="0.2">
      <c r="A312" s="6" t="s">
        <v>31</v>
      </c>
      <c r="B312" s="6" t="s">
        <v>323</v>
      </c>
      <c r="C312" s="6" t="s">
        <v>33</v>
      </c>
      <c r="D312" s="7">
        <v>45090</v>
      </c>
      <c r="E312" s="7">
        <v>45091</v>
      </c>
      <c r="F312" s="7">
        <v>45117</v>
      </c>
      <c r="G312" s="9">
        <v>28000</v>
      </c>
      <c r="H312" s="9">
        <v>24778.76</v>
      </c>
      <c r="I312" s="9">
        <v>3221.24</v>
      </c>
      <c r="J312" s="7">
        <v>45593</v>
      </c>
      <c r="K312" s="8">
        <f t="shared" si="13"/>
        <v>1</v>
      </c>
      <c r="L312" s="8">
        <f t="shared" si="14"/>
        <v>26</v>
      </c>
      <c r="M312" s="8">
        <f t="shared" si="12"/>
        <v>476</v>
      </c>
      <c r="N312" s="6" t="s">
        <v>26</v>
      </c>
    </row>
    <row r="313" spans="1:14" x14ac:dyDescent="0.2">
      <c r="A313" s="6" t="s">
        <v>29</v>
      </c>
      <c r="B313" s="6" t="s">
        <v>324</v>
      </c>
      <c r="C313" s="6" t="s">
        <v>20</v>
      </c>
      <c r="D313" s="7"/>
      <c r="E313" s="7"/>
      <c r="F313" s="7">
        <v>45118</v>
      </c>
      <c r="G313" s="9">
        <v>104000</v>
      </c>
      <c r="H313" s="9">
        <v>92035.4</v>
      </c>
      <c r="I313" s="9">
        <v>11964.6</v>
      </c>
      <c r="J313" s="7">
        <v>45365</v>
      </c>
      <c r="K313" s="8" t="str">
        <f t="shared" si="13"/>
        <v/>
      </c>
      <c r="L313" s="8" t="str">
        <f t="shared" si="14"/>
        <v/>
      </c>
      <c r="M313" s="8">
        <f t="shared" si="12"/>
        <v>247</v>
      </c>
      <c r="N313" s="6" t="s">
        <v>26</v>
      </c>
    </row>
    <row r="314" spans="1:14" x14ac:dyDescent="0.2">
      <c r="A314" s="6" t="s">
        <v>29</v>
      </c>
      <c r="B314" s="6" t="s">
        <v>325</v>
      </c>
      <c r="C314" s="6" t="s">
        <v>20</v>
      </c>
      <c r="D314" s="7"/>
      <c r="E314" s="7"/>
      <c r="F314" s="7">
        <v>45118</v>
      </c>
      <c r="G314" s="9">
        <v>25000</v>
      </c>
      <c r="H314" s="9">
        <v>22123.89</v>
      </c>
      <c r="I314" s="9">
        <v>2876.11</v>
      </c>
      <c r="J314" s="7">
        <v>45365</v>
      </c>
      <c r="K314" s="8" t="str">
        <f t="shared" si="13"/>
        <v/>
      </c>
      <c r="L314" s="8" t="str">
        <f t="shared" si="14"/>
        <v/>
      </c>
      <c r="M314" s="8">
        <f t="shared" si="12"/>
        <v>247</v>
      </c>
      <c r="N314" s="6" t="s">
        <v>26</v>
      </c>
    </row>
    <row r="315" spans="1:14" x14ac:dyDescent="0.2">
      <c r="A315" s="6" t="s">
        <v>29</v>
      </c>
      <c r="B315" s="6" t="s">
        <v>325</v>
      </c>
      <c r="C315" s="6" t="s">
        <v>20</v>
      </c>
      <c r="D315" s="7"/>
      <c r="E315" s="7"/>
      <c r="F315" s="7">
        <v>45118</v>
      </c>
      <c r="G315" s="9">
        <v>25000</v>
      </c>
      <c r="H315" s="9">
        <v>22123.89</v>
      </c>
      <c r="I315" s="9">
        <v>2876.11</v>
      </c>
      <c r="J315" s="7">
        <v>45365</v>
      </c>
      <c r="K315" s="8" t="str">
        <f t="shared" si="13"/>
        <v/>
      </c>
      <c r="L315" s="8" t="str">
        <f t="shared" si="14"/>
        <v/>
      </c>
      <c r="M315" s="8">
        <f t="shared" si="12"/>
        <v>247</v>
      </c>
      <c r="N315" s="6" t="s">
        <v>26</v>
      </c>
    </row>
    <row r="316" spans="1:14" x14ac:dyDescent="0.2">
      <c r="A316" s="6" t="s">
        <v>145</v>
      </c>
      <c r="B316" s="6" t="s">
        <v>250</v>
      </c>
      <c r="C316" s="6" t="s">
        <v>20</v>
      </c>
      <c r="D316" s="7"/>
      <c r="E316" s="7"/>
      <c r="F316" s="7">
        <v>45118</v>
      </c>
      <c r="G316" s="9">
        <v>59500</v>
      </c>
      <c r="H316" s="9">
        <v>54587.16</v>
      </c>
      <c r="I316" s="9">
        <v>4912.84</v>
      </c>
      <c r="J316" s="7">
        <v>45301</v>
      </c>
      <c r="K316" s="8" t="str">
        <f t="shared" si="13"/>
        <v/>
      </c>
      <c r="L316" s="8" t="str">
        <f t="shared" si="14"/>
        <v/>
      </c>
      <c r="M316" s="8">
        <f t="shared" si="12"/>
        <v>183</v>
      </c>
      <c r="N316" s="6" t="s">
        <v>26</v>
      </c>
    </row>
    <row r="317" spans="1:14" x14ac:dyDescent="0.2">
      <c r="A317" s="6" t="s">
        <v>145</v>
      </c>
      <c r="B317" s="6" t="s">
        <v>250</v>
      </c>
      <c r="C317" s="6" t="s">
        <v>20</v>
      </c>
      <c r="D317" s="7"/>
      <c r="E317" s="7"/>
      <c r="F317" s="7">
        <v>45118</v>
      </c>
      <c r="G317" s="9">
        <v>-70000</v>
      </c>
      <c r="H317" s="9">
        <v>-64220.18</v>
      </c>
      <c r="I317" s="9">
        <v>-5779.82</v>
      </c>
      <c r="J317" s="7">
        <v>45301</v>
      </c>
      <c r="K317" s="8" t="str">
        <f t="shared" si="13"/>
        <v/>
      </c>
      <c r="L317" s="8" t="str">
        <f t="shared" si="14"/>
        <v/>
      </c>
      <c r="M317" s="8">
        <f t="shared" si="12"/>
        <v>183</v>
      </c>
      <c r="N317" s="6" t="s">
        <v>26</v>
      </c>
    </row>
    <row r="318" spans="1:14" x14ac:dyDescent="0.2">
      <c r="A318" s="6" t="s">
        <v>326</v>
      </c>
      <c r="B318" s="6" t="s">
        <v>327</v>
      </c>
      <c r="C318" s="6" t="s">
        <v>20</v>
      </c>
      <c r="D318" s="7">
        <v>45004</v>
      </c>
      <c r="E318" s="7">
        <v>45012</v>
      </c>
      <c r="F318" s="7">
        <v>45118</v>
      </c>
      <c r="G318" s="9">
        <v>38000</v>
      </c>
      <c r="H318" s="9">
        <v>33628.32</v>
      </c>
      <c r="I318" s="9">
        <v>4371.68</v>
      </c>
      <c r="J318" s="7"/>
      <c r="K318" s="8">
        <f t="shared" si="13"/>
        <v>8</v>
      </c>
      <c r="L318" s="8">
        <f t="shared" si="14"/>
        <v>106</v>
      </c>
      <c r="M318" s="8" t="str">
        <f t="shared" si="12"/>
        <v/>
      </c>
      <c r="N318" s="6" t="s">
        <v>21</v>
      </c>
    </row>
    <row r="319" spans="1:14" x14ac:dyDescent="0.2">
      <c r="A319" s="6" t="s">
        <v>326</v>
      </c>
      <c r="B319" s="6" t="s">
        <v>327</v>
      </c>
      <c r="C319" s="6" t="s">
        <v>20</v>
      </c>
      <c r="D319" s="7"/>
      <c r="E319" s="7"/>
      <c r="F319" s="7">
        <v>45118</v>
      </c>
      <c r="G319" s="9">
        <v>12000</v>
      </c>
      <c r="H319" s="9">
        <v>10619.47</v>
      </c>
      <c r="I319" s="9">
        <v>1380.53</v>
      </c>
      <c r="J319" s="7"/>
      <c r="K319" s="8" t="str">
        <f t="shared" si="13"/>
        <v/>
      </c>
      <c r="L319" s="8" t="str">
        <f t="shared" si="14"/>
        <v/>
      </c>
      <c r="M319" s="8" t="str">
        <f t="shared" si="12"/>
        <v/>
      </c>
      <c r="N319" s="6" t="s">
        <v>21</v>
      </c>
    </row>
    <row r="320" spans="1:14" x14ac:dyDescent="0.2">
      <c r="A320" s="6" t="s">
        <v>328</v>
      </c>
      <c r="B320" s="6" t="s">
        <v>329</v>
      </c>
      <c r="C320" s="6" t="s">
        <v>20</v>
      </c>
      <c r="D320" s="7">
        <v>45100</v>
      </c>
      <c r="E320" s="7">
        <v>45104</v>
      </c>
      <c r="F320" s="7">
        <v>45119</v>
      </c>
      <c r="G320" s="9">
        <v>36000</v>
      </c>
      <c r="H320" s="9">
        <v>31858.41</v>
      </c>
      <c r="I320" s="9">
        <v>4141.59</v>
      </c>
      <c r="J320" s="7">
        <v>45684</v>
      </c>
      <c r="K320" s="8">
        <f t="shared" si="13"/>
        <v>4</v>
      </c>
      <c r="L320" s="8">
        <f t="shared" si="14"/>
        <v>15</v>
      </c>
      <c r="M320" s="8">
        <f t="shared" si="12"/>
        <v>565</v>
      </c>
      <c r="N320" s="6" t="s">
        <v>26</v>
      </c>
    </row>
    <row r="321" spans="1:14" x14ac:dyDescent="0.2">
      <c r="A321" s="6" t="s">
        <v>240</v>
      </c>
      <c r="B321" s="6" t="s">
        <v>330</v>
      </c>
      <c r="C321" s="6" t="s">
        <v>20</v>
      </c>
      <c r="D321" s="7"/>
      <c r="E321" s="7"/>
      <c r="F321" s="7">
        <v>45119</v>
      </c>
      <c r="G321" s="9">
        <v>97800</v>
      </c>
      <c r="H321" s="9">
        <v>86548.67</v>
      </c>
      <c r="I321" s="9">
        <v>11251.33</v>
      </c>
      <c r="J321" s="7">
        <v>45561</v>
      </c>
      <c r="K321" s="8" t="str">
        <f t="shared" si="13"/>
        <v/>
      </c>
      <c r="L321" s="8" t="str">
        <f t="shared" si="14"/>
        <v/>
      </c>
      <c r="M321" s="8">
        <f t="shared" si="12"/>
        <v>442</v>
      </c>
      <c r="N321" s="6" t="s">
        <v>26</v>
      </c>
    </row>
    <row r="322" spans="1:14" x14ac:dyDescent="0.2">
      <c r="A322" s="6" t="s">
        <v>275</v>
      </c>
      <c r="B322" s="6" t="s">
        <v>276</v>
      </c>
      <c r="C322" s="6" t="s">
        <v>20</v>
      </c>
      <c r="D322" s="7"/>
      <c r="E322" s="7"/>
      <c r="F322" s="7">
        <v>45120</v>
      </c>
      <c r="G322" s="9">
        <v>72000</v>
      </c>
      <c r="H322" s="9">
        <v>63716.81</v>
      </c>
      <c r="I322" s="9">
        <v>8283.19</v>
      </c>
      <c r="J322" s="7"/>
      <c r="K322" s="8" t="str">
        <f t="shared" si="13"/>
        <v/>
      </c>
      <c r="L322" s="8" t="str">
        <f t="shared" si="14"/>
        <v/>
      </c>
      <c r="M322" s="8" t="str">
        <f t="shared" ref="M322:M385" si="15">IF(OR($F322="", $J322=""),"", $J322-$F322)</f>
        <v/>
      </c>
      <c r="N322" s="6" t="s">
        <v>21</v>
      </c>
    </row>
    <row r="323" spans="1:14" x14ac:dyDescent="0.2">
      <c r="A323" s="6" t="s">
        <v>275</v>
      </c>
      <c r="B323" s="6" t="s">
        <v>276</v>
      </c>
      <c r="C323" s="6" t="s">
        <v>20</v>
      </c>
      <c r="D323" s="7"/>
      <c r="E323" s="7"/>
      <c r="F323" s="7">
        <v>45120</v>
      </c>
      <c r="G323" s="9">
        <v>-72000</v>
      </c>
      <c r="H323" s="9">
        <v>-63716.81</v>
      </c>
      <c r="I323" s="9">
        <v>-8283.19</v>
      </c>
      <c r="J323" s="7"/>
      <c r="K323" s="8" t="str">
        <f t="shared" ref="K323:K386" si="16">IF(OR($D323="", $F323=""),"", $E323-$D323)</f>
        <v/>
      </c>
      <c r="L323" s="8" t="str">
        <f t="shared" ref="L323:L386" si="17">IF(OR($D323="", $F323=""),"", $F323-$E323)</f>
        <v/>
      </c>
      <c r="M323" s="8" t="str">
        <f t="shared" si="15"/>
        <v/>
      </c>
      <c r="N323" s="6" t="s">
        <v>21</v>
      </c>
    </row>
    <row r="324" spans="1:14" x14ac:dyDescent="0.2">
      <c r="A324" s="6" t="s">
        <v>331</v>
      </c>
      <c r="B324" s="6" t="s">
        <v>332</v>
      </c>
      <c r="C324" s="6" t="s">
        <v>20</v>
      </c>
      <c r="D324" s="7"/>
      <c r="E324" s="7"/>
      <c r="F324" s="7">
        <v>45122</v>
      </c>
      <c r="G324" s="9">
        <v>105000</v>
      </c>
      <c r="H324" s="9">
        <v>92920.35</v>
      </c>
      <c r="I324" s="9">
        <v>12079.65</v>
      </c>
      <c r="J324" s="7">
        <v>45460</v>
      </c>
      <c r="K324" s="8" t="str">
        <f t="shared" si="16"/>
        <v/>
      </c>
      <c r="L324" s="8" t="str">
        <f t="shared" si="17"/>
        <v/>
      </c>
      <c r="M324" s="8">
        <f t="shared" si="15"/>
        <v>338</v>
      </c>
      <c r="N324" s="6" t="s">
        <v>26</v>
      </c>
    </row>
    <row r="325" spans="1:14" x14ac:dyDescent="0.2">
      <c r="A325" s="6" t="s">
        <v>248</v>
      </c>
      <c r="B325" s="6" t="s">
        <v>333</v>
      </c>
      <c r="C325" s="6" t="s">
        <v>33</v>
      </c>
      <c r="D325" s="7">
        <v>45085</v>
      </c>
      <c r="E325" s="7">
        <v>45086</v>
      </c>
      <c r="F325" s="7">
        <v>45125</v>
      </c>
      <c r="G325" s="9">
        <v>20000</v>
      </c>
      <c r="H325" s="9">
        <v>17699.12</v>
      </c>
      <c r="I325" s="9">
        <v>2300.88</v>
      </c>
      <c r="J325" s="7">
        <v>45317</v>
      </c>
      <c r="K325" s="8">
        <f t="shared" si="16"/>
        <v>1</v>
      </c>
      <c r="L325" s="8">
        <f t="shared" si="17"/>
        <v>39</v>
      </c>
      <c r="M325" s="8">
        <f t="shared" si="15"/>
        <v>192</v>
      </c>
      <c r="N325" s="6" t="s">
        <v>26</v>
      </c>
    </row>
    <row r="326" spans="1:14" x14ac:dyDescent="0.2">
      <c r="A326" s="6" t="s">
        <v>334</v>
      </c>
      <c r="B326" s="6" t="s">
        <v>335</v>
      </c>
      <c r="C326" s="6" t="s">
        <v>20</v>
      </c>
      <c r="D326" s="7"/>
      <c r="E326" s="7"/>
      <c r="F326" s="7">
        <v>45126</v>
      </c>
      <c r="G326" s="9">
        <v>72000</v>
      </c>
      <c r="H326" s="9">
        <v>67924.53</v>
      </c>
      <c r="I326" s="9">
        <v>4075.47</v>
      </c>
      <c r="J326" s="7">
        <v>45320</v>
      </c>
      <c r="K326" s="8" t="str">
        <f t="shared" si="16"/>
        <v/>
      </c>
      <c r="L326" s="8" t="str">
        <f t="shared" si="17"/>
        <v/>
      </c>
      <c r="M326" s="8">
        <f t="shared" si="15"/>
        <v>194</v>
      </c>
      <c r="N326" s="6" t="s">
        <v>26</v>
      </c>
    </row>
    <row r="327" spans="1:14" x14ac:dyDescent="0.2">
      <c r="A327" s="6" t="s">
        <v>334</v>
      </c>
      <c r="B327" s="6" t="s">
        <v>335</v>
      </c>
      <c r="C327" s="6" t="s">
        <v>20</v>
      </c>
      <c r="D327" s="7"/>
      <c r="E327" s="7"/>
      <c r="F327" s="7">
        <v>45126</v>
      </c>
      <c r="G327" s="9">
        <v>58000</v>
      </c>
      <c r="H327" s="9">
        <v>54716.98</v>
      </c>
      <c r="I327" s="9">
        <v>3283.02</v>
      </c>
      <c r="J327" s="7">
        <v>45320</v>
      </c>
      <c r="K327" s="8" t="str">
        <f t="shared" si="16"/>
        <v/>
      </c>
      <c r="L327" s="8" t="str">
        <f t="shared" si="17"/>
        <v/>
      </c>
      <c r="M327" s="8">
        <f t="shared" si="15"/>
        <v>194</v>
      </c>
      <c r="N327" s="6" t="s">
        <v>26</v>
      </c>
    </row>
    <row r="328" spans="1:14" x14ac:dyDescent="0.2">
      <c r="A328" s="6" t="s">
        <v>334</v>
      </c>
      <c r="B328" s="6" t="s">
        <v>336</v>
      </c>
      <c r="C328" s="6" t="s">
        <v>20</v>
      </c>
      <c r="D328" s="7">
        <v>45027</v>
      </c>
      <c r="E328" s="7">
        <v>45029</v>
      </c>
      <c r="F328" s="7">
        <v>45126</v>
      </c>
      <c r="G328" s="9">
        <v>87000</v>
      </c>
      <c r="H328" s="9">
        <v>82075.48</v>
      </c>
      <c r="I328" s="9">
        <v>4924.5200000000004</v>
      </c>
      <c r="J328" s="7">
        <v>45320</v>
      </c>
      <c r="K328" s="8">
        <f t="shared" si="16"/>
        <v>2</v>
      </c>
      <c r="L328" s="8">
        <f t="shared" si="17"/>
        <v>97</v>
      </c>
      <c r="M328" s="8">
        <f t="shared" si="15"/>
        <v>194</v>
      </c>
      <c r="N328" s="6" t="s">
        <v>26</v>
      </c>
    </row>
    <row r="329" spans="1:14" x14ac:dyDescent="0.2">
      <c r="A329" s="6" t="s">
        <v>162</v>
      </c>
      <c r="B329" s="6" t="s">
        <v>337</v>
      </c>
      <c r="C329" s="6" t="s">
        <v>20</v>
      </c>
      <c r="D329" s="7">
        <v>45097</v>
      </c>
      <c r="E329" s="7">
        <v>45099</v>
      </c>
      <c r="F329" s="7">
        <v>45127</v>
      </c>
      <c r="G329" s="9">
        <v>35000</v>
      </c>
      <c r="H329" s="9">
        <v>30973.45</v>
      </c>
      <c r="I329" s="9">
        <v>4026.55</v>
      </c>
      <c r="J329" s="7">
        <v>45322</v>
      </c>
      <c r="K329" s="8">
        <f t="shared" si="16"/>
        <v>2</v>
      </c>
      <c r="L329" s="8">
        <f t="shared" si="17"/>
        <v>28</v>
      </c>
      <c r="M329" s="8">
        <f t="shared" si="15"/>
        <v>195</v>
      </c>
      <c r="N329" s="6" t="s">
        <v>26</v>
      </c>
    </row>
    <row r="330" spans="1:14" x14ac:dyDescent="0.2">
      <c r="A330" s="6" t="s">
        <v>338</v>
      </c>
      <c r="B330" s="6" t="s">
        <v>339</v>
      </c>
      <c r="C330" s="6" t="s">
        <v>20</v>
      </c>
      <c r="D330" s="7">
        <v>44989</v>
      </c>
      <c r="E330" s="7">
        <v>44996</v>
      </c>
      <c r="F330" s="7">
        <v>45128</v>
      </c>
      <c r="G330" s="9">
        <v>102265</v>
      </c>
      <c r="H330" s="9">
        <v>90500</v>
      </c>
      <c r="I330" s="9">
        <v>11765</v>
      </c>
      <c r="J330" s="7">
        <v>45373</v>
      </c>
      <c r="K330" s="8">
        <f t="shared" si="16"/>
        <v>7</v>
      </c>
      <c r="L330" s="8">
        <f t="shared" si="17"/>
        <v>132</v>
      </c>
      <c r="M330" s="8">
        <f t="shared" si="15"/>
        <v>245</v>
      </c>
      <c r="N330" s="6" t="s">
        <v>26</v>
      </c>
    </row>
    <row r="331" spans="1:14" x14ac:dyDescent="0.2">
      <c r="A331" s="6" t="s">
        <v>338</v>
      </c>
      <c r="B331" s="6" t="s">
        <v>339</v>
      </c>
      <c r="C331" s="6" t="s">
        <v>20</v>
      </c>
      <c r="D331" s="7"/>
      <c r="E331" s="7"/>
      <c r="F331" s="7">
        <v>45128</v>
      </c>
      <c r="G331" s="9">
        <v>135600</v>
      </c>
      <c r="H331" s="9">
        <v>120000</v>
      </c>
      <c r="I331" s="9">
        <v>15600</v>
      </c>
      <c r="J331" s="7">
        <v>45373</v>
      </c>
      <c r="K331" s="8" t="str">
        <f t="shared" si="16"/>
        <v/>
      </c>
      <c r="L331" s="8" t="str">
        <f t="shared" si="17"/>
        <v/>
      </c>
      <c r="M331" s="8">
        <f t="shared" si="15"/>
        <v>245</v>
      </c>
      <c r="N331" s="6" t="s">
        <v>26</v>
      </c>
    </row>
    <row r="332" spans="1:14" x14ac:dyDescent="0.2">
      <c r="A332" s="6" t="s">
        <v>338</v>
      </c>
      <c r="B332" s="6" t="s">
        <v>339</v>
      </c>
      <c r="C332" s="6" t="s">
        <v>20</v>
      </c>
      <c r="D332" s="7"/>
      <c r="E332" s="7"/>
      <c r="F332" s="7">
        <v>45128</v>
      </c>
      <c r="G332" s="9">
        <v>135600</v>
      </c>
      <c r="H332" s="9">
        <v>120000</v>
      </c>
      <c r="I332" s="9">
        <v>15600</v>
      </c>
      <c r="J332" s="7">
        <v>45373</v>
      </c>
      <c r="K332" s="8" t="str">
        <f t="shared" si="16"/>
        <v/>
      </c>
      <c r="L332" s="8" t="str">
        <f t="shared" si="17"/>
        <v/>
      </c>
      <c r="M332" s="8">
        <f t="shared" si="15"/>
        <v>245</v>
      </c>
      <c r="N332" s="6" t="s">
        <v>26</v>
      </c>
    </row>
    <row r="333" spans="1:14" x14ac:dyDescent="0.2">
      <c r="A333" s="6" t="s">
        <v>340</v>
      </c>
      <c r="B333" s="6" t="s">
        <v>341</v>
      </c>
      <c r="C333" s="6" t="s">
        <v>33</v>
      </c>
      <c r="D333" s="7">
        <v>44921</v>
      </c>
      <c r="E333" s="7">
        <v>44921</v>
      </c>
      <c r="F333" s="7">
        <v>45132</v>
      </c>
      <c r="G333" s="9">
        <v>3300</v>
      </c>
      <c r="H333" s="9">
        <v>3113.21</v>
      </c>
      <c r="I333" s="9">
        <v>186.79</v>
      </c>
      <c r="J333" s="7">
        <v>45800</v>
      </c>
      <c r="K333" s="8">
        <f t="shared" si="16"/>
        <v>0</v>
      </c>
      <c r="L333" s="8">
        <f t="shared" si="17"/>
        <v>211</v>
      </c>
      <c r="M333" s="8">
        <f t="shared" si="15"/>
        <v>668</v>
      </c>
      <c r="N333" s="6" t="s">
        <v>26</v>
      </c>
    </row>
    <row r="334" spans="1:14" x14ac:dyDescent="0.2">
      <c r="A334" s="6" t="s">
        <v>109</v>
      </c>
      <c r="B334" s="6" t="s">
        <v>342</v>
      </c>
      <c r="C334" s="6" t="s">
        <v>20</v>
      </c>
      <c r="D334" s="7"/>
      <c r="E334" s="7"/>
      <c r="F334" s="7">
        <v>45132</v>
      </c>
      <c r="G334" s="9">
        <v>42000</v>
      </c>
      <c r="H334" s="9">
        <v>39622.639999999999</v>
      </c>
      <c r="I334" s="9">
        <v>2377.36</v>
      </c>
      <c r="J334" s="7">
        <v>45294</v>
      </c>
      <c r="K334" s="8" t="str">
        <f t="shared" si="16"/>
        <v/>
      </c>
      <c r="L334" s="8" t="str">
        <f t="shared" si="17"/>
        <v/>
      </c>
      <c r="M334" s="8">
        <f t="shared" si="15"/>
        <v>162</v>
      </c>
      <c r="N334" s="6" t="s">
        <v>26</v>
      </c>
    </row>
    <row r="335" spans="1:14" x14ac:dyDescent="0.2">
      <c r="A335" s="6" t="s">
        <v>343</v>
      </c>
      <c r="B335" s="6" t="s">
        <v>344</v>
      </c>
      <c r="C335" s="6" t="s">
        <v>20</v>
      </c>
      <c r="D335" s="7"/>
      <c r="E335" s="7"/>
      <c r="F335" s="7">
        <v>45132</v>
      </c>
      <c r="G335" s="9">
        <v>150000</v>
      </c>
      <c r="H335" s="9">
        <v>132743.35999999999</v>
      </c>
      <c r="I335" s="9">
        <v>17256.64</v>
      </c>
      <c r="J335" s="7">
        <v>45349</v>
      </c>
      <c r="K335" s="8" t="str">
        <f t="shared" si="16"/>
        <v/>
      </c>
      <c r="L335" s="8" t="str">
        <f t="shared" si="17"/>
        <v/>
      </c>
      <c r="M335" s="8">
        <f t="shared" si="15"/>
        <v>217</v>
      </c>
      <c r="N335" s="6" t="s">
        <v>26</v>
      </c>
    </row>
    <row r="336" spans="1:14" x14ac:dyDescent="0.2">
      <c r="A336" s="6" t="s">
        <v>343</v>
      </c>
      <c r="B336" s="6" t="s">
        <v>344</v>
      </c>
      <c r="C336" s="6" t="s">
        <v>20</v>
      </c>
      <c r="D336" s="7"/>
      <c r="E336" s="7"/>
      <c r="F336" s="7">
        <v>45132</v>
      </c>
      <c r="G336" s="9">
        <v>150000</v>
      </c>
      <c r="H336" s="9">
        <v>132743.35999999999</v>
      </c>
      <c r="I336" s="9">
        <v>17256.64</v>
      </c>
      <c r="J336" s="7">
        <v>45349</v>
      </c>
      <c r="K336" s="8" t="str">
        <f t="shared" si="16"/>
        <v/>
      </c>
      <c r="L336" s="8" t="str">
        <f t="shared" si="17"/>
        <v/>
      </c>
      <c r="M336" s="8">
        <f t="shared" si="15"/>
        <v>217</v>
      </c>
      <c r="N336" s="6" t="s">
        <v>26</v>
      </c>
    </row>
    <row r="337" spans="1:14" x14ac:dyDescent="0.2">
      <c r="A337" s="6" t="s">
        <v>90</v>
      </c>
      <c r="B337" s="6" t="s">
        <v>91</v>
      </c>
      <c r="C337" s="6" t="s">
        <v>20</v>
      </c>
      <c r="D337" s="7"/>
      <c r="E337" s="7"/>
      <c r="F337" s="7">
        <v>45134</v>
      </c>
      <c r="G337" s="9">
        <v>15600</v>
      </c>
      <c r="H337" s="9">
        <v>13805.31</v>
      </c>
      <c r="I337" s="9">
        <v>1794.69</v>
      </c>
      <c r="J337" s="7">
        <v>45372</v>
      </c>
      <c r="K337" s="8" t="str">
        <f t="shared" si="16"/>
        <v/>
      </c>
      <c r="L337" s="8" t="str">
        <f t="shared" si="17"/>
        <v/>
      </c>
      <c r="M337" s="8">
        <f t="shared" si="15"/>
        <v>238</v>
      </c>
      <c r="N337" s="6" t="s">
        <v>26</v>
      </c>
    </row>
    <row r="338" spans="1:14" x14ac:dyDescent="0.2">
      <c r="A338" s="6" t="s">
        <v>345</v>
      </c>
      <c r="B338" s="6" t="s">
        <v>346</v>
      </c>
      <c r="C338" s="6" t="s">
        <v>20</v>
      </c>
      <c r="D338" s="7">
        <v>45099</v>
      </c>
      <c r="E338" s="7">
        <v>45099</v>
      </c>
      <c r="F338" s="7">
        <v>45134</v>
      </c>
      <c r="G338" s="9">
        <v>96000</v>
      </c>
      <c r="H338" s="9">
        <v>90566.03</v>
      </c>
      <c r="I338" s="9">
        <v>5433.97</v>
      </c>
      <c r="J338" s="7">
        <v>45929</v>
      </c>
      <c r="K338" s="8">
        <f t="shared" si="16"/>
        <v>0</v>
      </c>
      <c r="L338" s="8">
        <f t="shared" si="17"/>
        <v>35</v>
      </c>
      <c r="M338" s="8">
        <f t="shared" si="15"/>
        <v>795</v>
      </c>
      <c r="N338" s="6" t="s">
        <v>26</v>
      </c>
    </row>
    <row r="339" spans="1:14" x14ac:dyDescent="0.2">
      <c r="A339" s="6" t="s">
        <v>345</v>
      </c>
      <c r="B339" s="6" t="s">
        <v>347</v>
      </c>
      <c r="C339" s="6" t="s">
        <v>20</v>
      </c>
      <c r="D339" s="7">
        <v>45103</v>
      </c>
      <c r="E339" s="7">
        <v>45106</v>
      </c>
      <c r="F339" s="7">
        <v>45134</v>
      </c>
      <c r="G339" s="9">
        <v>50000</v>
      </c>
      <c r="H339" s="9">
        <v>45871.56</v>
      </c>
      <c r="I339" s="9">
        <v>4128.4399999999996</v>
      </c>
      <c r="J339" s="7">
        <v>45929</v>
      </c>
      <c r="K339" s="8">
        <f t="shared" si="16"/>
        <v>3</v>
      </c>
      <c r="L339" s="8">
        <f t="shared" si="17"/>
        <v>28</v>
      </c>
      <c r="M339" s="8">
        <f t="shared" si="15"/>
        <v>795</v>
      </c>
      <c r="N339" s="6" t="s">
        <v>26</v>
      </c>
    </row>
    <row r="340" spans="1:14" x14ac:dyDescent="0.2">
      <c r="A340" s="6" t="s">
        <v>348</v>
      </c>
      <c r="B340" s="6" t="s">
        <v>349</v>
      </c>
      <c r="C340" s="6" t="s">
        <v>33</v>
      </c>
      <c r="D340" s="7">
        <v>44746</v>
      </c>
      <c r="E340" s="7">
        <v>44748</v>
      </c>
      <c r="F340" s="7">
        <v>45141</v>
      </c>
      <c r="G340" s="9">
        <v>3000</v>
      </c>
      <c r="H340" s="9">
        <v>2654.87</v>
      </c>
      <c r="I340" s="9">
        <v>345.13</v>
      </c>
      <c r="J340" s="7"/>
      <c r="K340" s="8">
        <f t="shared" si="16"/>
        <v>2</v>
      </c>
      <c r="L340" s="8">
        <f t="shared" si="17"/>
        <v>393</v>
      </c>
      <c r="M340" s="8" t="str">
        <f t="shared" si="15"/>
        <v/>
      </c>
      <c r="N340" s="6" t="s">
        <v>21</v>
      </c>
    </row>
    <row r="341" spans="1:14" x14ac:dyDescent="0.2">
      <c r="A341" s="6" t="s">
        <v>96</v>
      </c>
      <c r="B341" s="6" t="s">
        <v>350</v>
      </c>
      <c r="C341" s="6" t="s">
        <v>20</v>
      </c>
      <c r="D341" s="7">
        <v>45052</v>
      </c>
      <c r="E341" s="7">
        <v>45057</v>
      </c>
      <c r="F341" s="7">
        <v>45146</v>
      </c>
      <c r="G341" s="9">
        <v>64924</v>
      </c>
      <c r="H341" s="9">
        <v>57454.879999999997</v>
      </c>
      <c r="I341" s="9">
        <v>7469.12</v>
      </c>
      <c r="J341" s="7">
        <v>45329</v>
      </c>
      <c r="K341" s="8">
        <f t="shared" si="16"/>
        <v>5</v>
      </c>
      <c r="L341" s="8">
        <f t="shared" si="17"/>
        <v>89</v>
      </c>
      <c r="M341" s="8">
        <f t="shared" si="15"/>
        <v>183</v>
      </c>
      <c r="N341" s="6" t="s">
        <v>26</v>
      </c>
    </row>
    <row r="342" spans="1:14" x14ac:dyDescent="0.2">
      <c r="A342" s="6" t="s">
        <v>36</v>
      </c>
      <c r="B342" s="6" t="s">
        <v>351</v>
      </c>
      <c r="C342" s="6" t="s">
        <v>20</v>
      </c>
      <c r="D342" s="7"/>
      <c r="E342" s="7"/>
      <c r="F342" s="7">
        <v>45146</v>
      </c>
      <c r="G342" s="9">
        <v>98310</v>
      </c>
      <c r="H342" s="9">
        <v>87000</v>
      </c>
      <c r="I342" s="9">
        <v>11310</v>
      </c>
      <c r="J342" s="7">
        <v>45315</v>
      </c>
      <c r="K342" s="8" t="str">
        <f t="shared" si="16"/>
        <v/>
      </c>
      <c r="L342" s="8" t="str">
        <f t="shared" si="17"/>
        <v/>
      </c>
      <c r="M342" s="8">
        <f t="shared" si="15"/>
        <v>169</v>
      </c>
      <c r="N342" s="6" t="s">
        <v>26</v>
      </c>
    </row>
    <row r="343" spans="1:14" x14ac:dyDescent="0.2">
      <c r="A343" s="6" t="s">
        <v>94</v>
      </c>
      <c r="B343" s="6" t="s">
        <v>352</v>
      </c>
      <c r="C343" s="6" t="s">
        <v>20</v>
      </c>
      <c r="D343" s="7">
        <v>45126</v>
      </c>
      <c r="E343" s="7">
        <v>45128</v>
      </c>
      <c r="F343" s="7">
        <v>45148</v>
      </c>
      <c r="G343" s="9">
        <v>2.99</v>
      </c>
      <c r="H343" s="9">
        <v>2.65</v>
      </c>
      <c r="I343" s="9">
        <v>0.34</v>
      </c>
      <c r="J343" s="7">
        <v>45482</v>
      </c>
      <c r="K343" s="8">
        <f t="shared" si="16"/>
        <v>2</v>
      </c>
      <c r="L343" s="8">
        <f t="shared" si="17"/>
        <v>20</v>
      </c>
      <c r="M343" s="8">
        <f t="shared" si="15"/>
        <v>334</v>
      </c>
      <c r="N343" s="6" t="s">
        <v>26</v>
      </c>
    </row>
    <row r="344" spans="1:14" x14ac:dyDescent="0.2">
      <c r="A344" s="6" t="s">
        <v>353</v>
      </c>
      <c r="B344" s="6" t="s">
        <v>354</v>
      </c>
      <c r="C344" s="6" t="s">
        <v>355</v>
      </c>
      <c r="D344" s="7"/>
      <c r="E344" s="7"/>
      <c r="F344" s="7">
        <v>45152</v>
      </c>
      <c r="G344" s="9">
        <v>5000</v>
      </c>
      <c r="H344" s="9">
        <v>4950.5</v>
      </c>
      <c r="I344" s="9">
        <v>49.5</v>
      </c>
      <c r="J344" s="7">
        <v>45607</v>
      </c>
      <c r="K344" s="8" t="str">
        <f t="shared" si="16"/>
        <v/>
      </c>
      <c r="L344" s="8" t="str">
        <f t="shared" si="17"/>
        <v/>
      </c>
      <c r="M344" s="8">
        <f t="shared" si="15"/>
        <v>455</v>
      </c>
      <c r="N344" s="6" t="s">
        <v>26</v>
      </c>
    </row>
    <row r="345" spans="1:14" x14ac:dyDescent="0.2">
      <c r="A345" s="6" t="s">
        <v>356</v>
      </c>
      <c r="B345" s="6" t="s">
        <v>357</v>
      </c>
      <c r="C345" s="6" t="s">
        <v>20</v>
      </c>
      <c r="D345" s="7"/>
      <c r="E345" s="7"/>
      <c r="F345" s="7">
        <v>45153</v>
      </c>
      <c r="G345" s="9">
        <v>57000</v>
      </c>
      <c r="H345" s="9">
        <v>52293.58</v>
      </c>
      <c r="I345" s="9">
        <v>4706.42</v>
      </c>
      <c r="J345" s="7"/>
      <c r="K345" s="8" t="str">
        <f t="shared" si="16"/>
        <v/>
      </c>
      <c r="L345" s="8" t="str">
        <f t="shared" si="17"/>
        <v/>
      </c>
      <c r="M345" s="8" t="str">
        <f t="shared" si="15"/>
        <v/>
      </c>
      <c r="N345" s="6" t="s">
        <v>21</v>
      </c>
    </row>
    <row r="346" spans="1:14" x14ac:dyDescent="0.2">
      <c r="A346" s="6" t="s">
        <v>49</v>
      </c>
      <c r="B346" s="6" t="s">
        <v>358</v>
      </c>
      <c r="C346" s="6" t="s">
        <v>20</v>
      </c>
      <c r="D346" s="7">
        <v>45112</v>
      </c>
      <c r="E346" s="7">
        <v>45113</v>
      </c>
      <c r="F346" s="7">
        <v>45153</v>
      </c>
      <c r="G346" s="9">
        <v>30000</v>
      </c>
      <c r="H346" s="9">
        <v>28301.89</v>
      </c>
      <c r="I346" s="9">
        <v>1698.11</v>
      </c>
      <c r="J346" s="7">
        <v>45679</v>
      </c>
      <c r="K346" s="8">
        <f t="shared" si="16"/>
        <v>1</v>
      </c>
      <c r="L346" s="8">
        <f t="shared" si="17"/>
        <v>40</v>
      </c>
      <c r="M346" s="8">
        <f t="shared" si="15"/>
        <v>526</v>
      </c>
      <c r="N346" s="6" t="s">
        <v>26</v>
      </c>
    </row>
    <row r="347" spans="1:14" x14ac:dyDescent="0.2">
      <c r="A347" s="6" t="s">
        <v>63</v>
      </c>
      <c r="B347" s="6" t="s">
        <v>359</v>
      </c>
      <c r="C347" s="6" t="s">
        <v>20</v>
      </c>
      <c r="D347" s="7">
        <v>45111</v>
      </c>
      <c r="E347" s="7">
        <v>45119</v>
      </c>
      <c r="F347" s="7">
        <v>45154</v>
      </c>
      <c r="G347" s="9">
        <v>148.19</v>
      </c>
      <c r="H347" s="9">
        <v>131.13999999999999</v>
      </c>
      <c r="I347" s="9">
        <v>17.05</v>
      </c>
      <c r="J347" s="7"/>
      <c r="K347" s="8">
        <f t="shared" si="16"/>
        <v>8</v>
      </c>
      <c r="L347" s="8">
        <f t="shared" si="17"/>
        <v>35</v>
      </c>
      <c r="M347" s="8" t="str">
        <f t="shared" si="15"/>
        <v/>
      </c>
      <c r="N347" s="6" t="s">
        <v>21</v>
      </c>
    </row>
    <row r="348" spans="1:14" x14ac:dyDescent="0.2">
      <c r="A348" s="6" t="s">
        <v>360</v>
      </c>
      <c r="B348" s="6" t="s">
        <v>361</v>
      </c>
      <c r="C348" s="6" t="s">
        <v>20</v>
      </c>
      <c r="D348" s="7">
        <v>45036</v>
      </c>
      <c r="E348" s="7">
        <v>45039</v>
      </c>
      <c r="F348" s="7">
        <v>45154</v>
      </c>
      <c r="G348" s="9">
        <v>38000</v>
      </c>
      <c r="H348" s="9">
        <v>33628.32</v>
      </c>
      <c r="I348" s="9">
        <v>4371.68</v>
      </c>
      <c r="J348" s="7"/>
      <c r="K348" s="8">
        <f t="shared" si="16"/>
        <v>3</v>
      </c>
      <c r="L348" s="8">
        <f t="shared" si="17"/>
        <v>115</v>
      </c>
      <c r="M348" s="8" t="str">
        <f t="shared" si="15"/>
        <v/>
      </c>
      <c r="N348" s="6" t="s">
        <v>21</v>
      </c>
    </row>
    <row r="349" spans="1:14" x14ac:dyDescent="0.2">
      <c r="A349" s="6" t="s">
        <v>362</v>
      </c>
      <c r="B349" s="6" t="s">
        <v>363</v>
      </c>
      <c r="C349" s="6" t="s">
        <v>20</v>
      </c>
      <c r="D349" s="7"/>
      <c r="E349" s="7"/>
      <c r="F349" s="7">
        <v>45155</v>
      </c>
      <c r="G349" s="9">
        <v>53000</v>
      </c>
      <c r="H349" s="9">
        <v>48623.85</v>
      </c>
      <c r="I349" s="9">
        <v>4376.1499999999996</v>
      </c>
      <c r="J349" s="7"/>
      <c r="K349" s="8" t="str">
        <f t="shared" si="16"/>
        <v/>
      </c>
      <c r="L349" s="8" t="str">
        <f t="shared" si="17"/>
        <v/>
      </c>
      <c r="M349" s="8" t="str">
        <f t="shared" si="15"/>
        <v/>
      </c>
      <c r="N349" s="6" t="s">
        <v>21</v>
      </c>
    </row>
    <row r="350" spans="1:14" x14ac:dyDescent="0.2">
      <c r="A350" s="6" t="s">
        <v>364</v>
      </c>
      <c r="C350" s="6" t="s">
        <v>87</v>
      </c>
      <c r="D350" s="7"/>
      <c r="E350" s="7"/>
      <c r="F350" s="7">
        <v>45156</v>
      </c>
      <c r="G350" s="9">
        <v>-63681.93</v>
      </c>
      <c r="H350" s="9">
        <v>-56355.69</v>
      </c>
      <c r="I350" s="9">
        <v>-7326.24</v>
      </c>
      <c r="J350" s="7">
        <v>45736</v>
      </c>
      <c r="K350" s="8" t="str">
        <f t="shared" si="16"/>
        <v/>
      </c>
      <c r="L350" s="8" t="str">
        <f t="shared" si="17"/>
        <v/>
      </c>
      <c r="M350" s="8">
        <f t="shared" si="15"/>
        <v>580</v>
      </c>
      <c r="N350" s="6" t="s">
        <v>26</v>
      </c>
    </row>
    <row r="351" spans="1:14" x14ac:dyDescent="0.2">
      <c r="A351" s="6" t="s">
        <v>364</v>
      </c>
      <c r="C351" s="6" t="s">
        <v>87</v>
      </c>
      <c r="D351" s="7"/>
      <c r="E351" s="7"/>
      <c r="F351" s="7">
        <v>45156</v>
      </c>
      <c r="G351" s="9">
        <v>-63681.93</v>
      </c>
      <c r="H351" s="9">
        <v>-56355.69</v>
      </c>
      <c r="I351" s="9">
        <v>-7326.24</v>
      </c>
      <c r="J351" s="7">
        <v>45736</v>
      </c>
      <c r="K351" s="8" t="str">
        <f t="shared" si="16"/>
        <v/>
      </c>
      <c r="L351" s="8" t="str">
        <f t="shared" si="17"/>
        <v/>
      </c>
      <c r="M351" s="8">
        <f t="shared" si="15"/>
        <v>580</v>
      </c>
      <c r="N351" s="6" t="s">
        <v>26</v>
      </c>
    </row>
    <row r="352" spans="1:14" x14ac:dyDescent="0.2">
      <c r="A352" s="6" t="s">
        <v>364</v>
      </c>
      <c r="C352" s="6" t="s">
        <v>87</v>
      </c>
      <c r="D352" s="7"/>
      <c r="E352" s="7"/>
      <c r="F352" s="7">
        <v>45156</v>
      </c>
      <c r="G352" s="9">
        <v>-69077.2</v>
      </c>
      <c r="H352" s="9">
        <v>-61130.27</v>
      </c>
      <c r="I352" s="9">
        <v>-7946.93</v>
      </c>
      <c r="J352" s="7">
        <v>45736</v>
      </c>
      <c r="K352" s="8" t="str">
        <f t="shared" si="16"/>
        <v/>
      </c>
      <c r="L352" s="8" t="str">
        <f t="shared" si="17"/>
        <v/>
      </c>
      <c r="M352" s="8">
        <f t="shared" si="15"/>
        <v>580</v>
      </c>
      <c r="N352" s="6" t="s">
        <v>26</v>
      </c>
    </row>
    <row r="353" spans="1:14" x14ac:dyDescent="0.2">
      <c r="A353" s="6" t="s">
        <v>364</v>
      </c>
      <c r="C353" s="6" t="s">
        <v>87</v>
      </c>
      <c r="D353" s="7"/>
      <c r="E353" s="7"/>
      <c r="F353" s="7">
        <v>45156</v>
      </c>
      <c r="G353" s="9">
        <v>-94500</v>
      </c>
      <c r="H353" s="9">
        <v>-83628.320000000007</v>
      </c>
      <c r="I353" s="9">
        <v>-10871.68</v>
      </c>
      <c r="J353" s="7">
        <v>45736</v>
      </c>
      <c r="K353" s="8" t="str">
        <f t="shared" si="16"/>
        <v/>
      </c>
      <c r="L353" s="8" t="str">
        <f t="shared" si="17"/>
        <v/>
      </c>
      <c r="M353" s="8">
        <f t="shared" si="15"/>
        <v>580</v>
      </c>
      <c r="N353" s="6" t="s">
        <v>26</v>
      </c>
    </row>
    <row r="354" spans="1:14" x14ac:dyDescent="0.2">
      <c r="A354" s="6" t="s">
        <v>364</v>
      </c>
      <c r="C354" s="6" t="s">
        <v>87</v>
      </c>
      <c r="D354" s="7"/>
      <c r="E354" s="7"/>
      <c r="F354" s="7">
        <v>45156</v>
      </c>
      <c r="G354" s="9">
        <v>-94500</v>
      </c>
      <c r="H354" s="9">
        <v>-83628.320000000007</v>
      </c>
      <c r="I354" s="9">
        <v>-10871.68</v>
      </c>
      <c r="J354" s="7">
        <v>45736</v>
      </c>
      <c r="K354" s="8" t="str">
        <f t="shared" si="16"/>
        <v/>
      </c>
      <c r="L354" s="8" t="str">
        <f t="shared" si="17"/>
        <v/>
      </c>
      <c r="M354" s="8">
        <f t="shared" si="15"/>
        <v>580</v>
      </c>
      <c r="N354" s="6" t="s">
        <v>26</v>
      </c>
    </row>
    <row r="355" spans="1:14" x14ac:dyDescent="0.2">
      <c r="A355" s="6" t="s">
        <v>364</v>
      </c>
      <c r="C355" s="6" t="s">
        <v>87</v>
      </c>
      <c r="D355" s="7"/>
      <c r="E355" s="7"/>
      <c r="F355" s="7">
        <v>45156</v>
      </c>
      <c r="G355" s="9">
        <v>63681.93</v>
      </c>
      <c r="H355" s="9">
        <v>56355.69</v>
      </c>
      <c r="I355" s="9">
        <v>7326.24</v>
      </c>
      <c r="J355" s="7">
        <v>45736</v>
      </c>
      <c r="K355" s="8" t="str">
        <f t="shared" si="16"/>
        <v/>
      </c>
      <c r="L355" s="8" t="str">
        <f t="shared" si="17"/>
        <v/>
      </c>
      <c r="M355" s="8">
        <f t="shared" si="15"/>
        <v>580</v>
      </c>
      <c r="N355" s="6" t="s">
        <v>26</v>
      </c>
    </row>
    <row r="356" spans="1:14" x14ac:dyDescent="0.2">
      <c r="A356" s="6" t="s">
        <v>364</v>
      </c>
      <c r="C356" s="6" t="s">
        <v>87</v>
      </c>
      <c r="D356" s="7"/>
      <c r="E356" s="7"/>
      <c r="F356" s="7">
        <v>45156</v>
      </c>
      <c r="G356" s="9">
        <v>63681.93</v>
      </c>
      <c r="H356" s="9">
        <v>56355.69</v>
      </c>
      <c r="I356" s="9">
        <v>7326.24</v>
      </c>
      <c r="J356" s="7">
        <v>45736</v>
      </c>
      <c r="K356" s="8" t="str">
        <f t="shared" si="16"/>
        <v/>
      </c>
      <c r="L356" s="8" t="str">
        <f t="shared" si="17"/>
        <v/>
      </c>
      <c r="M356" s="8">
        <f t="shared" si="15"/>
        <v>580</v>
      </c>
      <c r="N356" s="6" t="s">
        <v>26</v>
      </c>
    </row>
    <row r="357" spans="1:14" x14ac:dyDescent="0.2">
      <c r="A357" s="6" t="s">
        <v>364</v>
      </c>
      <c r="C357" s="6" t="s">
        <v>87</v>
      </c>
      <c r="D357" s="7"/>
      <c r="E357" s="7"/>
      <c r="F357" s="7">
        <v>45156</v>
      </c>
      <c r="G357" s="9">
        <v>69077.2</v>
      </c>
      <c r="H357" s="9">
        <v>61130.27</v>
      </c>
      <c r="I357" s="9">
        <v>7946.93</v>
      </c>
      <c r="J357" s="7">
        <v>45736</v>
      </c>
      <c r="K357" s="8" t="str">
        <f t="shared" si="16"/>
        <v/>
      </c>
      <c r="L357" s="8" t="str">
        <f t="shared" si="17"/>
        <v/>
      </c>
      <c r="M357" s="8">
        <f t="shared" si="15"/>
        <v>580</v>
      </c>
      <c r="N357" s="6" t="s">
        <v>26</v>
      </c>
    </row>
    <row r="358" spans="1:14" x14ac:dyDescent="0.2">
      <c r="A358" s="6" t="s">
        <v>364</v>
      </c>
      <c r="C358" s="6" t="s">
        <v>87</v>
      </c>
      <c r="D358" s="7"/>
      <c r="E358" s="7"/>
      <c r="F358" s="7">
        <v>45156</v>
      </c>
      <c r="G358" s="9">
        <v>94500</v>
      </c>
      <c r="H358" s="9">
        <v>83628.320000000007</v>
      </c>
      <c r="I358" s="9">
        <v>10871.68</v>
      </c>
      <c r="J358" s="7">
        <v>45736</v>
      </c>
      <c r="K358" s="8" t="str">
        <f t="shared" si="16"/>
        <v/>
      </c>
      <c r="L358" s="8" t="str">
        <f t="shared" si="17"/>
        <v/>
      </c>
      <c r="M358" s="8">
        <f t="shared" si="15"/>
        <v>580</v>
      </c>
      <c r="N358" s="6" t="s">
        <v>26</v>
      </c>
    </row>
    <row r="359" spans="1:14" x14ac:dyDescent="0.2">
      <c r="A359" s="6" t="s">
        <v>364</v>
      </c>
      <c r="C359" s="6" t="s">
        <v>87</v>
      </c>
      <c r="D359" s="7"/>
      <c r="E359" s="7"/>
      <c r="F359" s="7">
        <v>45156</v>
      </c>
      <c r="G359" s="9">
        <v>94500</v>
      </c>
      <c r="H359" s="9">
        <v>83628.320000000007</v>
      </c>
      <c r="I359" s="9">
        <v>10871.68</v>
      </c>
      <c r="J359" s="7">
        <v>45736</v>
      </c>
      <c r="K359" s="8" t="str">
        <f t="shared" si="16"/>
        <v/>
      </c>
      <c r="L359" s="8" t="str">
        <f t="shared" si="17"/>
        <v/>
      </c>
      <c r="M359" s="8">
        <f t="shared" si="15"/>
        <v>580</v>
      </c>
      <c r="N359" s="6" t="s">
        <v>26</v>
      </c>
    </row>
    <row r="360" spans="1:14" x14ac:dyDescent="0.2">
      <c r="A360" s="6" t="s">
        <v>365</v>
      </c>
      <c r="B360" s="6" t="s">
        <v>366</v>
      </c>
      <c r="C360" s="6" t="s">
        <v>20</v>
      </c>
      <c r="D360" s="7">
        <v>45132</v>
      </c>
      <c r="E360" s="7">
        <v>45132</v>
      </c>
      <c r="F360" s="7">
        <v>45160</v>
      </c>
      <c r="G360" s="9">
        <v>5000</v>
      </c>
      <c r="H360" s="9">
        <v>4587.16</v>
      </c>
      <c r="I360" s="9">
        <v>412.84</v>
      </c>
      <c r="J360" s="7">
        <v>45313</v>
      </c>
      <c r="K360" s="8">
        <f t="shared" si="16"/>
        <v>0</v>
      </c>
      <c r="L360" s="8">
        <f t="shared" si="17"/>
        <v>28</v>
      </c>
      <c r="M360" s="8">
        <f t="shared" si="15"/>
        <v>153</v>
      </c>
      <c r="N360" s="6" t="s">
        <v>26</v>
      </c>
    </row>
    <row r="361" spans="1:14" x14ac:dyDescent="0.2">
      <c r="A361" s="6" t="s">
        <v>129</v>
      </c>
      <c r="B361" s="6" t="s">
        <v>367</v>
      </c>
      <c r="C361" s="6" t="s">
        <v>20</v>
      </c>
      <c r="D361" s="7">
        <v>45104</v>
      </c>
      <c r="E361" s="7">
        <v>45110</v>
      </c>
      <c r="F361" s="7">
        <v>45161</v>
      </c>
      <c r="G361" s="9">
        <v>55000</v>
      </c>
      <c r="H361" s="9">
        <v>48672.57</v>
      </c>
      <c r="I361" s="9">
        <v>6327.43</v>
      </c>
      <c r="J361" s="7">
        <v>45322</v>
      </c>
      <c r="K361" s="8">
        <f t="shared" si="16"/>
        <v>6</v>
      </c>
      <c r="L361" s="8">
        <f t="shared" si="17"/>
        <v>51</v>
      </c>
      <c r="M361" s="8">
        <f t="shared" si="15"/>
        <v>161</v>
      </c>
      <c r="N361" s="6" t="s">
        <v>26</v>
      </c>
    </row>
    <row r="362" spans="1:14" x14ac:dyDescent="0.2">
      <c r="A362" s="6" t="s">
        <v>175</v>
      </c>
      <c r="B362" s="6" t="s">
        <v>368</v>
      </c>
      <c r="C362" s="6" t="s">
        <v>20</v>
      </c>
      <c r="D362" s="7">
        <v>45115</v>
      </c>
      <c r="E362" s="7">
        <v>45119</v>
      </c>
      <c r="F362" s="7">
        <v>45161</v>
      </c>
      <c r="G362" s="9">
        <v>40400</v>
      </c>
      <c r="H362" s="9">
        <v>176.99</v>
      </c>
      <c r="I362" s="9">
        <v>23.01</v>
      </c>
      <c r="J362" s="7">
        <v>45952</v>
      </c>
      <c r="K362" s="8">
        <f t="shared" si="16"/>
        <v>4</v>
      </c>
      <c r="L362" s="8">
        <f t="shared" si="17"/>
        <v>42</v>
      </c>
      <c r="M362" s="8">
        <f t="shared" si="15"/>
        <v>791</v>
      </c>
      <c r="N362" s="6" t="s">
        <v>26</v>
      </c>
    </row>
    <row r="363" spans="1:14" x14ac:dyDescent="0.2">
      <c r="A363" s="6" t="s">
        <v>85</v>
      </c>
      <c r="B363" s="6" t="s">
        <v>369</v>
      </c>
      <c r="C363" s="6" t="s">
        <v>87</v>
      </c>
      <c r="D363" s="7">
        <v>45127</v>
      </c>
      <c r="E363" s="7">
        <v>45132</v>
      </c>
      <c r="F363" s="7">
        <v>45161</v>
      </c>
      <c r="G363" s="9">
        <v>30000</v>
      </c>
      <c r="H363" s="9">
        <v>26548.67</v>
      </c>
      <c r="I363" s="9">
        <v>3451.33</v>
      </c>
      <c r="J363" s="7">
        <v>45330</v>
      </c>
      <c r="K363" s="8">
        <f t="shared" si="16"/>
        <v>5</v>
      </c>
      <c r="L363" s="8">
        <f t="shared" si="17"/>
        <v>29</v>
      </c>
      <c r="M363" s="8">
        <f t="shared" si="15"/>
        <v>169</v>
      </c>
      <c r="N363" s="6" t="s">
        <v>26</v>
      </c>
    </row>
    <row r="364" spans="1:14" x14ac:dyDescent="0.2">
      <c r="A364" s="6" t="s">
        <v>370</v>
      </c>
      <c r="B364" s="6" t="s">
        <v>371</v>
      </c>
      <c r="C364" s="6" t="s">
        <v>20</v>
      </c>
      <c r="D364" s="7">
        <v>44748</v>
      </c>
      <c r="E364" s="7">
        <v>44758</v>
      </c>
      <c r="F364" s="7">
        <v>45162</v>
      </c>
      <c r="G364" s="9">
        <v>32400</v>
      </c>
      <c r="H364" s="9">
        <v>28672.57</v>
      </c>
      <c r="I364" s="9">
        <v>3727.43</v>
      </c>
      <c r="J364" s="7">
        <v>45608</v>
      </c>
      <c r="K364" s="8">
        <f t="shared" si="16"/>
        <v>10</v>
      </c>
      <c r="L364" s="8">
        <f t="shared" si="17"/>
        <v>404</v>
      </c>
      <c r="M364" s="8">
        <f t="shared" si="15"/>
        <v>446</v>
      </c>
      <c r="N364" s="6" t="s">
        <v>26</v>
      </c>
    </row>
    <row r="365" spans="1:14" x14ac:dyDescent="0.2">
      <c r="A365" s="6" t="s">
        <v>370</v>
      </c>
      <c r="B365" s="6" t="s">
        <v>372</v>
      </c>
      <c r="C365" s="6" t="s">
        <v>20</v>
      </c>
      <c r="D365" s="7"/>
      <c r="E365" s="7"/>
      <c r="F365" s="7">
        <v>45162</v>
      </c>
      <c r="G365" s="9">
        <v>100000</v>
      </c>
      <c r="H365" s="9">
        <v>88495.58</v>
      </c>
      <c r="I365" s="9">
        <v>11504.42</v>
      </c>
      <c r="J365" s="7">
        <v>45608</v>
      </c>
      <c r="K365" s="8" t="str">
        <f t="shared" si="16"/>
        <v/>
      </c>
      <c r="L365" s="8" t="str">
        <f t="shared" si="17"/>
        <v/>
      </c>
      <c r="M365" s="8">
        <f t="shared" si="15"/>
        <v>446</v>
      </c>
      <c r="N365" s="6" t="s">
        <v>26</v>
      </c>
    </row>
    <row r="366" spans="1:14" x14ac:dyDescent="0.2">
      <c r="A366" s="6" t="s">
        <v>373</v>
      </c>
      <c r="B366" s="6" t="s">
        <v>374</v>
      </c>
      <c r="C366" s="6" t="s">
        <v>20</v>
      </c>
      <c r="D366" s="7"/>
      <c r="E366" s="7"/>
      <c r="F366" s="7">
        <v>45162</v>
      </c>
      <c r="G366" s="9">
        <v>-794.33</v>
      </c>
      <c r="H366" s="9">
        <v>-2.83</v>
      </c>
      <c r="I366" s="9">
        <v>-791.5</v>
      </c>
      <c r="J366" s="7">
        <v>45308</v>
      </c>
      <c r="K366" s="8" t="str">
        <f t="shared" si="16"/>
        <v/>
      </c>
      <c r="L366" s="8" t="str">
        <f t="shared" si="17"/>
        <v/>
      </c>
      <c r="M366" s="8">
        <f t="shared" si="15"/>
        <v>146</v>
      </c>
      <c r="N366" s="6" t="s">
        <v>26</v>
      </c>
    </row>
    <row r="367" spans="1:14" x14ac:dyDescent="0.2">
      <c r="A367" s="6" t="s">
        <v>373</v>
      </c>
      <c r="B367" s="6" t="s">
        <v>375</v>
      </c>
      <c r="C367" s="6" t="s">
        <v>20</v>
      </c>
      <c r="D367" s="7"/>
      <c r="E367" s="7"/>
      <c r="F367" s="7">
        <v>45162</v>
      </c>
      <c r="G367" s="9">
        <v>-3.2</v>
      </c>
      <c r="H367" s="9">
        <v>-2.83</v>
      </c>
      <c r="I367" s="9">
        <v>-0.37</v>
      </c>
      <c r="J367" s="7">
        <v>45308</v>
      </c>
      <c r="K367" s="8" t="str">
        <f t="shared" si="16"/>
        <v/>
      </c>
      <c r="L367" s="8" t="str">
        <f t="shared" si="17"/>
        <v/>
      </c>
      <c r="M367" s="8">
        <f t="shared" si="15"/>
        <v>146</v>
      </c>
      <c r="N367" s="6" t="s">
        <v>26</v>
      </c>
    </row>
    <row r="368" spans="1:14" x14ac:dyDescent="0.2">
      <c r="A368" s="6" t="s">
        <v>373</v>
      </c>
      <c r="B368" s="6" t="s">
        <v>375</v>
      </c>
      <c r="C368" s="6" t="s">
        <v>20</v>
      </c>
      <c r="D368" s="7"/>
      <c r="E368" s="7"/>
      <c r="F368" s="7">
        <v>45162</v>
      </c>
      <c r="G368" s="9">
        <v>3.2</v>
      </c>
      <c r="H368" s="9">
        <v>2.83</v>
      </c>
      <c r="I368" s="9">
        <v>0.37</v>
      </c>
      <c r="J368" s="7">
        <v>45308</v>
      </c>
      <c r="K368" s="8" t="str">
        <f t="shared" si="16"/>
        <v/>
      </c>
      <c r="L368" s="8" t="str">
        <f t="shared" si="17"/>
        <v/>
      </c>
      <c r="M368" s="8">
        <f t="shared" si="15"/>
        <v>146</v>
      </c>
      <c r="N368" s="6" t="s">
        <v>26</v>
      </c>
    </row>
    <row r="369" spans="1:14" x14ac:dyDescent="0.2">
      <c r="A369" s="6" t="s">
        <v>373</v>
      </c>
      <c r="B369" s="6" t="s">
        <v>376</v>
      </c>
      <c r="C369" s="6" t="s">
        <v>20</v>
      </c>
      <c r="D369" s="7"/>
      <c r="E369" s="7"/>
      <c r="F369" s="7">
        <v>45162</v>
      </c>
      <c r="G369" s="9">
        <v>3.2</v>
      </c>
      <c r="H369" s="9">
        <v>2.83</v>
      </c>
      <c r="I369" s="9">
        <v>0.37</v>
      </c>
      <c r="J369" s="7">
        <v>45308</v>
      </c>
      <c r="K369" s="8" t="str">
        <f t="shared" si="16"/>
        <v/>
      </c>
      <c r="L369" s="8" t="str">
        <f t="shared" si="17"/>
        <v/>
      </c>
      <c r="M369" s="8">
        <f t="shared" si="15"/>
        <v>146</v>
      </c>
      <c r="N369" s="6" t="s">
        <v>26</v>
      </c>
    </row>
    <row r="370" spans="1:14" x14ac:dyDescent="0.2">
      <c r="A370" s="6" t="s">
        <v>373</v>
      </c>
      <c r="B370" s="6" t="s">
        <v>374</v>
      </c>
      <c r="C370" s="6" t="s">
        <v>20</v>
      </c>
      <c r="D370" s="7"/>
      <c r="E370" s="7"/>
      <c r="F370" s="7">
        <v>45162</v>
      </c>
      <c r="G370" s="9">
        <v>6880</v>
      </c>
      <c r="H370" s="9">
        <v>6088.5</v>
      </c>
      <c r="I370" s="9">
        <v>791.5</v>
      </c>
      <c r="J370" s="7">
        <v>45308</v>
      </c>
      <c r="K370" s="8" t="str">
        <f t="shared" si="16"/>
        <v/>
      </c>
      <c r="L370" s="8" t="str">
        <f t="shared" si="17"/>
        <v/>
      </c>
      <c r="M370" s="8">
        <f t="shared" si="15"/>
        <v>146</v>
      </c>
      <c r="N370" s="6" t="s">
        <v>26</v>
      </c>
    </row>
    <row r="371" spans="1:14" x14ac:dyDescent="0.2">
      <c r="A371" s="6" t="s">
        <v>373</v>
      </c>
      <c r="B371" s="6" t="s">
        <v>375</v>
      </c>
      <c r="C371" s="6" t="s">
        <v>20</v>
      </c>
      <c r="D371" s="7"/>
      <c r="E371" s="7"/>
      <c r="F371" s="7">
        <v>45162</v>
      </c>
      <c r="G371" s="9">
        <v>18720</v>
      </c>
      <c r="H371" s="9">
        <v>16566.37</v>
      </c>
      <c r="I371" s="9">
        <v>2153.63</v>
      </c>
      <c r="J371" s="7">
        <v>45308</v>
      </c>
      <c r="K371" s="8" t="str">
        <f t="shared" si="16"/>
        <v/>
      </c>
      <c r="L371" s="8" t="str">
        <f t="shared" si="17"/>
        <v/>
      </c>
      <c r="M371" s="8">
        <f t="shared" si="15"/>
        <v>146</v>
      </c>
      <c r="N371" s="6" t="s">
        <v>26</v>
      </c>
    </row>
    <row r="372" spans="1:14" x14ac:dyDescent="0.2">
      <c r="A372" s="6" t="s">
        <v>377</v>
      </c>
      <c r="B372" s="6" t="s">
        <v>378</v>
      </c>
      <c r="C372" s="6" t="s">
        <v>20</v>
      </c>
      <c r="D372" s="7">
        <v>44778</v>
      </c>
      <c r="E372" s="7">
        <v>44791</v>
      </c>
      <c r="F372" s="7">
        <v>45164</v>
      </c>
      <c r="G372" s="9">
        <v>16000</v>
      </c>
      <c r="H372" s="9">
        <v>14159.29</v>
      </c>
      <c r="I372" s="9">
        <v>1840.71</v>
      </c>
      <c r="J372" s="7"/>
      <c r="K372" s="8">
        <f t="shared" si="16"/>
        <v>13</v>
      </c>
      <c r="L372" s="8">
        <f t="shared" si="17"/>
        <v>373</v>
      </c>
      <c r="M372" s="8" t="str">
        <f t="shared" si="15"/>
        <v/>
      </c>
      <c r="N372" s="6" t="s">
        <v>21</v>
      </c>
    </row>
    <row r="373" spans="1:14" x14ac:dyDescent="0.2">
      <c r="A373" s="6" t="s">
        <v>379</v>
      </c>
      <c r="B373" s="6" t="s">
        <v>380</v>
      </c>
      <c r="C373" s="6" t="s">
        <v>33</v>
      </c>
      <c r="D373" s="7">
        <v>45134</v>
      </c>
      <c r="E373" s="7">
        <v>45135</v>
      </c>
      <c r="F373" s="7">
        <v>45164</v>
      </c>
      <c r="G373" s="9">
        <v>50000</v>
      </c>
      <c r="H373" s="9">
        <v>44247.8</v>
      </c>
      <c r="I373" s="9">
        <v>5752.2</v>
      </c>
      <c r="J373" s="7">
        <v>45582</v>
      </c>
      <c r="K373" s="8">
        <f t="shared" si="16"/>
        <v>1</v>
      </c>
      <c r="L373" s="8">
        <f t="shared" si="17"/>
        <v>29</v>
      </c>
      <c r="M373" s="8">
        <f t="shared" si="15"/>
        <v>418</v>
      </c>
      <c r="N373" s="6" t="s">
        <v>26</v>
      </c>
    </row>
    <row r="374" spans="1:14" x14ac:dyDescent="0.2">
      <c r="A374" s="6" t="s">
        <v>315</v>
      </c>
      <c r="B374" s="6" t="s">
        <v>316</v>
      </c>
      <c r="C374" s="6" t="s">
        <v>20</v>
      </c>
      <c r="D374" s="7"/>
      <c r="E374" s="7"/>
      <c r="F374" s="7">
        <v>45166</v>
      </c>
      <c r="G374" s="9">
        <v>13250</v>
      </c>
      <c r="H374" s="9">
        <v>12500</v>
      </c>
      <c r="I374" s="9">
        <v>750</v>
      </c>
      <c r="J374" s="7"/>
      <c r="K374" s="8" t="str">
        <f t="shared" si="16"/>
        <v/>
      </c>
      <c r="L374" s="8" t="str">
        <f t="shared" si="17"/>
        <v/>
      </c>
      <c r="M374" s="8" t="str">
        <f t="shared" si="15"/>
        <v/>
      </c>
      <c r="N374" s="6" t="s">
        <v>21</v>
      </c>
    </row>
    <row r="375" spans="1:14" x14ac:dyDescent="0.2">
      <c r="A375" s="6" t="s">
        <v>315</v>
      </c>
      <c r="B375" s="6" t="s">
        <v>316</v>
      </c>
      <c r="C375" s="6" t="s">
        <v>20</v>
      </c>
      <c r="D375" s="7"/>
      <c r="E375" s="7"/>
      <c r="F375" s="7">
        <v>45166</v>
      </c>
      <c r="G375" s="9">
        <v>-42500</v>
      </c>
      <c r="H375" s="9">
        <v>-40094.339999999997</v>
      </c>
      <c r="I375" s="9">
        <v>-2405.66</v>
      </c>
      <c r="J375" s="7"/>
      <c r="K375" s="8" t="str">
        <f t="shared" si="16"/>
        <v/>
      </c>
      <c r="L375" s="8" t="str">
        <f t="shared" si="17"/>
        <v/>
      </c>
      <c r="M375" s="8" t="str">
        <f t="shared" si="15"/>
        <v/>
      </c>
      <c r="N375" s="6" t="s">
        <v>21</v>
      </c>
    </row>
    <row r="376" spans="1:14" x14ac:dyDescent="0.2">
      <c r="A376" s="6" t="s">
        <v>345</v>
      </c>
      <c r="B376" s="6" t="s">
        <v>381</v>
      </c>
      <c r="C376" s="6" t="s">
        <v>20</v>
      </c>
      <c r="D376" s="7">
        <v>45157</v>
      </c>
      <c r="E376" s="7">
        <v>45163</v>
      </c>
      <c r="F376" s="7">
        <v>45167</v>
      </c>
      <c r="G376" s="9">
        <v>78000</v>
      </c>
      <c r="H376" s="9">
        <v>71559.63</v>
      </c>
      <c r="I376" s="9">
        <v>6440.37</v>
      </c>
      <c r="J376" s="7">
        <v>45929</v>
      </c>
      <c r="K376" s="8">
        <f t="shared" si="16"/>
        <v>6</v>
      </c>
      <c r="L376" s="8">
        <f t="shared" si="17"/>
        <v>4</v>
      </c>
      <c r="M376" s="8">
        <f t="shared" si="15"/>
        <v>762</v>
      </c>
      <c r="N376" s="6" t="s">
        <v>26</v>
      </c>
    </row>
    <row r="377" spans="1:14" x14ac:dyDescent="0.2">
      <c r="A377" s="6" t="s">
        <v>345</v>
      </c>
      <c r="B377" s="6" t="s">
        <v>381</v>
      </c>
      <c r="C377" s="6" t="s">
        <v>20</v>
      </c>
      <c r="D377" s="7"/>
      <c r="E377" s="7"/>
      <c r="F377" s="7">
        <v>45167</v>
      </c>
      <c r="G377" s="9">
        <v>75000</v>
      </c>
      <c r="H377" s="9">
        <v>68807.34</v>
      </c>
      <c r="I377" s="9">
        <v>6192.66</v>
      </c>
      <c r="J377" s="7">
        <v>45929</v>
      </c>
      <c r="K377" s="8" t="str">
        <f t="shared" si="16"/>
        <v/>
      </c>
      <c r="L377" s="8" t="str">
        <f t="shared" si="17"/>
        <v/>
      </c>
      <c r="M377" s="8">
        <f t="shared" si="15"/>
        <v>762</v>
      </c>
      <c r="N377" s="6" t="s">
        <v>26</v>
      </c>
    </row>
    <row r="378" spans="1:14" x14ac:dyDescent="0.2">
      <c r="A378" s="6" t="s">
        <v>334</v>
      </c>
      <c r="B378" s="6" t="s">
        <v>382</v>
      </c>
      <c r="C378" s="6" t="s">
        <v>20</v>
      </c>
      <c r="D378" s="7"/>
      <c r="E378" s="7"/>
      <c r="F378" s="7">
        <v>45168</v>
      </c>
      <c r="G378" s="9">
        <v>5000</v>
      </c>
      <c r="H378" s="9">
        <v>4716.9799999999996</v>
      </c>
      <c r="I378" s="9">
        <v>283.02</v>
      </c>
      <c r="J378" s="7">
        <v>45320</v>
      </c>
      <c r="K378" s="8" t="str">
        <f t="shared" si="16"/>
        <v/>
      </c>
      <c r="L378" s="8" t="str">
        <f t="shared" si="17"/>
        <v/>
      </c>
      <c r="M378" s="8">
        <f t="shared" si="15"/>
        <v>152</v>
      </c>
      <c r="N378" s="6" t="s">
        <v>26</v>
      </c>
    </row>
    <row r="379" spans="1:14" x14ac:dyDescent="0.2">
      <c r="A379" s="6" t="s">
        <v>383</v>
      </c>
      <c r="B379" s="6" t="s">
        <v>384</v>
      </c>
      <c r="C379" s="6" t="s">
        <v>20</v>
      </c>
      <c r="D379" s="7">
        <v>45078</v>
      </c>
      <c r="E379" s="7">
        <v>45080</v>
      </c>
      <c r="F379" s="7">
        <v>45168</v>
      </c>
      <c r="G379" s="9">
        <v>3.5</v>
      </c>
      <c r="H379" s="9">
        <v>3.1</v>
      </c>
      <c r="I379" s="9">
        <v>0.4</v>
      </c>
      <c r="J379" s="7">
        <v>45472</v>
      </c>
      <c r="K379" s="8">
        <f t="shared" si="16"/>
        <v>2</v>
      </c>
      <c r="L379" s="8">
        <f t="shared" si="17"/>
        <v>88</v>
      </c>
      <c r="M379" s="8">
        <f t="shared" si="15"/>
        <v>304</v>
      </c>
      <c r="N379" s="6" t="s">
        <v>26</v>
      </c>
    </row>
    <row r="380" spans="1:14" x14ac:dyDescent="0.2">
      <c r="A380" s="6" t="s">
        <v>201</v>
      </c>
      <c r="B380" s="6" t="s">
        <v>202</v>
      </c>
      <c r="C380" s="6" t="s">
        <v>33</v>
      </c>
      <c r="D380" s="7"/>
      <c r="E380" s="7"/>
      <c r="F380" s="7">
        <v>45168</v>
      </c>
      <c r="G380" s="9">
        <v>528601.77</v>
      </c>
      <c r="H380" s="9">
        <v>484955.75</v>
      </c>
      <c r="I380" s="9">
        <v>43646.02</v>
      </c>
      <c r="J380" s="7">
        <v>45316</v>
      </c>
      <c r="K380" s="8" t="str">
        <f t="shared" si="16"/>
        <v/>
      </c>
      <c r="L380" s="8" t="str">
        <f t="shared" si="17"/>
        <v/>
      </c>
      <c r="M380" s="8">
        <f t="shared" si="15"/>
        <v>148</v>
      </c>
      <c r="N380" s="6" t="s">
        <v>26</v>
      </c>
    </row>
    <row r="381" spans="1:14" x14ac:dyDescent="0.2">
      <c r="A381" s="6" t="s">
        <v>201</v>
      </c>
      <c r="B381" s="6" t="s">
        <v>202</v>
      </c>
      <c r="C381" s="6" t="s">
        <v>33</v>
      </c>
      <c r="D381" s="7"/>
      <c r="E381" s="7"/>
      <c r="F381" s="7">
        <v>45168</v>
      </c>
      <c r="G381" s="9">
        <v>528601.77</v>
      </c>
      <c r="H381" s="9">
        <v>484955.75</v>
      </c>
      <c r="I381" s="9">
        <v>43646.02</v>
      </c>
      <c r="J381" s="7">
        <v>45316</v>
      </c>
      <c r="K381" s="8" t="str">
        <f t="shared" si="16"/>
        <v/>
      </c>
      <c r="L381" s="8" t="str">
        <f t="shared" si="17"/>
        <v/>
      </c>
      <c r="M381" s="8">
        <f t="shared" si="15"/>
        <v>148</v>
      </c>
      <c r="N381" s="6" t="s">
        <v>26</v>
      </c>
    </row>
    <row r="382" spans="1:14" x14ac:dyDescent="0.2">
      <c r="A382" s="6" t="s">
        <v>201</v>
      </c>
      <c r="B382" s="6" t="s">
        <v>202</v>
      </c>
      <c r="C382" s="6" t="s">
        <v>33</v>
      </c>
      <c r="D382" s="7"/>
      <c r="E382" s="7"/>
      <c r="F382" s="7">
        <v>45168</v>
      </c>
      <c r="G382" s="9">
        <v>528601.77</v>
      </c>
      <c r="H382" s="9">
        <v>484955.75</v>
      </c>
      <c r="I382" s="9">
        <v>43646.02</v>
      </c>
      <c r="J382" s="7">
        <v>45316</v>
      </c>
      <c r="K382" s="8" t="str">
        <f t="shared" si="16"/>
        <v/>
      </c>
      <c r="L382" s="8" t="str">
        <f t="shared" si="17"/>
        <v/>
      </c>
      <c r="M382" s="8">
        <f t="shared" si="15"/>
        <v>148</v>
      </c>
      <c r="N382" s="6" t="s">
        <v>26</v>
      </c>
    </row>
    <row r="383" spans="1:14" x14ac:dyDescent="0.2">
      <c r="A383" s="6" t="s">
        <v>201</v>
      </c>
      <c r="B383" s="6" t="s">
        <v>202</v>
      </c>
      <c r="C383" s="6" t="s">
        <v>33</v>
      </c>
      <c r="D383" s="7"/>
      <c r="E383" s="7"/>
      <c r="F383" s="7">
        <v>45168</v>
      </c>
      <c r="G383" s="9">
        <v>528601.77</v>
      </c>
      <c r="H383" s="9">
        <v>484955.75</v>
      </c>
      <c r="I383" s="9">
        <v>43646.02</v>
      </c>
      <c r="J383" s="7">
        <v>45316</v>
      </c>
      <c r="K383" s="8" t="str">
        <f t="shared" si="16"/>
        <v/>
      </c>
      <c r="L383" s="8" t="str">
        <f t="shared" si="17"/>
        <v/>
      </c>
      <c r="M383" s="8">
        <f t="shared" si="15"/>
        <v>148</v>
      </c>
      <c r="N383" s="6" t="s">
        <v>26</v>
      </c>
    </row>
    <row r="384" spans="1:14" x14ac:dyDescent="0.2">
      <c r="A384" s="6" t="s">
        <v>201</v>
      </c>
      <c r="B384" s="6" t="s">
        <v>202</v>
      </c>
      <c r="C384" s="6" t="s">
        <v>33</v>
      </c>
      <c r="D384" s="7"/>
      <c r="E384" s="7"/>
      <c r="F384" s="7">
        <v>45168</v>
      </c>
      <c r="G384" s="9">
        <v>105720.37</v>
      </c>
      <c r="H384" s="9">
        <v>96991.17</v>
      </c>
      <c r="I384" s="9">
        <v>8729.2000000000007</v>
      </c>
      <c r="J384" s="7">
        <v>45316</v>
      </c>
      <c r="K384" s="8" t="str">
        <f t="shared" si="16"/>
        <v/>
      </c>
      <c r="L384" s="8" t="str">
        <f t="shared" si="17"/>
        <v/>
      </c>
      <c r="M384" s="8">
        <f t="shared" si="15"/>
        <v>148</v>
      </c>
      <c r="N384" s="6" t="s">
        <v>26</v>
      </c>
    </row>
    <row r="385" spans="1:14" x14ac:dyDescent="0.2">
      <c r="A385" s="6" t="s">
        <v>385</v>
      </c>
      <c r="B385" s="6" t="s">
        <v>386</v>
      </c>
      <c r="C385" s="6" t="s">
        <v>20</v>
      </c>
      <c r="D385" s="7"/>
      <c r="E385" s="7"/>
      <c r="F385" s="7">
        <v>45169</v>
      </c>
      <c r="G385" s="9">
        <v>18000</v>
      </c>
      <c r="H385" s="9">
        <v>16513.759999999998</v>
      </c>
      <c r="I385" s="9">
        <v>1486.24</v>
      </c>
      <c r="J385" s="7">
        <v>45828</v>
      </c>
      <c r="K385" s="8" t="str">
        <f t="shared" si="16"/>
        <v/>
      </c>
      <c r="L385" s="8" t="str">
        <f t="shared" si="17"/>
        <v/>
      </c>
      <c r="M385" s="8">
        <f t="shared" si="15"/>
        <v>659</v>
      </c>
      <c r="N385" s="6" t="s">
        <v>26</v>
      </c>
    </row>
    <row r="386" spans="1:14" x14ac:dyDescent="0.2">
      <c r="A386" s="6" t="s">
        <v>145</v>
      </c>
      <c r="B386" s="6" t="s">
        <v>387</v>
      </c>
      <c r="C386" s="6" t="s">
        <v>20</v>
      </c>
      <c r="D386" s="7"/>
      <c r="E386" s="7"/>
      <c r="F386" s="7">
        <v>45170</v>
      </c>
      <c r="G386" s="9">
        <v>36550</v>
      </c>
      <c r="H386" s="9">
        <v>33532.11</v>
      </c>
      <c r="I386" s="9">
        <v>3017.89</v>
      </c>
      <c r="J386" s="7">
        <v>45301</v>
      </c>
      <c r="K386" s="8" t="str">
        <f t="shared" si="16"/>
        <v/>
      </c>
      <c r="L386" s="8" t="str">
        <f t="shared" si="17"/>
        <v/>
      </c>
      <c r="M386" s="8">
        <f t="shared" ref="M386:M449" si="18">IF(OR($F386="", $J386=""),"", $J386-$F386)</f>
        <v>131</v>
      </c>
      <c r="N386" s="6" t="s">
        <v>26</v>
      </c>
    </row>
    <row r="387" spans="1:14" x14ac:dyDescent="0.2">
      <c r="A387" s="6" t="s">
        <v>388</v>
      </c>
      <c r="B387" s="6" t="s">
        <v>389</v>
      </c>
      <c r="C387" s="6" t="s">
        <v>20</v>
      </c>
      <c r="D387" s="7"/>
      <c r="E387" s="7"/>
      <c r="F387" s="7">
        <v>45176</v>
      </c>
      <c r="G387" s="9">
        <v>108000</v>
      </c>
      <c r="H387" s="9">
        <v>95575.22</v>
      </c>
      <c r="I387" s="9">
        <v>12424.78</v>
      </c>
      <c r="J387" s="7"/>
      <c r="K387" s="8" t="str">
        <f t="shared" ref="K387:K450" si="19">IF(OR($D387="", $F387=""),"", $E387-$D387)</f>
        <v/>
      </c>
      <c r="L387" s="8" t="str">
        <f t="shared" ref="L387:L450" si="20">IF(OR($D387="", $F387=""),"", $F387-$E387)</f>
        <v/>
      </c>
      <c r="M387" s="8" t="str">
        <f t="shared" si="18"/>
        <v/>
      </c>
      <c r="N387" s="6" t="s">
        <v>21</v>
      </c>
    </row>
    <row r="388" spans="1:14" x14ac:dyDescent="0.2">
      <c r="A388" s="6" t="s">
        <v>388</v>
      </c>
      <c r="B388" s="6" t="s">
        <v>389</v>
      </c>
      <c r="C388" s="6" t="s">
        <v>20</v>
      </c>
      <c r="D388" s="7"/>
      <c r="E388" s="7"/>
      <c r="F388" s="7">
        <v>45176</v>
      </c>
      <c r="G388" s="9">
        <v>110000</v>
      </c>
      <c r="H388" s="9">
        <v>97345.13</v>
      </c>
      <c r="I388" s="9">
        <v>12654.87</v>
      </c>
      <c r="J388" s="7"/>
      <c r="K388" s="8" t="str">
        <f t="shared" si="19"/>
        <v/>
      </c>
      <c r="L388" s="8" t="str">
        <f t="shared" si="20"/>
        <v/>
      </c>
      <c r="M388" s="8" t="str">
        <f t="shared" si="18"/>
        <v/>
      </c>
      <c r="N388" s="6" t="s">
        <v>21</v>
      </c>
    </row>
    <row r="389" spans="1:14" x14ac:dyDescent="0.2">
      <c r="A389" s="6" t="s">
        <v>29</v>
      </c>
      <c r="B389" s="6" t="s">
        <v>390</v>
      </c>
      <c r="C389" s="6" t="s">
        <v>20</v>
      </c>
      <c r="D389" s="7"/>
      <c r="E389" s="7"/>
      <c r="F389" s="7">
        <v>45176</v>
      </c>
      <c r="G389" s="9">
        <v>106000</v>
      </c>
      <c r="H389" s="9">
        <v>93805.31</v>
      </c>
      <c r="I389" s="9">
        <v>12194.69</v>
      </c>
      <c r="J389" s="7">
        <v>45365</v>
      </c>
      <c r="K389" s="8" t="str">
        <f t="shared" si="19"/>
        <v/>
      </c>
      <c r="L389" s="8" t="str">
        <f t="shared" si="20"/>
        <v/>
      </c>
      <c r="M389" s="8">
        <f t="shared" si="18"/>
        <v>189</v>
      </c>
      <c r="N389" s="6" t="s">
        <v>26</v>
      </c>
    </row>
    <row r="390" spans="1:14" x14ac:dyDescent="0.2">
      <c r="A390" s="6" t="s">
        <v>391</v>
      </c>
      <c r="B390" s="6" t="s">
        <v>392</v>
      </c>
      <c r="C390" s="6" t="s">
        <v>20</v>
      </c>
      <c r="D390" s="7"/>
      <c r="E390" s="7"/>
      <c r="F390" s="7">
        <v>45176</v>
      </c>
      <c r="G390" s="9">
        <v>90000</v>
      </c>
      <c r="H390" s="9">
        <v>82568.81</v>
      </c>
      <c r="I390" s="9">
        <v>7431.19</v>
      </c>
      <c r="J390" s="7">
        <v>45577</v>
      </c>
      <c r="K390" s="8" t="str">
        <f t="shared" si="19"/>
        <v/>
      </c>
      <c r="L390" s="8" t="str">
        <f t="shared" si="20"/>
        <v/>
      </c>
      <c r="M390" s="8">
        <f t="shared" si="18"/>
        <v>401</v>
      </c>
      <c r="N390" s="6" t="s">
        <v>26</v>
      </c>
    </row>
    <row r="391" spans="1:14" x14ac:dyDescent="0.2">
      <c r="A391" s="6" t="s">
        <v>391</v>
      </c>
      <c r="B391" s="6" t="s">
        <v>392</v>
      </c>
      <c r="C391" s="6" t="s">
        <v>20</v>
      </c>
      <c r="D391" s="7"/>
      <c r="E391" s="7"/>
      <c r="F391" s="7">
        <v>45176</v>
      </c>
      <c r="G391" s="9">
        <v>96000</v>
      </c>
      <c r="H391" s="9">
        <v>88073.39</v>
      </c>
      <c r="I391" s="9">
        <v>7926.61</v>
      </c>
      <c r="J391" s="7">
        <v>45577</v>
      </c>
      <c r="K391" s="8" t="str">
        <f t="shared" si="19"/>
        <v/>
      </c>
      <c r="L391" s="8" t="str">
        <f t="shared" si="20"/>
        <v/>
      </c>
      <c r="M391" s="8">
        <f t="shared" si="18"/>
        <v>401</v>
      </c>
      <c r="N391" s="6" t="s">
        <v>26</v>
      </c>
    </row>
    <row r="392" spans="1:14" x14ac:dyDescent="0.2">
      <c r="A392" s="6" t="s">
        <v>391</v>
      </c>
      <c r="B392" s="6" t="s">
        <v>392</v>
      </c>
      <c r="C392" s="6" t="s">
        <v>20</v>
      </c>
      <c r="D392" s="7"/>
      <c r="E392" s="7"/>
      <c r="F392" s="7">
        <v>45176</v>
      </c>
      <c r="G392" s="9">
        <v>75000</v>
      </c>
      <c r="H392" s="9">
        <v>68807.34</v>
      </c>
      <c r="I392" s="9">
        <v>6192.66</v>
      </c>
      <c r="J392" s="7">
        <v>45577</v>
      </c>
      <c r="K392" s="8" t="str">
        <f t="shared" si="19"/>
        <v/>
      </c>
      <c r="L392" s="8" t="str">
        <f t="shared" si="20"/>
        <v/>
      </c>
      <c r="M392" s="8">
        <f t="shared" si="18"/>
        <v>401</v>
      </c>
      <c r="N392" s="6" t="s">
        <v>26</v>
      </c>
    </row>
    <row r="393" spans="1:14" x14ac:dyDescent="0.2">
      <c r="A393" s="6" t="s">
        <v>391</v>
      </c>
      <c r="B393" s="6" t="s">
        <v>392</v>
      </c>
      <c r="C393" s="6" t="s">
        <v>20</v>
      </c>
      <c r="D393" s="7"/>
      <c r="E393" s="7"/>
      <c r="F393" s="7">
        <v>45176</v>
      </c>
      <c r="G393" s="9">
        <v>68000</v>
      </c>
      <c r="H393" s="9">
        <v>62385.32</v>
      </c>
      <c r="I393" s="9">
        <v>5614.68</v>
      </c>
      <c r="J393" s="7">
        <v>45577</v>
      </c>
      <c r="K393" s="8" t="str">
        <f t="shared" si="19"/>
        <v/>
      </c>
      <c r="L393" s="8" t="str">
        <f t="shared" si="20"/>
        <v/>
      </c>
      <c r="M393" s="8">
        <f t="shared" si="18"/>
        <v>401</v>
      </c>
      <c r="N393" s="6" t="s">
        <v>26</v>
      </c>
    </row>
    <row r="394" spans="1:14" x14ac:dyDescent="0.2">
      <c r="A394" s="6" t="s">
        <v>393</v>
      </c>
      <c r="B394" s="6" t="s">
        <v>394</v>
      </c>
      <c r="C394" s="6" t="s">
        <v>20</v>
      </c>
      <c r="D394" s="7"/>
      <c r="E394" s="7"/>
      <c r="F394" s="7">
        <v>45181</v>
      </c>
      <c r="G394" s="9">
        <v>21320</v>
      </c>
      <c r="H394" s="9">
        <v>18867.259999999998</v>
      </c>
      <c r="I394" s="9">
        <v>2452.7399999999998</v>
      </c>
      <c r="J394" s="7"/>
      <c r="K394" s="8" t="str">
        <f t="shared" si="19"/>
        <v/>
      </c>
      <c r="L394" s="8" t="str">
        <f t="shared" si="20"/>
        <v/>
      </c>
      <c r="M394" s="8" t="str">
        <f t="shared" si="18"/>
        <v/>
      </c>
      <c r="N394" s="6" t="s">
        <v>21</v>
      </c>
    </row>
    <row r="395" spans="1:14" x14ac:dyDescent="0.2">
      <c r="A395" s="6" t="s">
        <v>277</v>
      </c>
      <c r="B395" s="6" t="s">
        <v>395</v>
      </c>
      <c r="C395" s="6" t="s">
        <v>20</v>
      </c>
      <c r="D395" s="7">
        <v>45048</v>
      </c>
      <c r="E395" s="7">
        <v>45056</v>
      </c>
      <c r="F395" s="7">
        <v>45182</v>
      </c>
      <c r="G395" s="9">
        <v>111870</v>
      </c>
      <c r="H395" s="9">
        <v>99000</v>
      </c>
      <c r="I395" s="9">
        <v>12870</v>
      </c>
      <c r="J395" s="7">
        <v>45764</v>
      </c>
      <c r="K395" s="8">
        <f t="shared" si="19"/>
        <v>8</v>
      </c>
      <c r="L395" s="8">
        <f t="shared" si="20"/>
        <v>126</v>
      </c>
      <c r="M395" s="8">
        <f t="shared" si="18"/>
        <v>582</v>
      </c>
      <c r="N395" s="6" t="s">
        <v>26</v>
      </c>
    </row>
    <row r="396" spans="1:14" x14ac:dyDescent="0.2">
      <c r="A396" s="6" t="s">
        <v>31</v>
      </c>
      <c r="B396" s="6" t="s">
        <v>396</v>
      </c>
      <c r="C396" s="6" t="s">
        <v>33</v>
      </c>
      <c r="D396" s="7"/>
      <c r="E396" s="7"/>
      <c r="F396" s="7">
        <v>45183</v>
      </c>
      <c r="G396" s="9">
        <v>39000</v>
      </c>
      <c r="H396" s="9">
        <v>34513.269999999997</v>
      </c>
      <c r="I396" s="9">
        <v>4486.7299999999996</v>
      </c>
      <c r="J396" s="7">
        <v>45593</v>
      </c>
      <c r="K396" s="8" t="str">
        <f t="shared" si="19"/>
        <v/>
      </c>
      <c r="L396" s="8" t="str">
        <f t="shared" si="20"/>
        <v/>
      </c>
      <c r="M396" s="8">
        <f t="shared" si="18"/>
        <v>410</v>
      </c>
      <c r="N396" s="6" t="s">
        <v>26</v>
      </c>
    </row>
    <row r="397" spans="1:14" x14ac:dyDescent="0.2">
      <c r="A397" s="6" t="s">
        <v>115</v>
      </c>
      <c r="B397" s="6" t="s">
        <v>116</v>
      </c>
      <c r="C397" s="6" t="s">
        <v>20</v>
      </c>
      <c r="D397" s="7"/>
      <c r="E397" s="7"/>
      <c r="F397" s="7">
        <v>45187</v>
      </c>
      <c r="G397" s="9">
        <v>16000</v>
      </c>
      <c r="H397" s="9">
        <v>14159.3</v>
      </c>
      <c r="I397" s="9">
        <v>1840.7</v>
      </c>
      <c r="J397" s="7">
        <v>45436</v>
      </c>
      <c r="K397" s="8" t="str">
        <f t="shared" si="19"/>
        <v/>
      </c>
      <c r="L397" s="8" t="str">
        <f t="shared" si="20"/>
        <v/>
      </c>
      <c r="M397" s="8">
        <f t="shared" si="18"/>
        <v>249</v>
      </c>
      <c r="N397" s="6" t="s">
        <v>26</v>
      </c>
    </row>
    <row r="398" spans="1:14" x14ac:dyDescent="0.2">
      <c r="A398" s="6" t="s">
        <v>115</v>
      </c>
      <c r="B398" s="6" t="s">
        <v>397</v>
      </c>
      <c r="C398" s="6" t="s">
        <v>20</v>
      </c>
      <c r="D398" s="7"/>
      <c r="E398" s="7"/>
      <c r="F398" s="7">
        <v>45187</v>
      </c>
      <c r="G398" s="9">
        <v>14000</v>
      </c>
      <c r="H398" s="9">
        <v>12389.38</v>
      </c>
      <c r="I398" s="9">
        <v>1610.62</v>
      </c>
      <c r="J398" s="7">
        <v>45436</v>
      </c>
      <c r="K398" s="8" t="str">
        <f t="shared" si="19"/>
        <v/>
      </c>
      <c r="L398" s="8" t="str">
        <f t="shared" si="20"/>
        <v/>
      </c>
      <c r="M398" s="8">
        <f t="shared" si="18"/>
        <v>249</v>
      </c>
      <c r="N398" s="6" t="s">
        <v>26</v>
      </c>
    </row>
    <row r="399" spans="1:14" x14ac:dyDescent="0.2">
      <c r="A399" s="6" t="s">
        <v>27</v>
      </c>
      <c r="B399" s="6" t="s">
        <v>398</v>
      </c>
      <c r="C399" s="6" t="s">
        <v>20</v>
      </c>
      <c r="D399" s="7"/>
      <c r="E399" s="7"/>
      <c r="F399" s="7">
        <v>45188</v>
      </c>
      <c r="G399" s="9">
        <v>46902.65</v>
      </c>
      <c r="H399" s="9">
        <v>35398.230000000003</v>
      </c>
      <c r="I399" s="9">
        <v>11504.42</v>
      </c>
      <c r="J399" s="7">
        <v>45322</v>
      </c>
      <c r="K399" s="8" t="str">
        <f t="shared" si="19"/>
        <v/>
      </c>
      <c r="L399" s="8" t="str">
        <f t="shared" si="20"/>
        <v/>
      </c>
      <c r="M399" s="8">
        <f t="shared" si="18"/>
        <v>134</v>
      </c>
      <c r="N399" s="6" t="s">
        <v>26</v>
      </c>
    </row>
    <row r="400" spans="1:14" x14ac:dyDescent="0.2">
      <c r="A400" s="6" t="s">
        <v>399</v>
      </c>
      <c r="B400" s="6" t="s">
        <v>400</v>
      </c>
      <c r="C400" s="6" t="s">
        <v>20</v>
      </c>
      <c r="D400" s="7"/>
      <c r="E400" s="7"/>
      <c r="F400" s="7">
        <v>45188</v>
      </c>
      <c r="G400" s="9">
        <v>58000</v>
      </c>
      <c r="H400" s="9">
        <v>53211.01</v>
      </c>
      <c r="I400" s="9">
        <v>4788.99</v>
      </c>
      <c r="J400" s="7"/>
      <c r="K400" s="8" t="str">
        <f t="shared" si="19"/>
        <v/>
      </c>
      <c r="L400" s="8" t="str">
        <f t="shared" si="20"/>
        <v/>
      </c>
      <c r="M400" s="8" t="str">
        <f t="shared" si="18"/>
        <v/>
      </c>
      <c r="N400" s="6" t="s">
        <v>21</v>
      </c>
    </row>
    <row r="401" spans="1:14" x14ac:dyDescent="0.2">
      <c r="A401" s="6" t="s">
        <v>401</v>
      </c>
      <c r="B401" s="6" t="s">
        <v>402</v>
      </c>
      <c r="C401" s="6" t="s">
        <v>20</v>
      </c>
      <c r="D401" s="7"/>
      <c r="E401" s="7"/>
      <c r="F401" s="7">
        <v>45188</v>
      </c>
      <c r="G401" s="9">
        <v>71666.66</v>
      </c>
      <c r="H401" s="9">
        <v>67610.06</v>
      </c>
      <c r="I401" s="9">
        <v>4056.6</v>
      </c>
      <c r="J401" s="7"/>
      <c r="K401" s="8" t="str">
        <f t="shared" si="19"/>
        <v/>
      </c>
      <c r="L401" s="8" t="str">
        <f t="shared" si="20"/>
        <v/>
      </c>
      <c r="M401" s="8" t="str">
        <f t="shared" si="18"/>
        <v/>
      </c>
      <c r="N401" s="6" t="s">
        <v>21</v>
      </c>
    </row>
    <row r="402" spans="1:14" x14ac:dyDescent="0.2">
      <c r="A402" s="6" t="s">
        <v>403</v>
      </c>
      <c r="B402" s="6" t="s">
        <v>404</v>
      </c>
      <c r="C402" s="6" t="s">
        <v>20</v>
      </c>
      <c r="D402" s="7"/>
      <c r="E402" s="7"/>
      <c r="F402" s="7">
        <v>45188</v>
      </c>
      <c r="G402" s="9">
        <v>41822.339999999997</v>
      </c>
      <c r="H402" s="9">
        <v>38369.120000000003</v>
      </c>
      <c r="I402" s="9">
        <v>3453.22</v>
      </c>
      <c r="J402" s="7">
        <v>45646</v>
      </c>
      <c r="K402" s="8" t="str">
        <f t="shared" si="19"/>
        <v/>
      </c>
      <c r="L402" s="8" t="str">
        <f t="shared" si="20"/>
        <v/>
      </c>
      <c r="M402" s="8">
        <f t="shared" si="18"/>
        <v>458</v>
      </c>
      <c r="N402" s="6" t="s">
        <v>26</v>
      </c>
    </row>
    <row r="403" spans="1:14" x14ac:dyDescent="0.2">
      <c r="A403" s="6" t="s">
        <v>405</v>
      </c>
      <c r="B403" s="6" t="s">
        <v>406</v>
      </c>
      <c r="C403" s="6" t="s">
        <v>20</v>
      </c>
      <c r="D403" s="7"/>
      <c r="E403" s="7"/>
      <c r="F403" s="7">
        <v>45192</v>
      </c>
      <c r="G403" s="9">
        <v>68000</v>
      </c>
      <c r="H403" s="9">
        <v>60176.99</v>
      </c>
      <c r="I403" s="9">
        <v>7823.01</v>
      </c>
      <c r="J403" s="7">
        <v>45589</v>
      </c>
      <c r="K403" s="8" t="str">
        <f t="shared" si="19"/>
        <v/>
      </c>
      <c r="L403" s="8" t="str">
        <f t="shared" si="20"/>
        <v/>
      </c>
      <c r="M403" s="8">
        <f t="shared" si="18"/>
        <v>397</v>
      </c>
      <c r="N403" s="6" t="s">
        <v>26</v>
      </c>
    </row>
    <row r="404" spans="1:14" x14ac:dyDescent="0.2">
      <c r="A404" s="6" t="s">
        <v>407</v>
      </c>
      <c r="B404" s="6" t="s">
        <v>408</v>
      </c>
      <c r="C404" s="6" t="s">
        <v>20</v>
      </c>
      <c r="D404" s="7"/>
      <c r="E404" s="7"/>
      <c r="F404" s="7">
        <v>45194</v>
      </c>
      <c r="G404" s="9">
        <v>73110</v>
      </c>
      <c r="H404" s="9">
        <v>67073.399999999994</v>
      </c>
      <c r="I404" s="9">
        <v>6036.6</v>
      </c>
      <c r="J404" s="7">
        <v>45317</v>
      </c>
      <c r="K404" s="8" t="str">
        <f t="shared" si="19"/>
        <v/>
      </c>
      <c r="L404" s="8" t="str">
        <f t="shared" si="20"/>
        <v/>
      </c>
      <c r="M404" s="8">
        <f t="shared" si="18"/>
        <v>123</v>
      </c>
      <c r="N404" s="6" t="s">
        <v>26</v>
      </c>
    </row>
    <row r="405" spans="1:14" x14ac:dyDescent="0.2">
      <c r="A405" s="6" t="s">
        <v>407</v>
      </c>
      <c r="B405" s="6" t="s">
        <v>408</v>
      </c>
      <c r="C405" s="6" t="s">
        <v>20</v>
      </c>
      <c r="D405" s="7"/>
      <c r="E405" s="7"/>
      <c r="F405" s="7">
        <v>45194</v>
      </c>
      <c r="G405" s="9">
        <v>58110</v>
      </c>
      <c r="H405" s="9">
        <v>53311.93</v>
      </c>
      <c r="I405" s="9">
        <v>4798.07</v>
      </c>
      <c r="J405" s="7">
        <v>45317</v>
      </c>
      <c r="K405" s="8" t="str">
        <f t="shared" si="19"/>
        <v/>
      </c>
      <c r="L405" s="8" t="str">
        <f t="shared" si="20"/>
        <v/>
      </c>
      <c r="M405" s="8">
        <f t="shared" si="18"/>
        <v>123</v>
      </c>
      <c r="N405" s="6" t="s">
        <v>26</v>
      </c>
    </row>
    <row r="406" spans="1:14" x14ac:dyDescent="0.2">
      <c r="A406" s="6" t="s">
        <v>409</v>
      </c>
      <c r="B406" s="6" t="s">
        <v>410</v>
      </c>
      <c r="C406" s="6" t="s">
        <v>20</v>
      </c>
      <c r="D406" s="7"/>
      <c r="E406" s="7"/>
      <c r="F406" s="7">
        <v>45195</v>
      </c>
      <c r="G406" s="9">
        <v>81000</v>
      </c>
      <c r="H406" s="9">
        <v>71681.42</v>
      </c>
      <c r="I406" s="9">
        <v>9318.58</v>
      </c>
      <c r="J406" s="7">
        <v>45320</v>
      </c>
      <c r="K406" s="8" t="str">
        <f t="shared" si="19"/>
        <v/>
      </c>
      <c r="L406" s="8" t="str">
        <f t="shared" si="20"/>
        <v/>
      </c>
      <c r="M406" s="8">
        <f t="shared" si="18"/>
        <v>125</v>
      </c>
      <c r="N406" s="6" t="s">
        <v>26</v>
      </c>
    </row>
    <row r="407" spans="1:14" x14ac:dyDescent="0.2">
      <c r="A407" s="6" t="s">
        <v>411</v>
      </c>
      <c r="B407" s="6" t="s">
        <v>412</v>
      </c>
      <c r="C407" s="6" t="s">
        <v>20</v>
      </c>
      <c r="D407" s="7"/>
      <c r="E407" s="7"/>
      <c r="F407" s="7">
        <v>45197</v>
      </c>
      <c r="G407" s="9">
        <v>63</v>
      </c>
      <c r="H407" s="9">
        <v>57.8</v>
      </c>
      <c r="I407" s="9">
        <v>5.2</v>
      </c>
      <c r="J407" s="7">
        <v>45531</v>
      </c>
      <c r="K407" s="8" t="str">
        <f t="shared" si="19"/>
        <v/>
      </c>
      <c r="L407" s="8" t="str">
        <f t="shared" si="20"/>
        <v/>
      </c>
      <c r="M407" s="8">
        <f t="shared" si="18"/>
        <v>334</v>
      </c>
      <c r="N407" s="6" t="s">
        <v>26</v>
      </c>
    </row>
    <row r="408" spans="1:14" x14ac:dyDescent="0.2">
      <c r="A408" s="6" t="s">
        <v>411</v>
      </c>
      <c r="B408" s="6" t="s">
        <v>413</v>
      </c>
      <c r="C408" s="6" t="s">
        <v>20</v>
      </c>
      <c r="D408" s="7"/>
      <c r="E408" s="7"/>
      <c r="F408" s="7">
        <v>45197</v>
      </c>
      <c r="G408" s="9">
        <v>63</v>
      </c>
      <c r="H408" s="9">
        <v>57.8</v>
      </c>
      <c r="I408" s="9">
        <v>5.2</v>
      </c>
      <c r="J408" s="7">
        <v>45531</v>
      </c>
      <c r="K408" s="8" t="str">
        <f t="shared" si="19"/>
        <v/>
      </c>
      <c r="L408" s="8" t="str">
        <f t="shared" si="20"/>
        <v/>
      </c>
      <c r="M408" s="8">
        <f t="shared" si="18"/>
        <v>334</v>
      </c>
      <c r="N408" s="6" t="s">
        <v>26</v>
      </c>
    </row>
    <row r="409" spans="1:14" x14ac:dyDescent="0.2">
      <c r="A409" s="6" t="s">
        <v>411</v>
      </c>
      <c r="B409" s="6" t="s">
        <v>413</v>
      </c>
      <c r="C409" s="6" t="s">
        <v>20</v>
      </c>
      <c r="D409" s="7"/>
      <c r="E409" s="7"/>
      <c r="F409" s="7">
        <v>45197</v>
      </c>
      <c r="G409" s="9">
        <v>5259.63</v>
      </c>
      <c r="H409" s="9">
        <v>57.8</v>
      </c>
      <c r="I409" s="9">
        <v>5201.83</v>
      </c>
      <c r="J409" s="7">
        <v>45531</v>
      </c>
      <c r="K409" s="8" t="str">
        <f t="shared" si="19"/>
        <v/>
      </c>
      <c r="L409" s="8" t="str">
        <f t="shared" si="20"/>
        <v/>
      </c>
      <c r="M409" s="8">
        <f t="shared" si="18"/>
        <v>334</v>
      </c>
      <c r="N409" s="6" t="s">
        <v>26</v>
      </c>
    </row>
    <row r="410" spans="1:14" x14ac:dyDescent="0.2">
      <c r="A410" s="6" t="s">
        <v>411</v>
      </c>
      <c r="B410" s="6" t="s">
        <v>413</v>
      </c>
      <c r="C410" s="6" t="s">
        <v>20</v>
      </c>
      <c r="D410" s="7"/>
      <c r="E410" s="7"/>
      <c r="F410" s="7">
        <v>45197</v>
      </c>
      <c r="G410" s="9">
        <v>63</v>
      </c>
      <c r="H410" s="9">
        <v>57.8</v>
      </c>
      <c r="I410" s="9">
        <v>5.2</v>
      </c>
      <c r="J410" s="7">
        <v>45531</v>
      </c>
      <c r="K410" s="8" t="str">
        <f t="shared" si="19"/>
        <v/>
      </c>
      <c r="L410" s="8" t="str">
        <f t="shared" si="20"/>
        <v/>
      </c>
      <c r="M410" s="8">
        <f t="shared" si="18"/>
        <v>334</v>
      </c>
      <c r="N410" s="6" t="s">
        <v>26</v>
      </c>
    </row>
    <row r="411" spans="1:14" x14ac:dyDescent="0.2">
      <c r="A411" s="6" t="s">
        <v>411</v>
      </c>
      <c r="B411" s="6" t="s">
        <v>413</v>
      </c>
      <c r="C411" s="6" t="s">
        <v>20</v>
      </c>
      <c r="D411" s="7"/>
      <c r="E411" s="7"/>
      <c r="F411" s="7">
        <v>45197</v>
      </c>
      <c r="G411" s="9">
        <v>63</v>
      </c>
      <c r="H411" s="9">
        <v>57.8</v>
      </c>
      <c r="I411" s="9">
        <v>5.2</v>
      </c>
      <c r="J411" s="7">
        <v>45531</v>
      </c>
      <c r="K411" s="8" t="str">
        <f t="shared" si="19"/>
        <v/>
      </c>
      <c r="L411" s="8" t="str">
        <f t="shared" si="20"/>
        <v/>
      </c>
      <c r="M411" s="8">
        <f t="shared" si="18"/>
        <v>334</v>
      </c>
      <c r="N411" s="6" t="s">
        <v>26</v>
      </c>
    </row>
    <row r="412" spans="1:14" x14ac:dyDescent="0.2">
      <c r="A412" s="6" t="s">
        <v>411</v>
      </c>
      <c r="B412" s="6" t="s">
        <v>413</v>
      </c>
      <c r="C412" s="6" t="s">
        <v>20</v>
      </c>
      <c r="D412" s="7"/>
      <c r="E412" s="7"/>
      <c r="F412" s="7">
        <v>45197</v>
      </c>
      <c r="G412" s="9">
        <v>63</v>
      </c>
      <c r="H412" s="9">
        <v>57.8</v>
      </c>
      <c r="I412" s="9">
        <v>5.2</v>
      </c>
      <c r="J412" s="7">
        <v>45531</v>
      </c>
      <c r="K412" s="8" t="str">
        <f t="shared" si="19"/>
        <v/>
      </c>
      <c r="L412" s="8" t="str">
        <f t="shared" si="20"/>
        <v/>
      </c>
      <c r="M412" s="8">
        <f t="shared" si="18"/>
        <v>334</v>
      </c>
      <c r="N412" s="6" t="s">
        <v>26</v>
      </c>
    </row>
    <row r="413" spans="1:14" x14ac:dyDescent="0.2">
      <c r="A413" s="6" t="s">
        <v>411</v>
      </c>
      <c r="B413" s="6" t="s">
        <v>413</v>
      </c>
      <c r="C413" s="6" t="s">
        <v>20</v>
      </c>
      <c r="D413" s="7"/>
      <c r="E413" s="7"/>
      <c r="F413" s="7">
        <v>45197</v>
      </c>
      <c r="G413" s="9">
        <v>87880</v>
      </c>
      <c r="H413" s="9">
        <v>80623.86</v>
      </c>
      <c r="I413" s="9">
        <v>7256.14</v>
      </c>
      <c r="J413" s="7">
        <v>45531</v>
      </c>
      <c r="K413" s="8" t="str">
        <f t="shared" si="19"/>
        <v/>
      </c>
      <c r="L413" s="8" t="str">
        <f t="shared" si="20"/>
        <v/>
      </c>
      <c r="M413" s="8">
        <f t="shared" si="18"/>
        <v>334</v>
      </c>
      <c r="N413" s="6" t="s">
        <v>26</v>
      </c>
    </row>
    <row r="414" spans="1:14" x14ac:dyDescent="0.2">
      <c r="A414" s="6" t="s">
        <v>411</v>
      </c>
      <c r="B414" s="6" t="s">
        <v>413</v>
      </c>
      <c r="C414" s="6" t="s">
        <v>20</v>
      </c>
      <c r="D414" s="7"/>
      <c r="E414" s="7"/>
      <c r="F414" s="7">
        <v>45197</v>
      </c>
      <c r="G414" s="9">
        <v>75</v>
      </c>
      <c r="H414" s="9">
        <v>68.81</v>
      </c>
      <c r="I414" s="9">
        <v>6.19</v>
      </c>
      <c r="J414" s="7">
        <v>45531</v>
      </c>
      <c r="K414" s="8" t="str">
        <f t="shared" si="19"/>
        <v/>
      </c>
      <c r="L414" s="8" t="str">
        <f t="shared" si="20"/>
        <v/>
      </c>
      <c r="M414" s="8">
        <f t="shared" si="18"/>
        <v>334</v>
      </c>
      <c r="N414" s="6" t="s">
        <v>26</v>
      </c>
    </row>
    <row r="415" spans="1:14" x14ac:dyDescent="0.2">
      <c r="A415" s="6" t="s">
        <v>411</v>
      </c>
      <c r="B415" s="6" t="s">
        <v>413</v>
      </c>
      <c r="C415" s="6" t="s">
        <v>20</v>
      </c>
      <c r="D415" s="7"/>
      <c r="E415" s="7"/>
      <c r="F415" s="7">
        <v>45197</v>
      </c>
      <c r="G415" s="9">
        <v>75</v>
      </c>
      <c r="H415" s="9">
        <v>68.81</v>
      </c>
      <c r="I415" s="9">
        <v>6.19</v>
      </c>
      <c r="J415" s="7">
        <v>45531</v>
      </c>
      <c r="K415" s="8" t="str">
        <f t="shared" si="19"/>
        <v/>
      </c>
      <c r="L415" s="8" t="str">
        <f t="shared" si="20"/>
        <v/>
      </c>
      <c r="M415" s="8">
        <f t="shared" si="18"/>
        <v>334</v>
      </c>
      <c r="N415" s="6" t="s">
        <v>26</v>
      </c>
    </row>
    <row r="416" spans="1:14" x14ac:dyDescent="0.2">
      <c r="A416" s="6" t="s">
        <v>279</v>
      </c>
      <c r="B416" s="6" t="s">
        <v>414</v>
      </c>
      <c r="C416" s="6" t="s">
        <v>20</v>
      </c>
      <c r="D416" s="7"/>
      <c r="E416" s="7"/>
      <c r="F416" s="7">
        <v>45197</v>
      </c>
      <c r="G416" s="9">
        <v>60907</v>
      </c>
      <c r="H416" s="9">
        <v>53900</v>
      </c>
      <c r="I416" s="9">
        <v>7007</v>
      </c>
      <c r="J416" s="7"/>
      <c r="K416" s="8" t="str">
        <f t="shared" si="19"/>
        <v/>
      </c>
      <c r="L416" s="8" t="str">
        <f t="shared" si="20"/>
        <v/>
      </c>
      <c r="M416" s="8" t="str">
        <f t="shared" si="18"/>
        <v/>
      </c>
      <c r="N416" s="6" t="s">
        <v>21</v>
      </c>
    </row>
    <row r="417" spans="1:14" x14ac:dyDescent="0.2">
      <c r="A417" s="6" t="s">
        <v>415</v>
      </c>
      <c r="B417" s="6" t="s">
        <v>416</v>
      </c>
      <c r="C417" s="6" t="s">
        <v>20</v>
      </c>
      <c r="D417" s="7"/>
      <c r="E417" s="7"/>
      <c r="F417" s="7">
        <v>45197</v>
      </c>
      <c r="G417" s="9">
        <v>20000</v>
      </c>
      <c r="H417" s="9">
        <v>18348.62</v>
      </c>
      <c r="I417" s="9">
        <v>1651.38</v>
      </c>
      <c r="J417" s="7"/>
      <c r="K417" s="8" t="str">
        <f t="shared" si="19"/>
        <v/>
      </c>
      <c r="L417" s="8" t="str">
        <f t="shared" si="20"/>
        <v/>
      </c>
      <c r="M417" s="8" t="str">
        <f t="shared" si="18"/>
        <v/>
      </c>
      <c r="N417" s="6" t="s">
        <v>21</v>
      </c>
    </row>
    <row r="418" spans="1:14" x14ac:dyDescent="0.2">
      <c r="A418" s="6" t="s">
        <v>417</v>
      </c>
      <c r="B418" s="6" t="s">
        <v>418</v>
      </c>
      <c r="C418" s="6" t="s">
        <v>20</v>
      </c>
      <c r="D418" s="7">
        <v>45090</v>
      </c>
      <c r="E418" s="7">
        <v>45170</v>
      </c>
      <c r="F418" s="7">
        <v>45209</v>
      </c>
      <c r="G418" s="9">
        <v>548000</v>
      </c>
      <c r="H418" s="9">
        <v>484955.75</v>
      </c>
      <c r="I418" s="9">
        <v>63044.25</v>
      </c>
      <c r="J418" s="7">
        <v>45503</v>
      </c>
      <c r="K418" s="8">
        <f t="shared" si="19"/>
        <v>80</v>
      </c>
      <c r="L418" s="8">
        <f t="shared" si="20"/>
        <v>39</v>
      </c>
      <c r="M418" s="8">
        <f t="shared" si="18"/>
        <v>294</v>
      </c>
      <c r="N418" s="6" t="s">
        <v>26</v>
      </c>
    </row>
    <row r="419" spans="1:14" x14ac:dyDescent="0.2">
      <c r="A419" s="6" t="s">
        <v>417</v>
      </c>
      <c r="B419" s="6" t="s">
        <v>418</v>
      </c>
      <c r="C419" s="6" t="s">
        <v>20</v>
      </c>
      <c r="D419" s="7"/>
      <c r="E419" s="7"/>
      <c r="F419" s="7">
        <v>45209</v>
      </c>
      <c r="G419" s="9">
        <v>548000</v>
      </c>
      <c r="H419" s="9">
        <v>484955.75</v>
      </c>
      <c r="I419" s="9">
        <v>63044.25</v>
      </c>
      <c r="J419" s="7">
        <v>45503</v>
      </c>
      <c r="K419" s="8" t="str">
        <f t="shared" si="19"/>
        <v/>
      </c>
      <c r="L419" s="8" t="str">
        <f t="shared" si="20"/>
        <v/>
      </c>
      <c r="M419" s="8">
        <f t="shared" si="18"/>
        <v>294</v>
      </c>
      <c r="N419" s="6" t="s">
        <v>26</v>
      </c>
    </row>
    <row r="420" spans="1:14" x14ac:dyDescent="0.2">
      <c r="A420" s="6" t="s">
        <v>417</v>
      </c>
      <c r="B420" s="6" t="s">
        <v>418</v>
      </c>
      <c r="C420" s="6" t="s">
        <v>20</v>
      </c>
      <c r="D420" s="7"/>
      <c r="E420" s="7"/>
      <c r="F420" s="7">
        <v>45209</v>
      </c>
      <c r="G420" s="9">
        <v>548000</v>
      </c>
      <c r="H420" s="9">
        <v>484955.75</v>
      </c>
      <c r="I420" s="9">
        <v>63044.25</v>
      </c>
      <c r="J420" s="7">
        <v>45503</v>
      </c>
      <c r="K420" s="8" t="str">
        <f t="shared" si="19"/>
        <v/>
      </c>
      <c r="L420" s="8" t="str">
        <f t="shared" si="20"/>
        <v/>
      </c>
      <c r="M420" s="8">
        <f t="shared" si="18"/>
        <v>294</v>
      </c>
      <c r="N420" s="6" t="s">
        <v>26</v>
      </c>
    </row>
    <row r="421" spans="1:14" x14ac:dyDescent="0.2">
      <c r="A421" s="6" t="s">
        <v>417</v>
      </c>
      <c r="B421" s="6" t="s">
        <v>418</v>
      </c>
      <c r="C421" s="6" t="s">
        <v>20</v>
      </c>
      <c r="D421" s="7"/>
      <c r="E421" s="7"/>
      <c r="F421" s="7">
        <v>45209</v>
      </c>
      <c r="G421" s="9">
        <v>548000</v>
      </c>
      <c r="H421" s="9">
        <v>484955.75</v>
      </c>
      <c r="I421" s="9">
        <v>63044.25</v>
      </c>
      <c r="J421" s="7">
        <v>45503</v>
      </c>
      <c r="K421" s="8" t="str">
        <f t="shared" si="19"/>
        <v/>
      </c>
      <c r="L421" s="8" t="str">
        <f t="shared" si="20"/>
        <v/>
      </c>
      <c r="M421" s="8">
        <f t="shared" si="18"/>
        <v>294</v>
      </c>
      <c r="N421" s="6" t="s">
        <v>26</v>
      </c>
    </row>
    <row r="422" spans="1:14" x14ac:dyDescent="0.2">
      <c r="A422" s="6" t="s">
        <v>417</v>
      </c>
      <c r="B422" s="6" t="s">
        <v>418</v>
      </c>
      <c r="C422" s="6" t="s">
        <v>20</v>
      </c>
      <c r="D422" s="7"/>
      <c r="E422" s="7"/>
      <c r="F422" s="7">
        <v>45209</v>
      </c>
      <c r="G422" s="9">
        <v>548000</v>
      </c>
      <c r="H422" s="9">
        <v>484955.75</v>
      </c>
      <c r="I422" s="9">
        <v>63044.25</v>
      </c>
      <c r="J422" s="7">
        <v>45503</v>
      </c>
      <c r="K422" s="8" t="str">
        <f t="shared" si="19"/>
        <v/>
      </c>
      <c r="L422" s="8" t="str">
        <f t="shared" si="20"/>
        <v/>
      </c>
      <c r="M422" s="8">
        <f t="shared" si="18"/>
        <v>294</v>
      </c>
      <c r="N422" s="6" t="s">
        <v>26</v>
      </c>
    </row>
    <row r="423" spans="1:14" x14ac:dyDescent="0.2">
      <c r="A423" s="6" t="s">
        <v>419</v>
      </c>
      <c r="B423" s="6" t="s">
        <v>420</v>
      </c>
      <c r="C423" s="6" t="s">
        <v>20</v>
      </c>
      <c r="D423" s="7"/>
      <c r="E423" s="7"/>
      <c r="F423" s="7">
        <v>45209</v>
      </c>
      <c r="G423" s="9">
        <v>774350</v>
      </c>
      <c r="H423" s="9">
        <v>710412.84</v>
      </c>
      <c r="I423" s="9">
        <v>63937.16</v>
      </c>
      <c r="J423" s="7">
        <v>45317</v>
      </c>
      <c r="K423" s="8" t="str">
        <f t="shared" si="19"/>
        <v/>
      </c>
      <c r="L423" s="8" t="str">
        <f t="shared" si="20"/>
        <v/>
      </c>
      <c r="M423" s="8">
        <f t="shared" si="18"/>
        <v>108</v>
      </c>
      <c r="N423" s="6" t="s">
        <v>26</v>
      </c>
    </row>
    <row r="424" spans="1:14" x14ac:dyDescent="0.2">
      <c r="A424" s="6" t="s">
        <v>419</v>
      </c>
      <c r="B424" s="6" t="s">
        <v>420</v>
      </c>
      <c r="C424" s="6" t="s">
        <v>20</v>
      </c>
      <c r="D424" s="7"/>
      <c r="E424" s="7"/>
      <c r="F424" s="7">
        <v>45209</v>
      </c>
      <c r="G424" s="9">
        <v>774350</v>
      </c>
      <c r="H424" s="9">
        <v>710412.84</v>
      </c>
      <c r="I424" s="9">
        <v>63937.16</v>
      </c>
      <c r="J424" s="7">
        <v>45317</v>
      </c>
      <c r="K424" s="8" t="str">
        <f t="shared" si="19"/>
        <v/>
      </c>
      <c r="L424" s="8" t="str">
        <f t="shared" si="20"/>
        <v/>
      </c>
      <c r="M424" s="8">
        <f t="shared" si="18"/>
        <v>108</v>
      </c>
      <c r="N424" s="6" t="s">
        <v>26</v>
      </c>
    </row>
    <row r="425" spans="1:14" x14ac:dyDescent="0.2">
      <c r="A425" s="6" t="s">
        <v>419</v>
      </c>
      <c r="B425" s="6" t="s">
        <v>420</v>
      </c>
      <c r="C425" s="6" t="s">
        <v>20</v>
      </c>
      <c r="D425" s="7"/>
      <c r="E425" s="7"/>
      <c r="F425" s="7">
        <v>45209</v>
      </c>
      <c r="G425" s="9">
        <v>774350</v>
      </c>
      <c r="H425" s="9">
        <v>710412.84</v>
      </c>
      <c r="I425" s="9">
        <v>63937.16</v>
      </c>
      <c r="J425" s="7">
        <v>45317</v>
      </c>
      <c r="K425" s="8" t="str">
        <f t="shared" si="19"/>
        <v/>
      </c>
      <c r="L425" s="8" t="str">
        <f t="shared" si="20"/>
        <v/>
      </c>
      <c r="M425" s="8">
        <f t="shared" si="18"/>
        <v>108</v>
      </c>
      <c r="N425" s="6" t="s">
        <v>26</v>
      </c>
    </row>
    <row r="426" spans="1:14" x14ac:dyDescent="0.2">
      <c r="A426" s="6" t="s">
        <v>419</v>
      </c>
      <c r="B426" s="6" t="s">
        <v>420</v>
      </c>
      <c r="C426" s="6" t="s">
        <v>20</v>
      </c>
      <c r="D426" s="7"/>
      <c r="E426" s="7"/>
      <c r="F426" s="7">
        <v>45209</v>
      </c>
      <c r="G426" s="9">
        <v>774350</v>
      </c>
      <c r="H426" s="9">
        <v>710412.84</v>
      </c>
      <c r="I426" s="9">
        <v>63937.16</v>
      </c>
      <c r="J426" s="7">
        <v>45317</v>
      </c>
      <c r="K426" s="8" t="str">
        <f t="shared" si="19"/>
        <v/>
      </c>
      <c r="L426" s="8" t="str">
        <f t="shared" si="20"/>
        <v/>
      </c>
      <c r="M426" s="8">
        <f t="shared" si="18"/>
        <v>108</v>
      </c>
      <c r="N426" s="6" t="s">
        <v>26</v>
      </c>
    </row>
    <row r="427" spans="1:14" x14ac:dyDescent="0.2">
      <c r="A427" s="6" t="s">
        <v>419</v>
      </c>
      <c r="B427" s="6" t="s">
        <v>420</v>
      </c>
      <c r="C427" s="6" t="s">
        <v>20</v>
      </c>
      <c r="D427" s="7"/>
      <c r="E427" s="7"/>
      <c r="F427" s="7">
        <v>45209</v>
      </c>
      <c r="G427" s="9">
        <v>774350</v>
      </c>
      <c r="H427" s="9">
        <v>710412.84</v>
      </c>
      <c r="I427" s="9">
        <v>63937.16</v>
      </c>
      <c r="J427" s="7">
        <v>45317</v>
      </c>
      <c r="K427" s="8" t="str">
        <f t="shared" si="19"/>
        <v/>
      </c>
      <c r="L427" s="8" t="str">
        <f t="shared" si="20"/>
        <v/>
      </c>
      <c r="M427" s="8">
        <f t="shared" si="18"/>
        <v>108</v>
      </c>
      <c r="N427" s="6" t="s">
        <v>26</v>
      </c>
    </row>
    <row r="428" spans="1:14" x14ac:dyDescent="0.2">
      <c r="A428" s="6" t="s">
        <v>419</v>
      </c>
      <c r="B428" s="6" t="s">
        <v>420</v>
      </c>
      <c r="C428" s="6" t="s">
        <v>20</v>
      </c>
      <c r="D428" s="7"/>
      <c r="E428" s="7"/>
      <c r="F428" s="7">
        <v>45209</v>
      </c>
      <c r="G428" s="9">
        <v>774350</v>
      </c>
      <c r="H428" s="9">
        <v>710412.84</v>
      </c>
      <c r="I428" s="9">
        <v>63937.16</v>
      </c>
      <c r="J428" s="7">
        <v>45317</v>
      </c>
      <c r="K428" s="8" t="str">
        <f t="shared" si="19"/>
        <v/>
      </c>
      <c r="L428" s="8" t="str">
        <f t="shared" si="20"/>
        <v/>
      </c>
      <c r="M428" s="8">
        <f t="shared" si="18"/>
        <v>108</v>
      </c>
      <c r="N428" s="6" t="s">
        <v>26</v>
      </c>
    </row>
    <row r="429" spans="1:14" x14ac:dyDescent="0.2">
      <c r="A429" s="6" t="s">
        <v>419</v>
      </c>
      <c r="B429" s="6" t="s">
        <v>420</v>
      </c>
      <c r="C429" s="6" t="s">
        <v>20</v>
      </c>
      <c r="D429" s="7"/>
      <c r="E429" s="7"/>
      <c r="F429" s="7">
        <v>45209</v>
      </c>
      <c r="G429" s="9">
        <v>774350</v>
      </c>
      <c r="H429" s="9">
        <v>710412.84</v>
      </c>
      <c r="I429" s="9">
        <v>63937.16</v>
      </c>
      <c r="J429" s="7">
        <v>45317</v>
      </c>
      <c r="K429" s="8" t="str">
        <f t="shared" si="19"/>
        <v/>
      </c>
      <c r="L429" s="8" t="str">
        <f t="shared" si="20"/>
        <v/>
      </c>
      <c r="M429" s="8">
        <f t="shared" si="18"/>
        <v>108</v>
      </c>
      <c r="N429" s="6" t="s">
        <v>26</v>
      </c>
    </row>
    <row r="430" spans="1:14" x14ac:dyDescent="0.2">
      <c r="A430" s="6" t="s">
        <v>419</v>
      </c>
      <c r="B430" s="6" t="s">
        <v>420</v>
      </c>
      <c r="C430" s="6" t="s">
        <v>20</v>
      </c>
      <c r="D430" s="7"/>
      <c r="E430" s="7"/>
      <c r="F430" s="7">
        <v>45209</v>
      </c>
      <c r="G430" s="9">
        <v>774350</v>
      </c>
      <c r="H430" s="9">
        <v>710412.84</v>
      </c>
      <c r="I430" s="9">
        <v>63937.16</v>
      </c>
      <c r="J430" s="7">
        <v>45317</v>
      </c>
      <c r="K430" s="8" t="str">
        <f t="shared" si="19"/>
        <v/>
      </c>
      <c r="L430" s="8" t="str">
        <f t="shared" si="20"/>
        <v/>
      </c>
      <c r="M430" s="8">
        <f t="shared" si="18"/>
        <v>108</v>
      </c>
      <c r="N430" s="6" t="s">
        <v>26</v>
      </c>
    </row>
    <row r="431" spans="1:14" x14ac:dyDescent="0.2">
      <c r="A431" s="6" t="s">
        <v>419</v>
      </c>
      <c r="B431" s="6" t="s">
        <v>420</v>
      </c>
      <c r="C431" s="6" t="s">
        <v>20</v>
      </c>
      <c r="D431" s="7"/>
      <c r="E431" s="7"/>
      <c r="F431" s="7">
        <v>45209</v>
      </c>
      <c r="G431" s="9">
        <v>25000</v>
      </c>
      <c r="H431" s="9">
        <v>22935.78</v>
      </c>
      <c r="I431" s="9">
        <v>2064.2199999999998</v>
      </c>
      <c r="J431" s="7">
        <v>45317</v>
      </c>
      <c r="K431" s="8" t="str">
        <f t="shared" si="19"/>
        <v/>
      </c>
      <c r="L431" s="8" t="str">
        <f t="shared" si="20"/>
        <v/>
      </c>
      <c r="M431" s="8">
        <f t="shared" si="18"/>
        <v>108</v>
      </c>
      <c r="N431" s="6" t="s">
        <v>26</v>
      </c>
    </row>
    <row r="432" spans="1:14" x14ac:dyDescent="0.2">
      <c r="A432" s="6" t="s">
        <v>421</v>
      </c>
      <c r="B432" s="6" t="s">
        <v>422</v>
      </c>
      <c r="C432" s="6" t="s">
        <v>20</v>
      </c>
      <c r="D432" s="7">
        <v>45140</v>
      </c>
      <c r="E432" s="7">
        <v>45144</v>
      </c>
      <c r="F432" s="7">
        <v>45210</v>
      </c>
      <c r="G432" s="9">
        <v>55000</v>
      </c>
      <c r="H432" s="9">
        <v>48672.57</v>
      </c>
      <c r="I432" s="9">
        <v>6327.43</v>
      </c>
      <c r="J432" s="7"/>
      <c r="K432" s="8">
        <f t="shared" si="19"/>
        <v>4</v>
      </c>
      <c r="L432" s="8">
        <f t="shared" si="20"/>
        <v>66</v>
      </c>
      <c r="M432" s="8" t="str">
        <f t="shared" si="18"/>
        <v/>
      </c>
      <c r="N432" s="6" t="s">
        <v>21</v>
      </c>
    </row>
    <row r="433" spans="1:14" x14ac:dyDescent="0.2">
      <c r="A433" s="6" t="s">
        <v>423</v>
      </c>
      <c r="B433" s="6" t="s">
        <v>424</v>
      </c>
      <c r="C433" s="6" t="s">
        <v>20</v>
      </c>
      <c r="D433" s="7">
        <v>45186</v>
      </c>
      <c r="E433" s="7"/>
      <c r="F433" s="7">
        <v>45210</v>
      </c>
      <c r="G433" s="9">
        <v>40000</v>
      </c>
      <c r="H433" s="9">
        <v>35398.230000000003</v>
      </c>
      <c r="I433" s="9">
        <v>4601.7700000000004</v>
      </c>
      <c r="J433" s="7"/>
      <c r="K433" s="8">
        <f t="shared" si="19"/>
        <v>-45186</v>
      </c>
      <c r="L433" s="8">
        <f t="shared" si="20"/>
        <v>45210</v>
      </c>
      <c r="M433" s="8" t="str">
        <f t="shared" si="18"/>
        <v/>
      </c>
      <c r="N433" s="6" t="s">
        <v>21</v>
      </c>
    </row>
    <row r="434" spans="1:14" x14ac:dyDescent="0.2">
      <c r="A434" s="6" t="s">
        <v>425</v>
      </c>
      <c r="B434" s="6" t="s">
        <v>426</v>
      </c>
      <c r="C434" s="6" t="s">
        <v>20</v>
      </c>
      <c r="D434" s="7"/>
      <c r="E434" s="7"/>
      <c r="F434" s="7">
        <v>45211</v>
      </c>
      <c r="G434" s="9">
        <v>609000</v>
      </c>
      <c r="H434" s="9">
        <v>558715.6</v>
      </c>
      <c r="I434" s="9">
        <v>50284.4</v>
      </c>
      <c r="J434" s="7">
        <v>45315</v>
      </c>
      <c r="K434" s="8" t="str">
        <f t="shared" si="19"/>
        <v/>
      </c>
      <c r="L434" s="8" t="str">
        <f t="shared" si="20"/>
        <v/>
      </c>
      <c r="M434" s="8">
        <f t="shared" si="18"/>
        <v>104</v>
      </c>
      <c r="N434" s="6" t="s">
        <v>26</v>
      </c>
    </row>
    <row r="435" spans="1:14" x14ac:dyDescent="0.2">
      <c r="A435" s="6" t="s">
        <v>425</v>
      </c>
      <c r="B435" s="6" t="s">
        <v>426</v>
      </c>
      <c r="C435" s="6" t="s">
        <v>20</v>
      </c>
      <c r="D435" s="7"/>
      <c r="E435" s="7"/>
      <c r="F435" s="7">
        <v>45211</v>
      </c>
      <c r="G435" s="9">
        <v>609000</v>
      </c>
      <c r="H435" s="9">
        <v>558715.6</v>
      </c>
      <c r="I435" s="9">
        <v>50284.4</v>
      </c>
      <c r="J435" s="7">
        <v>45315</v>
      </c>
      <c r="K435" s="8" t="str">
        <f t="shared" si="19"/>
        <v/>
      </c>
      <c r="L435" s="8" t="str">
        <f t="shared" si="20"/>
        <v/>
      </c>
      <c r="M435" s="8">
        <f t="shared" si="18"/>
        <v>104</v>
      </c>
      <c r="N435" s="6" t="s">
        <v>26</v>
      </c>
    </row>
    <row r="436" spans="1:14" x14ac:dyDescent="0.2">
      <c r="A436" s="6" t="s">
        <v>425</v>
      </c>
      <c r="B436" s="6" t="s">
        <v>426</v>
      </c>
      <c r="C436" s="6" t="s">
        <v>20</v>
      </c>
      <c r="D436" s="7"/>
      <c r="E436" s="7"/>
      <c r="F436" s="7">
        <v>45211</v>
      </c>
      <c r="G436" s="9">
        <v>609000</v>
      </c>
      <c r="H436" s="9">
        <v>558715.6</v>
      </c>
      <c r="I436" s="9">
        <v>50284.4</v>
      </c>
      <c r="J436" s="7">
        <v>45315</v>
      </c>
      <c r="K436" s="8" t="str">
        <f t="shared" si="19"/>
        <v/>
      </c>
      <c r="L436" s="8" t="str">
        <f t="shared" si="20"/>
        <v/>
      </c>
      <c r="M436" s="8">
        <f t="shared" si="18"/>
        <v>104</v>
      </c>
      <c r="N436" s="6" t="s">
        <v>26</v>
      </c>
    </row>
    <row r="437" spans="1:14" x14ac:dyDescent="0.2">
      <c r="A437" s="6" t="s">
        <v>425</v>
      </c>
      <c r="B437" s="6" t="s">
        <v>426</v>
      </c>
      <c r="C437" s="6" t="s">
        <v>20</v>
      </c>
      <c r="D437" s="7"/>
      <c r="E437" s="7"/>
      <c r="F437" s="7">
        <v>45211</v>
      </c>
      <c r="G437" s="9">
        <v>609000</v>
      </c>
      <c r="H437" s="9">
        <v>558715.6</v>
      </c>
      <c r="I437" s="9">
        <v>50284.4</v>
      </c>
      <c r="J437" s="7">
        <v>45315</v>
      </c>
      <c r="K437" s="8" t="str">
        <f t="shared" si="19"/>
        <v/>
      </c>
      <c r="L437" s="8" t="str">
        <f t="shared" si="20"/>
        <v/>
      </c>
      <c r="M437" s="8">
        <f t="shared" si="18"/>
        <v>104</v>
      </c>
      <c r="N437" s="6" t="s">
        <v>26</v>
      </c>
    </row>
    <row r="438" spans="1:14" x14ac:dyDescent="0.2">
      <c r="A438" s="6" t="s">
        <v>425</v>
      </c>
      <c r="B438" s="6" t="s">
        <v>426</v>
      </c>
      <c r="C438" s="6" t="s">
        <v>20</v>
      </c>
      <c r="D438" s="7"/>
      <c r="E438" s="7"/>
      <c r="F438" s="7">
        <v>45211</v>
      </c>
      <c r="G438" s="9">
        <v>609000</v>
      </c>
      <c r="H438" s="9">
        <v>558715.6</v>
      </c>
      <c r="I438" s="9">
        <v>50284.4</v>
      </c>
      <c r="J438" s="7">
        <v>45315</v>
      </c>
      <c r="K438" s="8" t="str">
        <f t="shared" si="19"/>
        <v/>
      </c>
      <c r="L438" s="8" t="str">
        <f t="shared" si="20"/>
        <v/>
      </c>
      <c r="M438" s="8">
        <f t="shared" si="18"/>
        <v>104</v>
      </c>
      <c r="N438" s="6" t="s">
        <v>26</v>
      </c>
    </row>
    <row r="439" spans="1:14" x14ac:dyDescent="0.2">
      <c r="A439" s="6" t="s">
        <v>425</v>
      </c>
      <c r="B439" s="6" t="s">
        <v>426</v>
      </c>
      <c r="C439" s="6" t="s">
        <v>20</v>
      </c>
      <c r="D439" s="7"/>
      <c r="E439" s="7"/>
      <c r="F439" s="7">
        <v>45211</v>
      </c>
      <c r="G439" s="9">
        <v>609000</v>
      </c>
      <c r="H439" s="9">
        <v>558715.6</v>
      </c>
      <c r="I439" s="9">
        <v>50284.4</v>
      </c>
      <c r="J439" s="7">
        <v>45315</v>
      </c>
      <c r="K439" s="8" t="str">
        <f t="shared" si="19"/>
        <v/>
      </c>
      <c r="L439" s="8" t="str">
        <f t="shared" si="20"/>
        <v/>
      </c>
      <c r="M439" s="8">
        <f t="shared" si="18"/>
        <v>104</v>
      </c>
      <c r="N439" s="6" t="s">
        <v>26</v>
      </c>
    </row>
    <row r="440" spans="1:14" x14ac:dyDescent="0.2">
      <c r="A440" s="6" t="s">
        <v>427</v>
      </c>
      <c r="B440" s="6" t="s">
        <v>428</v>
      </c>
      <c r="C440" s="6" t="s">
        <v>20</v>
      </c>
      <c r="D440" s="7">
        <v>45191</v>
      </c>
      <c r="E440" s="7">
        <v>45194</v>
      </c>
      <c r="F440" s="7">
        <v>45211</v>
      </c>
      <c r="G440" s="9">
        <v>13000</v>
      </c>
      <c r="H440" s="9">
        <v>12264.15</v>
      </c>
      <c r="I440" s="9">
        <v>735.85</v>
      </c>
      <c r="J440" s="7"/>
      <c r="K440" s="8">
        <f t="shared" si="19"/>
        <v>3</v>
      </c>
      <c r="L440" s="8">
        <f t="shared" si="20"/>
        <v>17</v>
      </c>
      <c r="M440" s="8" t="str">
        <f t="shared" si="18"/>
        <v/>
      </c>
      <c r="N440" s="6" t="s">
        <v>21</v>
      </c>
    </row>
    <row r="441" spans="1:14" x14ac:dyDescent="0.2">
      <c r="A441" s="6" t="s">
        <v>47</v>
      </c>
      <c r="B441" s="6" t="s">
        <v>102</v>
      </c>
      <c r="C441" s="6" t="s">
        <v>20</v>
      </c>
      <c r="D441" s="7"/>
      <c r="E441" s="7"/>
      <c r="F441" s="7">
        <v>45211</v>
      </c>
      <c r="G441" s="9">
        <v>195240.72</v>
      </c>
      <c r="H441" s="9">
        <v>186833.22</v>
      </c>
      <c r="I441" s="9">
        <v>8407.5</v>
      </c>
      <c r="J441" s="7">
        <v>45314</v>
      </c>
      <c r="K441" s="8" t="str">
        <f t="shared" si="19"/>
        <v/>
      </c>
      <c r="L441" s="8" t="str">
        <f t="shared" si="20"/>
        <v/>
      </c>
      <c r="M441" s="8">
        <f t="shared" si="18"/>
        <v>103</v>
      </c>
      <c r="N441" s="6" t="s">
        <v>26</v>
      </c>
    </row>
    <row r="442" spans="1:14" x14ac:dyDescent="0.2">
      <c r="A442" s="6" t="s">
        <v>47</v>
      </c>
      <c r="B442" s="6" t="s">
        <v>102</v>
      </c>
      <c r="C442" s="6" t="s">
        <v>20</v>
      </c>
      <c r="D442" s="7"/>
      <c r="E442" s="7"/>
      <c r="F442" s="7">
        <v>45211</v>
      </c>
      <c r="G442" s="9">
        <v>203648.21</v>
      </c>
      <c r="H442" s="9">
        <v>186833.22</v>
      </c>
      <c r="I442" s="9">
        <v>16814.990000000002</v>
      </c>
      <c r="J442" s="7">
        <v>45314</v>
      </c>
      <c r="K442" s="8" t="str">
        <f t="shared" si="19"/>
        <v/>
      </c>
      <c r="L442" s="8" t="str">
        <f t="shared" si="20"/>
        <v/>
      </c>
      <c r="M442" s="8">
        <f t="shared" si="18"/>
        <v>103</v>
      </c>
      <c r="N442" s="6" t="s">
        <v>26</v>
      </c>
    </row>
    <row r="443" spans="1:14" x14ac:dyDescent="0.2">
      <c r="A443" s="6" t="s">
        <v>429</v>
      </c>
      <c r="B443" s="6" t="s">
        <v>430</v>
      </c>
      <c r="C443" s="6" t="s">
        <v>20</v>
      </c>
      <c r="D443" s="7"/>
      <c r="E443" s="7"/>
      <c r="F443" s="7">
        <v>45211</v>
      </c>
      <c r="G443" s="9">
        <v>18000</v>
      </c>
      <c r="H443" s="9">
        <v>15929.2</v>
      </c>
      <c r="I443" s="9">
        <v>2070.8000000000002</v>
      </c>
      <c r="J443" s="7">
        <v>45562</v>
      </c>
      <c r="K443" s="8" t="str">
        <f t="shared" si="19"/>
        <v/>
      </c>
      <c r="L443" s="8" t="str">
        <f t="shared" si="20"/>
        <v/>
      </c>
      <c r="M443" s="8">
        <f t="shared" si="18"/>
        <v>351</v>
      </c>
      <c r="N443" s="6" t="s">
        <v>26</v>
      </c>
    </row>
    <row r="444" spans="1:14" x14ac:dyDescent="0.2">
      <c r="A444" s="6" t="s">
        <v>429</v>
      </c>
      <c r="B444" s="6" t="s">
        <v>431</v>
      </c>
      <c r="C444" s="6" t="s">
        <v>20</v>
      </c>
      <c r="D444" s="7"/>
      <c r="E444" s="7"/>
      <c r="F444" s="7">
        <v>45211</v>
      </c>
      <c r="G444" s="9">
        <v>0.8</v>
      </c>
      <c r="H444" s="9">
        <v>0.73</v>
      </c>
      <c r="I444" s="9">
        <v>7.0000000000000007E-2</v>
      </c>
      <c r="J444" s="7">
        <v>45562</v>
      </c>
      <c r="K444" s="8" t="str">
        <f t="shared" si="19"/>
        <v/>
      </c>
      <c r="L444" s="8" t="str">
        <f t="shared" si="20"/>
        <v/>
      </c>
      <c r="M444" s="8">
        <f t="shared" si="18"/>
        <v>351</v>
      </c>
      <c r="N444" s="6" t="s">
        <v>26</v>
      </c>
    </row>
    <row r="445" spans="1:14" x14ac:dyDescent="0.2">
      <c r="A445" s="6" t="s">
        <v>425</v>
      </c>
      <c r="B445" s="6" t="s">
        <v>432</v>
      </c>
      <c r="C445" s="6" t="s">
        <v>20</v>
      </c>
      <c r="D445" s="7"/>
      <c r="E445" s="7"/>
      <c r="F445" s="7">
        <v>45212</v>
      </c>
      <c r="G445" s="9">
        <v>61800</v>
      </c>
      <c r="H445" s="9">
        <v>56697.25</v>
      </c>
      <c r="I445" s="9">
        <v>5102.75</v>
      </c>
      <c r="J445" s="7">
        <v>45315</v>
      </c>
      <c r="K445" s="8" t="str">
        <f t="shared" si="19"/>
        <v/>
      </c>
      <c r="L445" s="8" t="str">
        <f t="shared" si="20"/>
        <v/>
      </c>
      <c r="M445" s="8">
        <f t="shared" si="18"/>
        <v>103</v>
      </c>
      <c r="N445" s="6" t="s">
        <v>26</v>
      </c>
    </row>
    <row r="446" spans="1:14" x14ac:dyDescent="0.2">
      <c r="A446" s="6" t="s">
        <v>433</v>
      </c>
      <c r="B446" s="6" t="s">
        <v>434</v>
      </c>
      <c r="C446" s="6" t="s">
        <v>20</v>
      </c>
      <c r="D446" s="7"/>
      <c r="E446" s="7"/>
      <c r="F446" s="7">
        <v>45215</v>
      </c>
      <c r="G446" s="9">
        <v>26060</v>
      </c>
      <c r="H446" s="9">
        <v>24584.92</v>
      </c>
      <c r="I446" s="9">
        <v>1475.08</v>
      </c>
      <c r="J446" s="7"/>
      <c r="K446" s="8" t="str">
        <f t="shared" si="19"/>
        <v/>
      </c>
      <c r="L446" s="8" t="str">
        <f t="shared" si="20"/>
        <v/>
      </c>
      <c r="M446" s="8" t="str">
        <f t="shared" si="18"/>
        <v/>
      </c>
      <c r="N446" s="6" t="s">
        <v>21</v>
      </c>
    </row>
    <row r="447" spans="1:14" x14ac:dyDescent="0.2">
      <c r="A447" s="6" t="s">
        <v>201</v>
      </c>
      <c r="B447" s="6" t="s">
        <v>435</v>
      </c>
      <c r="C447" s="6" t="s">
        <v>33</v>
      </c>
      <c r="D447" s="7"/>
      <c r="E447" s="7"/>
      <c r="F447" s="7">
        <v>45217</v>
      </c>
      <c r="G447" s="9">
        <v>54500</v>
      </c>
      <c r="H447" s="9">
        <v>50000</v>
      </c>
      <c r="I447" s="9">
        <v>4500</v>
      </c>
      <c r="J447" s="7">
        <v>45316</v>
      </c>
      <c r="K447" s="8" t="str">
        <f t="shared" si="19"/>
        <v/>
      </c>
      <c r="L447" s="8" t="str">
        <f t="shared" si="20"/>
        <v/>
      </c>
      <c r="M447" s="8">
        <f t="shared" si="18"/>
        <v>99</v>
      </c>
      <c r="N447" s="6" t="s">
        <v>26</v>
      </c>
    </row>
    <row r="448" spans="1:14" x14ac:dyDescent="0.2">
      <c r="A448" s="6" t="s">
        <v>201</v>
      </c>
      <c r="B448" s="6" t="s">
        <v>435</v>
      </c>
      <c r="C448" s="6" t="s">
        <v>33</v>
      </c>
      <c r="D448" s="7"/>
      <c r="E448" s="7"/>
      <c r="F448" s="7">
        <v>45217</v>
      </c>
      <c r="G448" s="9">
        <v>54500</v>
      </c>
      <c r="H448" s="9">
        <v>50000</v>
      </c>
      <c r="I448" s="9">
        <v>4500</v>
      </c>
      <c r="J448" s="7">
        <v>45316</v>
      </c>
      <c r="K448" s="8" t="str">
        <f t="shared" si="19"/>
        <v/>
      </c>
      <c r="L448" s="8" t="str">
        <f t="shared" si="20"/>
        <v/>
      </c>
      <c r="M448" s="8">
        <f t="shared" si="18"/>
        <v>99</v>
      </c>
      <c r="N448" s="6" t="s">
        <v>26</v>
      </c>
    </row>
    <row r="449" spans="1:14" x14ac:dyDescent="0.2">
      <c r="A449" s="6" t="s">
        <v>201</v>
      </c>
      <c r="B449" s="6" t="s">
        <v>435</v>
      </c>
      <c r="C449" s="6" t="s">
        <v>33</v>
      </c>
      <c r="D449" s="7"/>
      <c r="E449" s="7"/>
      <c r="F449" s="7">
        <v>45217</v>
      </c>
      <c r="G449" s="9">
        <v>54500</v>
      </c>
      <c r="H449" s="9">
        <v>50000</v>
      </c>
      <c r="I449" s="9">
        <v>4500</v>
      </c>
      <c r="J449" s="7">
        <v>45316</v>
      </c>
      <c r="K449" s="8" t="str">
        <f t="shared" si="19"/>
        <v/>
      </c>
      <c r="L449" s="8" t="str">
        <f t="shared" si="20"/>
        <v/>
      </c>
      <c r="M449" s="8">
        <f t="shared" si="18"/>
        <v>99</v>
      </c>
      <c r="N449" s="6" t="s">
        <v>26</v>
      </c>
    </row>
    <row r="450" spans="1:14" x14ac:dyDescent="0.2">
      <c r="A450" s="6" t="s">
        <v>201</v>
      </c>
      <c r="B450" s="6" t="s">
        <v>435</v>
      </c>
      <c r="C450" s="6" t="s">
        <v>33</v>
      </c>
      <c r="D450" s="7"/>
      <c r="E450" s="7"/>
      <c r="F450" s="7">
        <v>45217</v>
      </c>
      <c r="G450" s="9">
        <v>18500</v>
      </c>
      <c r="H450" s="9">
        <v>16972.48</v>
      </c>
      <c r="I450" s="9">
        <v>1527.52</v>
      </c>
      <c r="J450" s="7">
        <v>45316</v>
      </c>
      <c r="K450" s="8" t="str">
        <f t="shared" si="19"/>
        <v/>
      </c>
      <c r="L450" s="8" t="str">
        <f t="shared" si="20"/>
        <v/>
      </c>
      <c r="M450" s="8">
        <f t="shared" ref="M450:M513" si="21">IF(OR($F450="", $J450=""),"", $J450-$F450)</f>
        <v>99</v>
      </c>
      <c r="N450" s="6" t="s">
        <v>26</v>
      </c>
    </row>
    <row r="451" spans="1:14" x14ac:dyDescent="0.2">
      <c r="A451" s="6" t="s">
        <v>201</v>
      </c>
      <c r="B451" s="6" t="s">
        <v>436</v>
      </c>
      <c r="C451" s="6" t="s">
        <v>33</v>
      </c>
      <c r="D451" s="7"/>
      <c r="E451" s="7"/>
      <c r="F451" s="7">
        <v>45217</v>
      </c>
      <c r="G451" s="9">
        <v>36000</v>
      </c>
      <c r="H451" s="9">
        <v>33027.519999999997</v>
      </c>
      <c r="I451" s="9">
        <v>2972.48</v>
      </c>
      <c r="J451" s="7">
        <v>45316</v>
      </c>
      <c r="K451" s="8" t="str">
        <f t="shared" ref="K451:K514" si="22">IF(OR($D451="", $F451=""),"", $E451-$D451)</f>
        <v/>
      </c>
      <c r="L451" s="8" t="str">
        <f t="shared" ref="L451:L514" si="23">IF(OR($D451="", $F451=""),"", $F451-$E451)</f>
        <v/>
      </c>
      <c r="M451" s="8">
        <f t="shared" si="21"/>
        <v>99</v>
      </c>
      <c r="N451" s="6" t="s">
        <v>26</v>
      </c>
    </row>
    <row r="452" spans="1:14" x14ac:dyDescent="0.2">
      <c r="A452" s="6" t="s">
        <v>29</v>
      </c>
      <c r="B452" s="6" t="s">
        <v>437</v>
      </c>
      <c r="C452" s="6" t="s">
        <v>20</v>
      </c>
      <c r="D452" s="7"/>
      <c r="E452" s="7"/>
      <c r="F452" s="7">
        <v>45219</v>
      </c>
      <c r="G452" s="9">
        <v>32000</v>
      </c>
      <c r="H452" s="9">
        <v>28318.58</v>
      </c>
      <c r="I452" s="9">
        <v>3681.42</v>
      </c>
      <c r="J452" s="7">
        <v>45365</v>
      </c>
      <c r="K452" s="8" t="str">
        <f t="shared" si="22"/>
        <v/>
      </c>
      <c r="L452" s="8" t="str">
        <f t="shared" si="23"/>
        <v/>
      </c>
      <c r="M452" s="8">
        <f t="shared" si="21"/>
        <v>146</v>
      </c>
      <c r="N452" s="6" t="s">
        <v>26</v>
      </c>
    </row>
    <row r="453" spans="1:14" x14ac:dyDescent="0.2">
      <c r="A453" s="6" t="s">
        <v>29</v>
      </c>
      <c r="B453" s="6" t="s">
        <v>438</v>
      </c>
      <c r="C453" s="6" t="s">
        <v>20</v>
      </c>
      <c r="D453" s="7"/>
      <c r="E453" s="7"/>
      <c r="F453" s="7">
        <v>45219</v>
      </c>
      <c r="G453" s="9">
        <v>32000</v>
      </c>
      <c r="H453" s="9">
        <v>28318.58</v>
      </c>
      <c r="I453" s="9">
        <v>3681.42</v>
      </c>
      <c r="J453" s="7">
        <v>45365</v>
      </c>
      <c r="K453" s="8" t="str">
        <f t="shared" si="22"/>
        <v/>
      </c>
      <c r="L453" s="8" t="str">
        <f t="shared" si="23"/>
        <v/>
      </c>
      <c r="M453" s="8">
        <f t="shared" si="21"/>
        <v>146</v>
      </c>
      <c r="N453" s="6" t="s">
        <v>26</v>
      </c>
    </row>
    <row r="454" spans="1:14" x14ac:dyDescent="0.2">
      <c r="A454" s="6" t="s">
        <v>27</v>
      </c>
      <c r="B454" s="6" t="s">
        <v>398</v>
      </c>
      <c r="C454" s="6" t="s">
        <v>20</v>
      </c>
      <c r="D454" s="7"/>
      <c r="E454" s="7"/>
      <c r="F454" s="7">
        <v>45222</v>
      </c>
      <c r="G454" s="9">
        <v>100000</v>
      </c>
      <c r="H454" s="9">
        <v>88495.58</v>
      </c>
      <c r="I454" s="9">
        <v>11504.42</v>
      </c>
      <c r="J454" s="7">
        <v>45322</v>
      </c>
      <c r="K454" s="8" t="str">
        <f t="shared" si="22"/>
        <v/>
      </c>
      <c r="L454" s="8" t="str">
        <f t="shared" si="23"/>
        <v/>
      </c>
      <c r="M454" s="8">
        <f t="shared" si="21"/>
        <v>100</v>
      </c>
      <c r="N454" s="6" t="s">
        <v>26</v>
      </c>
    </row>
    <row r="455" spans="1:14" x14ac:dyDescent="0.2">
      <c r="A455" s="6" t="s">
        <v>47</v>
      </c>
      <c r="B455" s="6" t="s">
        <v>439</v>
      </c>
      <c r="C455" s="6" t="s">
        <v>20</v>
      </c>
      <c r="D455" s="7"/>
      <c r="E455" s="7"/>
      <c r="F455" s="7">
        <v>45222</v>
      </c>
      <c r="G455" s="9">
        <v>38821.129999999997</v>
      </c>
      <c r="H455" s="9">
        <v>34354.980000000003</v>
      </c>
      <c r="I455" s="9">
        <v>4466.1499999999996</v>
      </c>
      <c r="J455" s="7">
        <v>45314</v>
      </c>
      <c r="K455" s="8" t="str">
        <f t="shared" si="22"/>
        <v/>
      </c>
      <c r="L455" s="8" t="str">
        <f t="shared" si="23"/>
        <v/>
      </c>
      <c r="M455" s="8">
        <f t="shared" si="21"/>
        <v>92</v>
      </c>
      <c r="N455" s="6" t="s">
        <v>26</v>
      </c>
    </row>
    <row r="456" spans="1:14" x14ac:dyDescent="0.2">
      <c r="A456" s="6" t="s">
        <v>440</v>
      </c>
      <c r="B456" s="6" t="s">
        <v>441</v>
      </c>
      <c r="C456" s="6" t="s">
        <v>20</v>
      </c>
      <c r="D456" s="7"/>
      <c r="E456" s="7"/>
      <c r="F456" s="7">
        <v>45223</v>
      </c>
      <c r="G456" s="9">
        <v>21000</v>
      </c>
      <c r="H456" s="9">
        <v>19266.060000000001</v>
      </c>
      <c r="I456" s="9">
        <v>1733.94</v>
      </c>
      <c r="J456" s="7">
        <v>45561</v>
      </c>
      <c r="K456" s="8" t="str">
        <f t="shared" si="22"/>
        <v/>
      </c>
      <c r="L456" s="8" t="str">
        <f t="shared" si="23"/>
        <v/>
      </c>
      <c r="M456" s="8">
        <f t="shared" si="21"/>
        <v>338</v>
      </c>
      <c r="N456" s="6" t="s">
        <v>26</v>
      </c>
    </row>
    <row r="457" spans="1:14" x14ac:dyDescent="0.2">
      <c r="A457" s="6" t="s">
        <v>442</v>
      </c>
      <c r="B457" s="6" t="s">
        <v>443</v>
      </c>
      <c r="C457" s="6" t="s">
        <v>20</v>
      </c>
      <c r="D457" s="7"/>
      <c r="E457" s="7"/>
      <c r="F457" s="7">
        <v>45226</v>
      </c>
      <c r="G457" s="9">
        <v>97280</v>
      </c>
      <c r="H457" s="9">
        <v>89247.71</v>
      </c>
      <c r="I457" s="9">
        <v>8032.29</v>
      </c>
      <c r="J457" s="7">
        <v>45299</v>
      </c>
      <c r="K457" s="8" t="str">
        <f t="shared" si="22"/>
        <v/>
      </c>
      <c r="L457" s="8" t="str">
        <f t="shared" si="23"/>
        <v/>
      </c>
      <c r="M457" s="8">
        <f t="shared" si="21"/>
        <v>73</v>
      </c>
      <c r="N457" s="6" t="s">
        <v>26</v>
      </c>
    </row>
    <row r="458" spans="1:14" x14ac:dyDescent="0.2">
      <c r="A458" s="6" t="s">
        <v>442</v>
      </c>
      <c r="B458" s="6" t="s">
        <v>443</v>
      </c>
      <c r="C458" s="6" t="s">
        <v>20</v>
      </c>
      <c r="D458" s="7"/>
      <c r="E458" s="7"/>
      <c r="F458" s="7">
        <v>45226</v>
      </c>
      <c r="G458" s="9">
        <v>97280</v>
      </c>
      <c r="H458" s="9">
        <v>89247.71</v>
      </c>
      <c r="I458" s="9">
        <v>8032.29</v>
      </c>
      <c r="J458" s="7">
        <v>45299</v>
      </c>
      <c r="K458" s="8" t="str">
        <f t="shared" si="22"/>
        <v/>
      </c>
      <c r="L458" s="8" t="str">
        <f t="shared" si="23"/>
        <v/>
      </c>
      <c r="M458" s="8">
        <f t="shared" si="21"/>
        <v>73</v>
      </c>
      <c r="N458" s="6" t="s">
        <v>26</v>
      </c>
    </row>
    <row r="459" spans="1:14" x14ac:dyDescent="0.2">
      <c r="A459" s="6" t="s">
        <v>442</v>
      </c>
      <c r="B459" s="6" t="s">
        <v>443</v>
      </c>
      <c r="C459" s="6" t="s">
        <v>20</v>
      </c>
      <c r="D459" s="7"/>
      <c r="E459" s="7"/>
      <c r="F459" s="7">
        <v>45226</v>
      </c>
      <c r="G459" s="9">
        <v>97280</v>
      </c>
      <c r="H459" s="9">
        <v>89247.71</v>
      </c>
      <c r="I459" s="9">
        <v>8032.29</v>
      </c>
      <c r="J459" s="7">
        <v>45299</v>
      </c>
      <c r="K459" s="8" t="str">
        <f t="shared" si="22"/>
        <v/>
      </c>
      <c r="L459" s="8" t="str">
        <f t="shared" si="23"/>
        <v/>
      </c>
      <c r="M459" s="8">
        <f t="shared" si="21"/>
        <v>73</v>
      </c>
      <c r="N459" s="6" t="s">
        <v>26</v>
      </c>
    </row>
    <row r="460" spans="1:14" x14ac:dyDescent="0.2">
      <c r="A460" s="6" t="s">
        <v>442</v>
      </c>
      <c r="B460" s="6" t="s">
        <v>443</v>
      </c>
      <c r="C460" s="6" t="s">
        <v>20</v>
      </c>
      <c r="D460" s="7"/>
      <c r="E460" s="7"/>
      <c r="F460" s="7">
        <v>45226</v>
      </c>
      <c r="G460" s="9">
        <v>97280</v>
      </c>
      <c r="H460" s="9">
        <v>89247.71</v>
      </c>
      <c r="I460" s="9">
        <v>8032.29</v>
      </c>
      <c r="J460" s="7">
        <v>45299</v>
      </c>
      <c r="K460" s="8" t="str">
        <f t="shared" si="22"/>
        <v/>
      </c>
      <c r="L460" s="8" t="str">
        <f t="shared" si="23"/>
        <v/>
      </c>
      <c r="M460" s="8">
        <f t="shared" si="21"/>
        <v>73</v>
      </c>
      <c r="N460" s="6" t="s">
        <v>26</v>
      </c>
    </row>
    <row r="461" spans="1:14" x14ac:dyDescent="0.2">
      <c r="A461" s="6" t="s">
        <v>442</v>
      </c>
      <c r="B461" s="6" t="s">
        <v>443</v>
      </c>
      <c r="C461" s="6" t="s">
        <v>20</v>
      </c>
      <c r="D461" s="7"/>
      <c r="E461" s="7"/>
      <c r="F461" s="7">
        <v>45226</v>
      </c>
      <c r="G461" s="9">
        <v>97280</v>
      </c>
      <c r="H461" s="9">
        <v>89247.71</v>
      </c>
      <c r="I461" s="9">
        <v>8032.29</v>
      </c>
      <c r="J461" s="7">
        <v>45299</v>
      </c>
      <c r="K461" s="8" t="str">
        <f t="shared" si="22"/>
        <v/>
      </c>
      <c r="L461" s="8" t="str">
        <f t="shared" si="23"/>
        <v/>
      </c>
      <c r="M461" s="8">
        <f t="shared" si="21"/>
        <v>73</v>
      </c>
      <c r="N461" s="6" t="s">
        <v>26</v>
      </c>
    </row>
    <row r="462" spans="1:14" x14ac:dyDescent="0.2">
      <c r="A462" s="6" t="s">
        <v>442</v>
      </c>
      <c r="B462" s="6" t="s">
        <v>443</v>
      </c>
      <c r="C462" s="6" t="s">
        <v>20</v>
      </c>
      <c r="D462" s="7"/>
      <c r="E462" s="7"/>
      <c r="F462" s="7">
        <v>45226</v>
      </c>
      <c r="G462" s="9">
        <v>97280</v>
      </c>
      <c r="H462" s="9">
        <v>89247.71</v>
      </c>
      <c r="I462" s="9">
        <v>8032.29</v>
      </c>
      <c r="J462" s="7">
        <v>45299</v>
      </c>
      <c r="K462" s="8" t="str">
        <f t="shared" si="22"/>
        <v/>
      </c>
      <c r="L462" s="8" t="str">
        <f t="shared" si="23"/>
        <v/>
      </c>
      <c r="M462" s="8">
        <f t="shared" si="21"/>
        <v>73</v>
      </c>
      <c r="N462" s="6" t="s">
        <v>26</v>
      </c>
    </row>
    <row r="463" spans="1:14" x14ac:dyDescent="0.2">
      <c r="A463" s="6" t="s">
        <v>442</v>
      </c>
      <c r="B463" s="6" t="s">
        <v>443</v>
      </c>
      <c r="C463" s="6" t="s">
        <v>20</v>
      </c>
      <c r="D463" s="7"/>
      <c r="E463" s="7"/>
      <c r="F463" s="7">
        <v>45226</v>
      </c>
      <c r="G463" s="9">
        <v>97280</v>
      </c>
      <c r="H463" s="9">
        <v>89247.71</v>
      </c>
      <c r="I463" s="9">
        <v>8032.29</v>
      </c>
      <c r="J463" s="7">
        <v>45299</v>
      </c>
      <c r="K463" s="8" t="str">
        <f t="shared" si="22"/>
        <v/>
      </c>
      <c r="L463" s="8" t="str">
        <f t="shared" si="23"/>
        <v/>
      </c>
      <c r="M463" s="8">
        <f t="shared" si="21"/>
        <v>73</v>
      </c>
      <c r="N463" s="6" t="s">
        <v>26</v>
      </c>
    </row>
    <row r="464" spans="1:14" x14ac:dyDescent="0.2">
      <c r="A464" s="6" t="s">
        <v>442</v>
      </c>
      <c r="B464" s="6" t="s">
        <v>443</v>
      </c>
      <c r="C464" s="6" t="s">
        <v>20</v>
      </c>
      <c r="D464" s="7"/>
      <c r="E464" s="7"/>
      <c r="F464" s="7">
        <v>45226</v>
      </c>
      <c r="G464" s="9">
        <v>97280</v>
      </c>
      <c r="H464" s="9">
        <v>89247.71</v>
      </c>
      <c r="I464" s="9">
        <v>8032.29</v>
      </c>
      <c r="J464" s="7">
        <v>45299</v>
      </c>
      <c r="K464" s="8" t="str">
        <f t="shared" si="22"/>
        <v/>
      </c>
      <c r="L464" s="8" t="str">
        <f t="shared" si="23"/>
        <v/>
      </c>
      <c r="M464" s="8">
        <f t="shared" si="21"/>
        <v>73</v>
      </c>
      <c r="N464" s="6" t="s">
        <v>26</v>
      </c>
    </row>
    <row r="465" spans="1:14" x14ac:dyDescent="0.2">
      <c r="A465" s="6" t="s">
        <v>442</v>
      </c>
      <c r="B465" s="6" t="s">
        <v>443</v>
      </c>
      <c r="C465" s="6" t="s">
        <v>20</v>
      </c>
      <c r="D465" s="7"/>
      <c r="E465" s="7"/>
      <c r="F465" s="7">
        <v>45226</v>
      </c>
      <c r="G465" s="9">
        <v>57760</v>
      </c>
      <c r="H465" s="9">
        <v>52990.83</v>
      </c>
      <c r="I465" s="9">
        <v>4769.17</v>
      </c>
      <c r="J465" s="7">
        <v>45299</v>
      </c>
      <c r="K465" s="8" t="str">
        <f t="shared" si="22"/>
        <v/>
      </c>
      <c r="L465" s="8" t="str">
        <f t="shared" si="23"/>
        <v/>
      </c>
      <c r="M465" s="8">
        <f t="shared" si="21"/>
        <v>73</v>
      </c>
      <c r="N465" s="6" t="s">
        <v>26</v>
      </c>
    </row>
    <row r="466" spans="1:14" x14ac:dyDescent="0.2">
      <c r="A466" s="6" t="s">
        <v>442</v>
      </c>
      <c r="B466" s="6" t="s">
        <v>444</v>
      </c>
      <c r="D466" s="7"/>
      <c r="E466" s="7"/>
      <c r="F466" s="7">
        <v>45226</v>
      </c>
      <c r="G466" s="9">
        <v>39520</v>
      </c>
      <c r="H466" s="9">
        <v>36256.879999999997</v>
      </c>
      <c r="I466" s="9">
        <v>3263.12</v>
      </c>
      <c r="J466" s="7">
        <v>45299</v>
      </c>
      <c r="K466" s="8" t="str">
        <f t="shared" si="22"/>
        <v/>
      </c>
      <c r="L466" s="8" t="str">
        <f t="shared" si="23"/>
        <v/>
      </c>
      <c r="M466" s="8">
        <f t="shared" si="21"/>
        <v>73</v>
      </c>
      <c r="N466" s="6" t="s">
        <v>26</v>
      </c>
    </row>
    <row r="467" spans="1:14" x14ac:dyDescent="0.2">
      <c r="A467" s="6" t="s">
        <v>442</v>
      </c>
      <c r="B467" s="6" t="s">
        <v>444</v>
      </c>
      <c r="C467" s="6" t="s">
        <v>20</v>
      </c>
      <c r="D467" s="7"/>
      <c r="E467" s="7"/>
      <c r="F467" s="7">
        <v>45226</v>
      </c>
      <c r="G467" s="9">
        <v>97280</v>
      </c>
      <c r="H467" s="9">
        <v>89247.71</v>
      </c>
      <c r="I467" s="9">
        <v>8032.29</v>
      </c>
      <c r="J467" s="7">
        <v>45299</v>
      </c>
      <c r="K467" s="8" t="str">
        <f t="shared" si="22"/>
        <v/>
      </c>
      <c r="L467" s="8" t="str">
        <f t="shared" si="23"/>
        <v/>
      </c>
      <c r="M467" s="8">
        <f t="shared" si="21"/>
        <v>73</v>
      </c>
      <c r="N467" s="6" t="s">
        <v>26</v>
      </c>
    </row>
    <row r="468" spans="1:14" x14ac:dyDescent="0.2">
      <c r="A468" s="6" t="s">
        <v>442</v>
      </c>
      <c r="B468" s="6" t="s">
        <v>444</v>
      </c>
      <c r="C468" s="6" t="s">
        <v>20</v>
      </c>
      <c r="D468" s="7"/>
      <c r="E468" s="7"/>
      <c r="F468" s="7">
        <v>45226</v>
      </c>
      <c r="G468" s="9">
        <v>97280</v>
      </c>
      <c r="H468" s="9">
        <v>89247.71</v>
      </c>
      <c r="I468" s="9">
        <v>8032.29</v>
      </c>
      <c r="J468" s="7">
        <v>45299</v>
      </c>
      <c r="K468" s="8" t="str">
        <f t="shared" si="22"/>
        <v/>
      </c>
      <c r="L468" s="8" t="str">
        <f t="shared" si="23"/>
        <v/>
      </c>
      <c r="M468" s="8">
        <f t="shared" si="21"/>
        <v>73</v>
      </c>
      <c r="N468" s="6" t="s">
        <v>26</v>
      </c>
    </row>
    <row r="469" spans="1:14" x14ac:dyDescent="0.2">
      <c r="A469" s="6" t="s">
        <v>442</v>
      </c>
      <c r="B469" s="6" t="s">
        <v>444</v>
      </c>
      <c r="C469" s="6" t="s">
        <v>20</v>
      </c>
      <c r="D469" s="7"/>
      <c r="E469" s="7"/>
      <c r="F469" s="7">
        <v>45226</v>
      </c>
      <c r="G469" s="9">
        <v>97280</v>
      </c>
      <c r="H469" s="9">
        <v>89247.71</v>
      </c>
      <c r="I469" s="9">
        <v>8032.29</v>
      </c>
      <c r="J469" s="7">
        <v>45299</v>
      </c>
      <c r="K469" s="8" t="str">
        <f t="shared" si="22"/>
        <v/>
      </c>
      <c r="L469" s="8" t="str">
        <f t="shared" si="23"/>
        <v/>
      </c>
      <c r="M469" s="8">
        <f t="shared" si="21"/>
        <v>73</v>
      </c>
      <c r="N469" s="6" t="s">
        <v>26</v>
      </c>
    </row>
    <row r="470" spans="1:14" x14ac:dyDescent="0.2">
      <c r="A470" s="6" t="s">
        <v>442</v>
      </c>
      <c r="B470" s="6" t="s">
        <v>444</v>
      </c>
      <c r="C470" s="6" t="s">
        <v>20</v>
      </c>
      <c r="D470" s="7"/>
      <c r="E470" s="7"/>
      <c r="F470" s="7">
        <v>45226</v>
      </c>
      <c r="G470" s="9">
        <v>48640</v>
      </c>
      <c r="H470" s="9">
        <v>44623.85</v>
      </c>
      <c r="I470" s="9">
        <v>4016.15</v>
      </c>
      <c r="J470" s="7">
        <v>45299</v>
      </c>
      <c r="K470" s="8" t="str">
        <f t="shared" si="22"/>
        <v/>
      </c>
      <c r="L470" s="8" t="str">
        <f t="shared" si="23"/>
        <v/>
      </c>
      <c r="M470" s="8">
        <f t="shared" si="21"/>
        <v>73</v>
      </c>
      <c r="N470" s="6" t="s">
        <v>26</v>
      </c>
    </row>
    <row r="471" spans="1:14" x14ac:dyDescent="0.2">
      <c r="A471" s="6" t="s">
        <v>442</v>
      </c>
      <c r="B471" s="6" t="s">
        <v>445</v>
      </c>
      <c r="C471" s="6" t="s">
        <v>20</v>
      </c>
      <c r="D471" s="7"/>
      <c r="E471" s="7"/>
      <c r="F471" s="7">
        <v>45226</v>
      </c>
      <c r="G471" s="9">
        <v>93800</v>
      </c>
      <c r="H471" s="9">
        <v>86055.05</v>
      </c>
      <c r="I471" s="9">
        <v>7744.95</v>
      </c>
      <c r="J471" s="7">
        <v>45299</v>
      </c>
      <c r="K471" s="8" t="str">
        <f t="shared" si="22"/>
        <v/>
      </c>
      <c r="L471" s="8" t="str">
        <f t="shared" si="23"/>
        <v/>
      </c>
      <c r="M471" s="8">
        <f t="shared" si="21"/>
        <v>73</v>
      </c>
      <c r="N471" s="6" t="s">
        <v>26</v>
      </c>
    </row>
    <row r="472" spans="1:14" x14ac:dyDescent="0.2">
      <c r="A472" s="6" t="s">
        <v>442</v>
      </c>
      <c r="B472" s="6" t="s">
        <v>445</v>
      </c>
      <c r="C472" s="6" t="s">
        <v>20</v>
      </c>
      <c r="D472" s="7"/>
      <c r="E472" s="7"/>
      <c r="F472" s="7">
        <v>45226</v>
      </c>
      <c r="G472" s="9">
        <v>93800</v>
      </c>
      <c r="H472" s="9">
        <v>86055.05</v>
      </c>
      <c r="I472" s="9">
        <v>7744.95</v>
      </c>
      <c r="J472" s="7">
        <v>45299</v>
      </c>
      <c r="K472" s="8" t="str">
        <f t="shared" si="22"/>
        <v/>
      </c>
      <c r="L472" s="8" t="str">
        <f t="shared" si="23"/>
        <v/>
      </c>
      <c r="M472" s="8">
        <f t="shared" si="21"/>
        <v>73</v>
      </c>
      <c r="N472" s="6" t="s">
        <v>26</v>
      </c>
    </row>
    <row r="473" spans="1:14" x14ac:dyDescent="0.2">
      <c r="A473" s="6" t="s">
        <v>442</v>
      </c>
      <c r="B473" s="6" t="s">
        <v>445</v>
      </c>
      <c r="C473" s="6" t="s">
        <v>20</v>
      </c>
      <c r="D473" s="7"/>
      <c r="E473" s="7"/>
      <c r="F473" s="7">
        <v>45226</v>
      </c>
      <c r="G473" s="9">
        <v>80400</v>
      </c>
      <c r="H473" s="9">
        <v>73761.47</v>
      </c>
      <c r="I473" s="9">
        <v>6638.53</v>
      </c>
      <c r="J473" s="7">
        <v>45299</v>
      </c>
      <c r="K473" s="8" t="str">
        <f t="shared" si="22"/>
        <v/>
      </c>
      <c r="L473" s="8" t="str">
        <f t="shared" si="23"/>
        <v/>
      </c>
      <c r="M473" s="8">
        <f t="shared" si="21"/>
        <v>73</v>
      </c>
      <c r="N473" s="6" t="s">
        <v>26</v>
      </c>
    </row>
    <row r="474" spans="1:14" x14ac:dyDescent="0.2">
      <c r="A474" s="6" t="s">
        <v>383</v>
      </c>
      <c r="B474" s="6" t="s">
        <v>446</v>
      </c>
      <c r="C474" s="6" t="s">
        <v>20</v>
      </c>
      <c r="D474" s="7"/>
      <c r="E474" s="7"/>
      <c r="F474" s="7">
        <v>45226</v>
      </c>
      <c r="G474" s="9">
        <v>70000</v>
      </c>
      <c r="H474" s="9">
        <v>66037.740000000005</v>
      </c>
      <c r="I474" s="9">
        <v>3962.26</v>
      </c>
      <c r="J474" s="7">
        <v>45472</v>
      </c>
      <c r="K474" s="8" t="str">
        <f t="shared" si="22"/>
        <v/>
      </c>
      <c r="L474" s="8" t="str">
        <f t="shared" si="23"/>
        <v/>
      </c>
      <c r="M474" s="8">
        <f t="shared" si="21"/>
        <v>246</v>
      </c>
      <c r="N474" s="6" t="s">
        <v>26</v>
      </c>
    </row>
    <row r="475" spans="1:14" x14ac:dyDescent="0.2">
      <c r="A475" s="6" t="s">
        <v>71</v>
      </c>
      <c r="B475" s="6" t="s">
        <v>447</v>
      </c>
      <c r="C475" s="6" t="s">
        <v>20</v>
      </c>
      <c r="D475" s="7"/>
      <c r="E475" s="7"/>
      <c r="F475" s="7">
        <v>45229</v>
      </c>
      <c r="G475" s="9">
        <v>66000</v>
      </c>
      <c r="H475" s="9">
        <v>58407.08</v>
      </c>
      <c r="I475" s="9">
        <v>7592.92</v>
      </c>
      <c r="J475" s="7">
        <v>45345</v>
      </c>
      <c r="K475" s="8" t="str">
        <f t="shared" si="22"/>
        <v/>
      </c>
      <c r="L475" s="8" t="str">
        <f t="shared" si="23"/>
        <v/>
      </c>
      <c r="M475" s="8">
        <f t="shared" si="21"/>
        <v>116</v>
      </c>
      <c r="N475" s="6" t="s">
        <v>26</v>
      </c>
    </row>
    <row r="476" spans="1:14" x14ac:dyDescent="0.2">
      <c r="A476" s="6" t="s">
        <v>71</v>
      </c>
      <c r="B476" s="6" t="s">
        <v>448</v>
      </c>
      <c r="C476" s="6" t="s">
        <v>20</v>
      </c>
      <c r="D476" s="7"/>
      <c r="E476" s="7"/>
      <c r="F476" s="7">
        <v>45229</v>
      </c>
      <c r="G476" s="9">
        <v>92500</v>
      </c>
      <c r="H476" s="9">
        <v>81858.41</v>
      </c>
      <c r="I476" s="9">
        <v>10641.59</v>
      </c>
      <c r="J476" s="7">
        <v>45345</v>
      </c>
      <c r="K476" s="8" t="str">
        <f t="shared" si="22"/>
        <v/>
      </c>
      <c r="L476" s="8" t="str">
        <f t="shared" si="23"/>
        <v/>
      </c>
      <c r="M476" s="8">
        <f t="shared" si="21"/>
        <v>116</v>
      </c>
      <c r="N476" s="6" t="s">
        <v>26</v>
      </c>
    </row>
    <row r="477" spans="1:14" x14ac:dyDescent="0.2">
      <c r="A477" s="6" t="s">
        <v>71</v>
      </c>
      <c r="B477" s="6" t="s">
        <v>448</v>
      </c>
      <c r="C477" s="6" t="s">
        <v>20</v>
      </c>
      <c r="D477" s="7"/>
      <c r="E477" s="7"/>
      <c r="F477" s="7">
        <v>45229</v>
      </c>
      <c r="G477" s="9">
        <v>92500</v>
      </c>
      <c r="H477" s="9">
        <v>81858.41</v>
      </c>
      <c r="I477" s="9">
        <v>10641.59</v>
      </c>
      <c r="J477" s="7">
        <v>45345</v>
      </c>
      <c r="K477" s="8" t="str">
        <f t="shared" si="22"/>
        <v/>
      </c>
      <c r="L477" s="8" t="str">
        <f t="shared" si="23"/>
        <v/>
      </c>
      <c r="M477" s="8">
        <f t="shared" si="21"/>
        <v>116</v>
      </c>
      <c r="N477" s="6" t="s">
        <v>26</v>
      </c>
    </row>
    <row r="478" spans="1:14" x14ac:dyDescent="0.2">
      <c r="A478" s="6" t="s">
        <v>71</v>
      </c>
      <c r="B478" s="6" t="s">
        <v>449</v>
      </c>
      <c r="C478" s="6" t="s">
        <v>20</v>
      </c>
      <c r="D478" s="7"/>
      <c r="E478" s="7"/>
      <c r="F478" s="7">
        <v>45229</v>
      </c>
      <c r="G478" s="9">
        <v>76000</v>
      </c>
      <c r="H478" s="9">
        <v>71698.11</v>
      </c>
      <c r="I478" s="9">
        <v>4301.8900000000003</v>
      </c>
      <c r="J478" s="7">
        <v>45345</v>
      </c>
      <c r="K478" s="8" t="str">
        <f t="shared" si="22"/>
        <v/>
      </c>
      <c r="L478" s="8" t="str">
        <f t="shared" si="23"/>
        <v/>
      </c>
      <c r="M478" s="8">
        <f t="shared" si="21"/>
        <v>116</v>
      </c>
      <c r="N478" s="6" t="s">
        <v>26</v>
      </c>
    </row>
    <row r="479" spans="1:14" x14ac:dyDescent="0.2">
      <c r="A479" s="6" t="s">
        <v>71</v>
      </c>
      <c r="B479" s="6" t="s">
        <v>449</v>
      </c>
      <c r="C479" s="6" t="s">
        <v>20</v>
      </c>
      <c r="D479" s="7"/>
      <c r="E479" s="7"/>
      <c r="F479" s="7">
        <v>45229</v>
      </c>
      <c r="G479" s="9">
        <v>105000</v>
      </c>
      <c r="H479" s="9">
        <v>92920.35</v>
      </c>
      <c r="I479" s="9">
        <v>12079.65</v>
      </c>
      <c r="J479" s="7">
        <v>45345</v>
      </c>
      <c r="K479" s="8" t="str">
        <f t="shared" si="22"/>
        <v/>
      </c>
      <c r="L479" s="8" t="str">
        <f t="shared" si="23"/>
        <v/>
      </c>
      <c r="M479" s="8">
        <f t="shared" si="21"/>
        <v>116</v>
      </c>
      <c r="N479" s="6" t="s">
        <v>26</v>
      </c>
    </row>
    <row r="480" spans="1:14" x14ac:dyDescent="0.2">
      <c r="A480" s="6" t="s">
        <v>71</v>
      </c>
      <c r="B480" s="6" t="s">
        <v>449</v>
      </c>
      <c r="C480" s="6" t="s">
        <v>20</v>
      </c>
      <c r="D480" s="7"/>
      <c r="E480" s="7"/>
      <c r="F480" s="7">
        <v>45229</v>
      </c>
      <c r="G480" s="9">
        <v>72000</v>
      </c>
      <c r="H480" s="9">
        <v>63716.82</v>
      </c>
      <c r="I480" s="9">
        <v>8283.18</v>
      </c>
      <c r="J480" s="7">
        <v>45345</v>
      </c>
      <c r="K480" s="8" t="str">
        <f t="shared" si="22"/>
        <v/>
      </c>
      <c r="L480" s="8" t="str">
        <f t="shared" si="23"/>
        <v/>
      </c>
      <c r="M480" s="8">
        <f t="shared" si="21"/>
        <v>116</v>
      </c>
      <c r="N480" s="6" t="s">
        <v>26</v>
      </c>
    </row>
    <row r="481" spans="1:14" x14ac:dyDescent="0.2">
      <c r="A481" s="6" t="s">
        <v>450</v>
      </c>
      <c r="B481" s="6" t="s">
        <v>451</v>
      </c>
      <c r="C481" s="6" t="s">
        <v>20</v>
      </c>
      <c r="D481" s="7"/>
      <c r="E481" s="7"/>
      <c r="F481" s="7">
        <v>45231</v>
      </c>
      <c r="G481" s="9">
        <v>105000</v>
      </c>
      <c r="H481" s="9">
        <v>92920.35</v>
      </c>
      <c r="I481" s="9">
        <v>12079.65</v>
      </c>
      <c r="J481" s="7">
        <v>45481</v>
      </c>
      <c r="K481" s="8" t="str">
        <f t="shared" si="22"/>
        <v/>
      </c>
      <c r="L481" s="8" t="str">
        <f t="shared" si="23"/>
        <v/>
      </c>
      <c r="M481" s="8">
        <f t="shared" si="21"/>
        <v>250</v>
      </c>
      <c r="N481" s="6" t="s">
        <v>26</v>
      </c>
    </row>
    <row r="482" spans="1:14" x14ac:dyDescent="0.2">
      <c r="A482" s="6" t="s">
        <v>450</v>
      </c>
      <c r="B482" s="6" t="s">
        <v>451</v>
      </c>
      <c r="C482" s="6" t="s">
        <v>20</v>
      </c>
      <c r="D482" s="7"/>
      <c r="E482" s="7"/>
      <c r="F482" s="7">
        <v>45231</v>
      </c>
      <c r="G482" s="9">
        <v>110000</v>
      </c>
      <c r="H482" s="9">
        <v>97345.14</v>
      </c>
      <c r="I482" s="9">
        <v>12654.86</v>
      </c>
      <c r="J482" s="7">
        <v>45481</v>
      </c>
      <c r="K482" s="8" t="str">
        <f t="shared" si="22"/>
        <v/>
      </c>
      <c r="L482" s="8" t="str">
        <f t="shared" si="23"/>
        <v/>
      </c>
      <c r="M482" s="8">
        <f t="shared" si="21"/>
        <v>250</v>
      </c>
      <c r="N482" s="6" t="s">
        <v>26</v>
      </c>
    </row>
    <row r="483" spans="1:14" x14ac:dyDescent="0.2">
      <c r="A483" s="6" t="s">
        <v>145</v>
      </c>
      <c r="B483" s="6" t="s">
        <v>250</v>
      </c>
      <c r="C483" s="6" t="s">
        <v>20</v>
      </c>
      <c r="D483" s="7">
        <v>44911</v>
      </c>
      <c r="E483" s="7">
        <v>44918</v>
      </c>
      <c r="F483" s="7">
        <v>45236</v>
      </c>
      <c r="G483" s="9">
        <v>10500</v>
      </c>
      <c r="H483" s="9">
        <v>9633.0300000000007</v>
      </c>
      <c r="I483" s="9">
        <v>866.97</v>
      </c>
      <c r="J483" s="7">
        <v>45301</v>
      </c>
      <c r="K483" s="8">
        <f t="shared" si="22"/>
        <v>7</v>
      </c>
      <c r="L483" s="8">
        <f t="shared" si="23"/>
        <v>318</v>
      </c>
      <c r="M483" s="8">
        <f t="shared" si="21"/>
        <v>65</v>
      </c>
      <c r="N483" s="6" t="s">
        <v>26</v>
      </c>
    </row>
    <row r="484" spans="1:14" x14ac:dyDescent="0.2">
      <c r="A484" s="6" t="s">
        <v>452</v>
      </c>
      <c r="B484" s="6" t="s">
        <v>453</v>
      </c>
      <c r="C484" s="6" t="s">
        <v>20</v>
      </c>
      <c r="D484" s="7">
        <v>45020</v>
      </c>
      <c r="E484" s="7">
        <v>45030</v>
      </c>
      <c r="F484" s="7">
        <v>45236</v>
      </c>
      <c r="G484" s="9">
        <v>128000</v>
      </c>
      <c r="H484" s="9">
        <v>113274.34</v>
      </c>
      <c r="I484" s="9">
        <v>14725.66</v>
      </c>
      <c r="J484" s="7"/>
      <c r="K484" s="8">
        <f t="shared" si="22"/>
        <v>10</v>
      </c>
      <c r="L484" s="8">
        <f t="shared" si="23"/>
        <v>206</v>
      </c>
      <c r="M484" s="8" t="str">
        <f t="shared" si="21"/>
        <v/>
      </c>
      <c r="N484" s="6" t="s">
        <v>21</v>
      </c>
    </row>
    <row r="485" spans="1:14" x14ac:dyDescent="0.2">
      <c r="A485" s="6" t="s">
        <v>452</v>
      </c>
      <c r="B485" s="6" t="s">
        <v>453</v>
      </c>
      <c r="C485" s="6" t="s">
        <v>20</v>
      </c>
      <c r="D485" s="7"/>
      <c r="E485" s="7"/>
      <c r="F485" s="7">
        <v>45236</v>
      </c>
      <c r="G485" s="9">
        <v>128000</v>
      </c>
      <c r="H485" s="9">
        <v>113274.34</v>
      </c>
      <c r="I485" s="9">
        <v>14725.66</v>
      </c>
      <c r="J485" s="7"/>
      <c r="K485" s="8" t="str">
        <f t="shared" si="22"/>
        <v/>
      </c>
      <c r="L485" s="8" t="str">
        <f t="shared" si="23"/>
        <v/>
      </c>
      <c r="M485" s="8" t="str">
        <f t="shared" si="21"/>
        <v/>
      </c>
      <c r="N485" s="6" t="s">
        <v>21</v>
      </c>
    </row>
    <row r="486" spans="1:14" x14ac:dyDescent="0.2">
      <c r="A486" s="6" t="s">
        <v>454</v>
      </c>
      <c r="B486" s="6" t="s">
        <v>455</v>
      </c>
      <c r="C486" s="6" t="s">
        <v>20</v>
      </c>
      <c r="D486" s="7">
        <v>44625</v>
      </c>
      <c r="E486" s="7">
        <v>44650</v>
      </c>
      <c r="F486" s="7">
        <v>45236</v>
      </c>
      <c r="G486" s="9">
        <v>418000</v>
      </c>
      <c r="H486" s="9">
        <v>369911.5</v>
      </c>
      <c r="I486" s="9">
        <v>48088.5</v>
      </c>
      <c r="J486" s="7">
        <v>45439</v>
      </c>
      <c r="K486" s="8">
        <f t="shared" si="22"/>
        <v>25</v>
      </c>
      <c r="L486" s="8">
        <f t="shared" si="23"/>
        <v>586</v>
      </c>
      <c r="M486" s="8">
        <f t="shared" si="21"/>
        <v>203</v>
      </c>
      <c r="N486" s="6" t="s">
        <v>26</v>
      </c>
    </row>
    <row r="487" spans="1:14" x14ac:dyDescent="0.2">
      <c r="A487" s="6" t="s">
        <v>454</v>
      </c>
      <c r="B487" s="6" t="s">
        <v>455</v>
      </c>
      <c r="C487" s="6" t="s">
        <v>20</v>
      </c>
      <c r="D487" s="7"/>
      <c r="E487" s="7"/>
      <c r="F487" s="7">
        <v>45236</v>
      </c>
      <c r="G487" s="9">
        <v>418000</v>
      </c>
      <c r="H487" s="9">
        <v>369911.5</v>
      </c>
      <c r="I487" s="9">
        <v>48088.5</v>
      </c>
      <c r="J487" s="7">
        <v>45439</v>
      </c>
      <c r="K487" s="8" t="str">
        <f t="shared" si="22"/>
        <v/>
      </c>
      <c r="L487" s="8" t="str">
        <f t="shared" si="23"/>
        <v/>
      </c>
      <c r="M487" s="8">
        <f t="shared" si="21"/>
        <v>203</v>
      </c>
      <c r="N487" s="6" t="s">
        <v>26</v>
      </c>
    </row>
    <row r="488" spans="1:14" x14ac:dyDescent="0.2">
      <c r="A488" s="6" t="s">
        <v>454</v>
      </c>
      <c r="B488" s="6" t="s">
        <v>455</v>
      </c>
      <c r="C488" s="6" t="s">
        <v>20</v>
      </c>
      <c r="D488" s="7"/>
      <c r="E488" s="7"/>
      <c r="F488" s="7">
        <v>45236</v>
      </c>
      <c r="G488" s="9">
        <v>418000</v>
      </c>
      <c r="H488" s="9">
        <v>369911.5</v>
      </c>
      <c r="I488" s="9">
        <v>48088.5</v>
      </c>
      <c r="J488" s="7">
        <v>45439</v>
      </c>
      <c r="K488" s="8" t="str">
        <f t="shared" si="22"/>
        <v/>
      </c>
      <c r="L488" s="8" t="str">
        <f t="shared" si="23"/>
        <v/>
      </c>
      <c r="M488" s="8">
        <f t="shared" si="21"/>
        <v>203</v>
      </c>
      <c r="N488" s="6" t="s">
        <v>26</v>
      </c>
    </row>
    <row r="489" spans="1:14" x14ac:dyDescent="0.2">
      <c r="A489" s="6" t="s">
        <v>454</v>
      </c>
      <c r="B489" s="6" t="s">
        <v>455</v>
      </c>
      <c r="C489" s="6" t="s">
        <v>20</v>
      </c>
      <c r="D489" s="7"/>
      <c r="E489" s="7"/>
      <c r="F489" s="7">
        <v>45236</v>
      </c>
      <c r="G489" s="9">
        <v>418000</v>
      </c>
      <c r="H489" s="9">
        <v>369911.5</v>
      </c>
      <c r="I489" s="9">
        <v>48088.5</v>
      </c>
      <c r="J489" s="7">
        <v>45439</v>
      </c>
      <c r="K489" s="8" t="str">
        <f t="shared" si="22"/>
        <v/>
      </c>
      <c r="L489" s="8" t="str">
        <f t="shared" si="23"/>
        <v/>
      </c>
      <c r="M489" s="8">
        <f t="shared" si="21"/>
        <v>203</v>
      </c>
      <c r="N489" s="6" t="s">
        <v>26</v>
      </c>
    </row>
    <row r="490" spans="1:14" x14ac:dyDescent="0.2">
      <c r="A490" s="6" t="s">
        <v>299</v>
      </c>
      <c r="B490" s="6" t="s">
        <v>300</v>
      </c>
      <c r="C490" s="6" t="s">
        <v>20</v>
      </c>
      <c r="D490" s="7">
        <v>45175</v>
      </c>
      <c r="E490" s="7">
        <v>45180</v>
      </c>
      <c r="F490" s="7">
        <v>45237</v>
      </c>
      <c r="G490" s="9">
        <v>1.8</v>
      </c>
      <c r="H490" s="9">
        <v>1.59</v>
      </c>
      <c r="I490" s="9">
        <v>0.21</v>
      </c>
      <c r="J490" s="7">
        <v>45314</v>
      </c>
      <c r="K490" s="8">
        <f t="shared" si="22"/>
        <v>5</v>
      </c>
      <c r="L490" s="8">
        <f t="shared" si="23"/>
        <v>57</v>
      </c>
      <c r="M490" s="8">
        <f t="shared" si="21"/>
        <v>77</v>
      </c>
      <c r="N490" s="6" t="s">
        <v>26</v>
      </c>
    </row>
    <row r="491" spans="1:14" x14ac:dyDescent="0.2">
      <c r="A491" s="6" t="s">
        <v>456</v>
      </c>
      <c r="B491" s="6" t="s">
        <v>457</v>
      </c>
      <c r="C491" s="6" t="s">
        <v>20</v>
      </c>
      <c r="D491" s="7">
        <v>45203</v>
      </c>
      <c r="E491" s="7">
        <v>45210</v>
      </c>
      <c r="F491" s="7">
        <v>45237</v>
      </c>
      <c r="G491" s="9">
        <v>133000.01</v>
      </c>
      <c r="H491" s="9">
        <v>117699.12</v>
      </c>
      <c r="I491" s="9">
        <v>15300.89</v>
      </c>
      <c r="J491" s="7">
        <v>45653</v>
      </c>
      <c r="K491" s="8">
        <f t="shared" si="22"/>
        <v>7</v>
      </c>
      <c r="L491" s="8">
        <f t="shared" si="23"/>
        <v>27</v>
      </c>
      <c r="M491" s="8">
        <f t="shared" si="21"/>
        <v>416</v>
      </c>
      <c r="N491" s="6" t="s">
        <v>26</v>
      </c>
    </row>
    <row r="492" spans="1:14" x14ac:dyDescent="0.2">
      <c r="A492" s="6" t="s">
        <v>456</v>
      </c>
      <c r="B492" s="6" t="s">
        <v>457</v>
      </c>
      <c r="C492" s="6" t="s">
        <v>20</v>
      </c>
      <c r="D492" s="7"/>
      <c r="E492" s="7"/>
      <c r="F492" s="7">
        <v>45237</v>
      </c>
      <c r="G492" s="9">
        <v>133000.01</v>
      </c>
      <c r="H492" s="9">
        <v>117699.12</v>
      </c>
      <c r="I492" s="9">
        <v>15300.89</v>
      </c>
      <c r="J492" s="7">
        <v>45653</v>
      </c>
      <c r="K492" s="8" t="str">
        <f t="shared" si="22"/>
        <v/>
      </c>
      <c r="L492" s="8" t="str">
        <f t="shared" si="23"/>
        <v/>
      </c>
      <c r="M492" s="8">
        <f t="shared" si="21"/>
        <v>416</v>
      </c>
      <c r="N492" s="6" t="s">
        <v>26</v>
      </c>
    </row>
    <row r="493" spans="1:14" x14ac:dyDescent="0.2">
      <c r="A493" s="6" t="s">
        <v>425</v>
      </c>
      <c r="B493" s="6" t="s">
        <v>458</v>
      </c>
      <c r="C493" s="6" t="s">
        <v>20</v>
      </c>
      <c r="D493" s="7"/>
      <c r="E493" s="7"/>
      <c r="F493" s="7">
        <v>45238</v>
      </c>
      <c r="G493" s="9">
        <v>128000</v>
      </c>
      <c r="H493" s="9">
        <v>117431.19</v>
      </c>
      <c r="I493" s="9">
        <v>10568.81</v>
      </c>
      <c r="J493" s="7">
        <v>45315</v>
      </c>
      <c r="K493" s="8" t="str">
        <f t="shared" si="22"/>
        <v/>
      </c>
      <c r="L493" s="8" t="str">
        <f t="shared" si="23"/>
        <v/>
      </c>
      <c r="M493" s="8">
        <f t="shared" si="21"/>
        <v>77</v>
      </c>
      <c r="N493" s="6" t="s">
        <v>26</v>
      </c>
    </row>
    <row r="494" spans="1:14" x14ac:dyDescent="0.2">
      <c r="A494" s="6" t="s">
        <v>425</v>
      </c>
      <c r="B494" s="6" t="s">
        <v>458</v>
      </c>
      <c r="C494" s="6" t="s">
        <v>20</v>
      </c>
      <c r="D494" s="7"/>
      <c r="E494" s="7"/>
      <c r="F494" s="7">
        <v>45238</v>
      </c>
      <c r="G494" s="9">
        <v>128000</v>
      </c>
      <c r="H494" s="9">
        <v>117431.19</v>
      </c>
      <c r="I494" s="9">
        <v>10568.81</v>
      </c>
      <c r="J494" s="7">
        <v>45315</v>
      </c>
      <c r="K494" s="8" t="str">
        <f t="shared" si="22"/>
        <v/>
      </c>
      <c r="L494" s="8" t="str">
        <f t="shared" si="23"/>
        <v/>
      </c>
      <c r="M494" s="8">
        <f t="shared" si="21"/>
        <v>77</v>
      </c>
      <c r="N494" s="6" t="s">
        <v>26</v>
      </c>
    </row>
    <row r="495" spans="1:14" x14ac:dyDescent="0.2">
      <c r="A495" s="6" t="s">
        <v>425</v>
      </c>
      <c r="B495" s="6" t="s">
        <v>459</v>
      </c>
      <c r="C495" s="6" t="s">
        <v>20</v>
      </c>
      <c r="D495" s="7"/>
      <c r="E495" s="7"/>
      <c r="F495" s="7">
        <v>45238</v>
      </c>
      <c r="G495" s="9">
        <v>156000</v>
      </c>
      <c r="H495" s="9">
        <v>143119.26999999999</v>
      </c>
      <c r="I495" s="9">
        <v>12880.73</v>
      </c>
      <c r="J495" s="7">
        <v>45315</v>
      </c>
      <c r="K495" s="8" t="str">
        <f t="shared" si="22"/>
        <v/>
      </c>
      <c r="L495" s="8" t="str">
        <f t="shared" si="23"/>
        <v/>
      </c>
      <c r="M495" s="8">
        <f t="shared" si="21"/>
        <v>77</v>
      </c>
      <c r="N495" s="6" t="s">
        <v>26</v>
      </c>
    </row>
    <row r="496" spans="1:14" x14ac:dyDescent="0.2">
      <c r="A496" s="6" t="s">
        <v>425</v>
      </c>
      <c r="B496" s="6" t="s">
        <v>459</v>
      </c>
      <c r="C496" s="6" t="s">
        <v>20</v>
      </c>
      <c r="D496" s="7"/>
      <c r="E496" s="7"/>
      <c r="F496" s="7">
        <v>45238</v>
      </c>
      <c r="G496" s="9">
        <v>156000</v>
      </c>
      <c r="H496" s="9">
        <v>143119.26999999999</v>
      </c>
      <c r="I496" s="9">
        <v>12880.73</v>
      </c>
      <c r="J496" s="7">
        <v>45315</v>
      </c>
      <c r="K496" s="8" t="str">
        <f t="shared" si="22"/>
        <v/>
      </c>
      <c r="L496" s="8" t="str">
        <f t="shared" si="23"/>
        <v/>
      </c>
      <c r="M496" s="8">
        <f t="shared" si="21"/>
        <v>77</v>
      </c>
      <c r="N496" s="6" t="s">
        <v>26</v>
      </c>
    </row>
    <row r="497" spans="1:14" x14ac:dyDescent="0.2">
      <c r="A497" s="6" t="s">
        <v>425</v>
      </c>
      <c r="B497" s="6" t="s">
        <v>460</v>
      </c>
      <c r="C497" s="6" t="s">
        <v>20</v>
      </c>
      <c r="D497" s="7"/>
      <c r="E497" s="7"/>
      <c r="F497" s="7">
        <v>45238</v>
      </c>
      <c r="G497" s="9">
        <v>90000</v>
      </c>
      <c r="H497" s="9">
        <v>82568.81</v>
      </c>
      <c r="I497" s="9">
        <v>7431.19</v>
      </c>
      <c r="J497" s="7">
        <v>45315</v>
      </c>
      <c r="K497" s="8" t="str">
        <f t="shared" si="22"/>
        <v/>
      </c>
      <c r="L497" s="8" t="str">
        <f t="shared" si="23"/>
        <v/>
      </c>
      <c r="M497" s="8">
        <f t="shared" si="21"/>
        <v>77</v>
      </c>
      <c r="N497" s="6" t="s">
        <v>26</v>
      </c>
    </row>
    <row r="498" spans="1:14" x14ac:dyDescent="0.2">
      <c r="A498" s="6" t="s">
        <v>461</v>
      </c>
      <c r="B498" s="6" t="s">
        <v>462</v>
      </c>
      <c r="C498" s="6" t="s">
        <v>87</v>
      </c>
      <c r="D498" s="7">
        <v>45121</v>
      </c>
      <c r="E498" s="7">
        <v>45128</v>
      </c>
      <c r="F498" s="7">
        <v>45239</v>
      </c>
      <c r="G498" s="9">
        <v>1.42</v>
      </c>
      <c r="H498" s="9">
        <v>1.26</v>
      </c>
      <c r="I498" s="9">
        <v>0.16</v>
      </c>
      <c r="J498" s="7">
        <v>45870</v>
      </c>
      <c r="K498" s="8">
        <f t="shared" si="22"/>
        <v>7</v>
      </c>
      <c r="L498" s="8">
        <f t="shared" si="23"/>
        <v>111</v>
      </c>
      <c r="M498" s="8">
        <f t="shared" si="21"/>
        <v>631</v>
      </c>
      <c r="N498" s="6" t="s">
        <v>26</v>
      </c>
    </row>
    <row r="499" spans="1:14" x14ac:dyDescent="0.2">
      <c r="A499" s="6" t="s">
        <v>463</v>
      </c>
      <c r="B499" s="6" t="s">
        <v>464</v>
      </c>
      <c r="C499" s="6" t="s">
        <v>20</v>
      </c>
      <c r="D499" s="7">
        <v>45027</v>
      </c>
      <c r="E499" s="7">
        <v>45037</v>
      </c>
      <c r="F499" s="7">
        <v>45239</v>
      </c>
      <c r="G499" s="9">
        <v>218500</v>
      </c>
      <c r="H499" s="9">
        <v>206132.08</v>
      </c>
      <c r="I499" s="9">
        <v>12367.92</v>
      </c>
      <c r="J499" s="7">
        <v>45314</v>
      </c>
      <c r="K499" s="8">
        <f t="shared" si="22"/>
        <v>10</v>
      </c>
      <c r="L499" s="8">
        <f t="shared" si="23"/>
        <v>202</v>
      </c>
      <c r="M499" s="8">
        <f t="shared" si="21"/>
        <v>75</v>
      </c>
      <c r="N499" s="6" t="s">
        <v>26</v>
      </c>
    </row>
    <row r="500" spans="1:14" x14ac:dyDescent="0.2">
      <c r="A500" s="6" t="s">
        <v>463</v>
      </c>
      <c r="B500" s="6" t="s">
        <v>464</v>
      </c>
      <c r="C500" s="6" t="s">
        <v>20</v>
      </c>
      <c r="D500" s="7"/>
      <c r="E500" s="7"/>
      <c r="F500" s="7">
        <v>45239</v>
      </c>
      <c r="G500" s="9">
        <v>218500</v>
      </c>
      <c r="H500" s="9">
        <v>206132.08</v>
      </c>
      <c r="I500" s="9">
        <v>12367.92</v>
      </c>
      <c r="J500" s="7">
        <v>45314</v>
      </c>
      <c r="K500" s="8" t="str">
        <f t="shared" si="22"/>
        <v/>
      </c>
      <c r="L500" s="8" t="str">
        <f t="shared" si="23"/>
        <v/>
      </c>
      <c r="M500" s="8">
        <f t="shared" si="21"/>
        <v>75</v>
      </c>
      <c r="N500" s="6" t="s">
        <v>26</v>
      </c>
    </row>
    <row r="501" spans="1:14" x14ac:dyDescent="0.2">
      <c r="A501" s="6" t="s">
        <v>463</v>
      </c>
      <c r="B501" s="6" t="s">
        <v>464</v>
      </c>
      <c r="C501" s="6" t="s">
        <v>20</v>
      </c>
      <c r="D501" s="7"/>
      <c r="E501" s="7"/>
      <c r="F501" s="7">
        <v>45239</v>
      </c>
      <c r="G501" s="9">
        <v>208605.66</v>
      </c>
      <c r="H501" s="9">
        <v>206132.08</v>
      </c>
      <c r="I501" s="9">
        <v>2473.58</v>
      </c>
      <c r="J501" s="7">
        <v>45314</v>
      </c>
      <c r="K501" s="8" t="str">
        <f t="shared" si="22"/>
        <v/>
      </c>
      <c r="L501" s="8" t="str">
        <f t="shared" si="23"/>
        <v/>
      </c>
      <c r="M501" s="8">
        <f t="shared" si="21"/>
        <v>75</v>
      </c>
      <c r="N501" s="6" t="s">
        <v>26</v>
      </c>
    </row>
    <row r="502" spans="1:14" x14ac:dyDescent="0.2">
      <c r="A502" s="6" t="s">
        <v>343</v>
      </c>
      <c r="B502" s="6" t="s">
        <v>465</v>
      </c>
      <c r="C502" s="6" t="s">
        <v>20</v>
      </c>
      <c r="D502" s="7">
        <v>45092</v>
      </c>
      <c r="E502" s="7">
        <v>45093</v>
      </c>
      <c r="F502" s="7">
        <v>45239</v>
      </c>
      <c r="G502" s="9">
        <v>160000</v>
      </c>
      <c r="H502" s="9">
        <v>141592.92000000001</v>
      </c>
      <c r="I502" s="9">
        <v>18407.080000000002</v>
      </c>
      <c r="J502" s="7">
        <v>45349</v>
      </c>
      <c r="K502" s="8">
        <f t="shared" si="22"/>
        <v>1</v>
      </c>
      <c r="L502" s="8">
        <f t="shared" si="23"/>
        <v>146</v>
      </c>
      <c r="M502" s="8">
        <f t="shared" si="21"/>
        <v>110</v>
      </c>
      <c r="N502" s="6" t="s">
        <v>26</v>
      </c>
    </row>
    <row r="503" spans="1:14" x14ac:dyDescent="0.2">
      <c r="A503" s="6" t="s">
        <v>343</v>
      </c>
      <c r="B503" s="6" t="s">
        <v>465</v>
      </c>
      <c r="C503" s="6" t="s">
        <v>20</v>
      </c>
      <c r="D503" s="7">
        <v>45108</v>
      </c>
      <c r="E503" s="7">
        <v>45115</v>
      </c>
      <c r="F503" s="7">
        <v>45239</v>
      </c>
      <c r="G503" s="9">
        <v>160000</v>
      </c>
      <c r="H503" s="9">
        <v>141592.92000000001</v>
      </c>
      <c r="I503" s="9">
        <v>18407.080000000002</v>
      </c>
      <c r="J503" s="7">
        <v>45349</v>
      </c>
      <c r="K503" s="8">
        <f t="shared" si="22"/>
        <v>7</v>
      </c>
      <c r="L503" s="8">
        <f t="shared" si="23"/>
        <v>124</v>
      </c>
      <c r="M503" s="8">
        <f t="shared" si="21"/>
        <v>110</v>
      </c>
      <c r="N503" s="6" t="s">
        <v>26</v>
      </c>
    </row>
    <row r="504" spans="1:14" x14ac:dyDescent="0.2">
      <c r="A504" s="6" t="s">
        <v>425</v>
      </c>
      <c r="B504" s="6" t="s">
        <v>466</v>
      </c>
      <c r="C504" s="6" t="s">
        <v>20</v>
      </c>
      <c r="D504" s="7"/>
      <c r="E504" s="7"/>
      <c r="F504" s="7">
        <v>45240</v>
      </c>
      <c r="G504" s="9">
        <v>125778</v>
      </c>
      <c r="H504" s="9">
        <v>115392.66</v>
      </c>
      <c r="I504" s="9">
        <v>10385.34</v>
      </c>
      <c r="J504" s="7">
        <v>45315</v>
      </c>
      <c r="K504" s="8" t="str">
        <f t="shared" si="22"/>
        <v/>
      </c>
      <c r="L504" s="8" t="str">
        <f t="shared" si="23"/>
        <v/>
      </c>
      <c r="M504" s="8">
        <f t="shared" si="21"/>
        <v>75</v>
      </c>
      <c r="N504" s="6" t="s">
        <v>26</v>
      </c>
    </row>
    <row r="505" spans="1:14" x14ac:dyDescent="0.2">
      <c r="A505" s="6" t="s">
        <v>425</v>
      </c>
      <c r="B505" s="6" t="s">
        <v>466</v>
      </c>
      <c r="C505" s="6" t="s">
        <v>20</v>
      </c>
      <c r="D505" s="7"/>
      <c r="E505" s="7"/>
      <c r="F505" s="7">
        <v>45240</v>
      </c>
      <c r="G505" s="9">
        <v>125778</v>
      </c>
      <c r="H505" s="9">
        <v>115392.66</v>
      </c>
      <c r="I505" s="9">
        <v>10385.34</v>
      </c>
      <c r="J505" s="7">
        <v>45315</v>
      </c>
      <c r="K505" s="8" t="str">
        <f t="shared" si="22"/>
        <v/>
      </c>
      <c r="L505" s="8" t="str">
        <f t="shared" si="23"/>
        <v/>
      </c>
      <c r="M505" s="8">
        <f t="shared" si="21"/>
        <v>75</v>
      </c>
      <c r="N505" s="6" t="s">
        <v>26</v>
      </c>
    </row>
    <row r="506" spans="1:14" x14ac:dyDescent="0.2">
      <c r="A506" s="6" t="s">
        <v>425</v>
      </c>
      <c r="B506" s="6" t="s">
        <v>467</v>
      </c>
      <c r="C506" s="6" t="s">
        <v>20</v>
      </c>
      <c r="D506" s="7"/>
      <c r="E506" s="7"/>
      <c r="F506" s="7">
        <v>45240</v>
      </c>
      <c r="G506" s="9">
        <v>65635</v>
      </c>
      <c r="H506" s="9">
        <v>60215.6</v>
      </c>
      <c r="I506" s="9">
        <v>5419.4</v>
      </c>
      <c r="J506" s="7">
        <v>45315</v>
      </c>
      <c r="K506" s="8" t="str">
        <f t="shared" si="22"/>
        <v/>
      </c>
      <c r="L506" s="8" t="str">
        <f t="shared" si="23"/>
        <v/>
      </c>
      <c r="M506" s="8">
        <f t="shared" si="21"/>
        <v>75</v>
      </c>
      <c r="N506" s="6" t="s">
        <v>26</v>
      </c>
    </row>
    <row r="507" spans="1:14" x14ac:dyDescent="0.2">
      <c r="A507" s="6" t="s">
        <v>425</v>
      </c>
      <c r="B507" s="6" t="s">
        <v>468</v>
      </c>
      <c r="C507" s="6" t="s">
        <v>20</v>
      </c>
      <c r="D507" s="7"/>
      <c r="E507" s="7"/>
      <c r="F507" s="7">
        <v>45240</v>
      </c>
      <c r="G507" s="9">
        <v>309125</v>
      </c>
      <c r="H507" s="9">
        <v>283600.92</v>
      </c>
      <c r="I507" s="9">
        <v>25524.080000000002</v>
      </c>
      <c r="J507" s="7">
        <v>45315</v>
      </c>
      <c r="K507" s="8" t="str">
        <f t="shared" si="22"/>
        <v/>
      </c>
      <c r="L507" s="8" t="str">
        <f t="shared" si="23"/>
        <v/>
      </c>
      <c r="M507" s="8">
        <f t="shared" si="21"/>
        <v>75</v>
      </c>
      <c r="N507" s="6" t="s">
        <v>26</v>
      </c>
    </row>
    <row r="508" spans="1:14" x14ac:dyDescent="0.2">
      <c r="A508" s="6" t="s">
        <v>425</v>
      </c>
      <c r="B508" s="6" t="s">
        <v>468</v>
      </c>
      <c r="C508" s="6" t="s">
        <v>20</v>
      </c>
      <c r="D508" s="7"/>
      <c r="E508" s="7"/>
      <c r="F508" s="7">
        <v>45240</v>
      </c>
      <c r="G508" s="9">
        <v>309125</v>
      </c>
      <c r="H508" s="9">
        <v>283600.92</v>
      </c>
      <c r="I508" s="9">
        <v>25524.080000000002</v>
      </c>
      <c r="J508" s="7">
        <v>45315</v>
      </c>
      <c r="K508" s="8" t="str">
        <f t="shared" si="22"/>
        <v/>
      </c>
      <c r="L508" s="8" t="str">
        <f t="shared" si="23"/>
        <v/>
      </c>
      <c r="M508" s="8">
        <f t="shared" si="21"/>
        <v>75</v>
      </c>
      <c r="N508" s="6" t="s">
        <v>26</v>
      </c>
    </row>
    <row r="509" spans="1:14" x14ac:dyDescent="0.2">
      <c r="A509" s="6" t="s">
        <v>425</v>
      </c>
      <c r="B509" s="6" t="s">
        <v>468</v>
      </c>
      <c r="C509" s="6" t="s">
        <v>20</v>
      </c>
      <c r="D509" s="7"/>
      <c r="E509" s="7"/>
      <c r="F509" s="7">
        <v>45240</v>
      </c>
      <c r="G509" s="9">
        <v>309125</v>
      </c>
      <c r="H509" s="9">
        <v>283600.92</v>
      </c>
      <c r="I509" s="9">
        <v>25524.080000000002</v>
      </c>
      <c r="J509" s="7">
        <v>45315</v>
      </c>
      <c r="K509" s="8" t="str">
        <f t="shared" si="22"/>
        <v/>
      </c>
      <c r="L509" s="8" t="str">
        <f t="shared" si="23"/>
        <v/>
      </c>
      <c r="M509" s="8">
        <f t="shared" si="21"/>
        <v>75</v>
      </c>
      <c r="N509" s="6" t="s">
        <v>26</v>
      </c>
    </row>
    <row r="510" spans="1:14" x14ac:dyDescent="0.2">
      <c r="A510" s="6" t="s">
        <v>425</v>
      </c>
      <c r="B510" s="6" t="s">
        <v>469</v>
      </c>
      <c r="C510" s="6" t="s">
        <v>20</v>
      </c>
      <c r="D510" s="7"/>
      <c r="E510" s="7"/>
      <c r="F510" s="7">
        <v>45240</v>
      </c>
      <c r="G510" s="9">
        <v>290204</v>
      </c>
      <c r="H510" s="9">
        <v>266242.2</v>
      </c>
      <c r="I510" s="9">
        <v>23961.8</v>
      </c>
      <c r="J510" s="7">
        <v>45315</v>
      </c>
      <c r="K510" s="8" t="str">
        <f t="shared" si="22"/>
        <v/>
      </c>
      <c r="L510" s="8" t="str">
        <f t="shared" si="23"/>
        <v/>
      </c>
      <c r="M510" s="8">
        <f t="shared" si="21"/>
        <v>75</v>
      </c>
      <c r="N510" s="6" t="s">
        <v>26</v>
      </c>
    </row>
    <row r="511" spans="1:14" x14ac:dyDescent="0.2">
      <c r="A511" s="6" t="s">
        <v>425</v>
      </c>
      <c r="B511" s="6" t="s">
        <v>469</v>
      </c>
      <c r="C511" s="6" t="s">
        <v>20</v>
      </c>
      <c r="D511" s="7"/>
      <c r="E511" s="7"/>
      <c r="F511" s="7">
        <v>45240</v>
      </c>
      <c r="G511" s="9">
        <v>290204</v>
      </c>
      <c r="H511" s="9">
        <v>266242.2</v>
      </c>
      <c r="I511" s="9">
        <v>23961.8</v>
      </c>
      <c r="J511" s="7">
        <v>45315</v>
      </c>
      <c r="K511" s="8" t="str">
        <f t="shared" si="22"/>
        <v/>
      </c>
      <c r="L511" s="8" t="str">
        <f t="shared" si="23"/>
        <v/>
      </c>
      <c r="M511" s="8">
        <f t="shared" si="21"/>
        <v>75</v>
      </c>
      <c r="N511" s="6" t="s">
        <v>26</v>
      </c>
    </row>
    <row r="512" spans="1:14" x14ac:dyDescent="0.2">
      <c r="A512" s="6" t="s">
        <v>425</v>
      </c>
      <c r="B512" s="6" t="s">
        <v>469</v>
      </c>
      <c r="C512" s="6" t="s">
        <v>20</v>
      </c>
      <c r="D512" s="7"/>
      <c r="E512" s="7"/>
      <c r="F512" s="7">
        <v>45240</v>
      </c>
      <c r="G512" s="9">
        <v>290204</v>
      </c>
      <c r="H512" s="9">
        <v>266242.2</v>
      </c>
      <c r="I512" s="9">
        <v>23961.8</v>
      </c>
      <c r="J512" s="7">
        <v>45315</v>
      </c>
      <c r="K512" s="8" t="str">
        <f t="shared" si="22"/>
        <v/>
      </c>
      <c r="L512" s="8" t="str">
        <f t="shared" si="23"/>
        <v/>
      </c>
      <c r="M512" s="8">
        <f t="shared" si="21"/>
        <v>75</v>
      </c>
      <c r="N512" s="6" t="s">
        <v>26</v>
      </c>
    </row>
    <row r="513" spans="1:14" x14ac:dyDescent="0.2">
      <c r="A513" s="6" t="s">
        <v>425</v>
      </c>
      <c r="B513" s="6" t="s">
        <v>470</v>
      </c>
      <c r="C513" s="6" t="s">
        <v>20</v>
      </c>
      <c r="D513" s="7"/>
      <c r="E513" s="7"/>
      <c r="F513" s="7">
        <v>45240</v>
      </c>
      <c r="G513" s="9">
        <v>147016</v>
      </c>
      <c r="H513" s="9">
        <v>134877.06</v>
      </c>
      <c r="I513" s="9">
        <v>12138.94</v>
      </c>
      <c r="J513" s="7">
        <v>45315</v>
      </c>
      <c r="K513" s="8" t="str">
        <f t="shared" si="22"/>
        <v/>
      </c>
      <c r="L513" s="8" t="str">
        <f t="shared" si="23"/>
        <v/>
      </c>
      <c r="M513" s="8">
        <f t="shared" si="21"/>
        <v>75</v>
      </c>
      <c r="N513" s="6" t="s">
        <v>26</v>
      </c>
    </row>
    <row r="514" spans="1:14" x14ac:dyDescent="0.2">
      <c r="A514" s="6" t="s">
        <v>425</v>
      </c>
      <c r="B514" s="6" t="s">
        <v>470</v>
      </c>
      <c r="C514" s="6" t="s">
        <v>20</v>
      </c>
      <c r="D514" s="7"/>
      <c r="E514" s="7"/>
      <c r="F514" s="7">
        <v>45240</v>
      </c>
      <c r="G514" s="9">
        <v>147016</v>
      </c>
      <c r="H514" s="9">
        <v>134877.06</v>
      </c>
      <c r="I514" s="9">
        <v>12138.94</v>
      </c>
      <c r="J514" s="7">
        <v>45315</v>
      </c>
      <c r="K514" s="8" t="str">
        <f t="shared" si="22"/>
        <v/>
      </c>
      <c r="L514" s="8" t="str">
        <f t="shared" si="23"/>
        <v/>
      </c>
      <c r="M514" s="8">
        <f t="shared" ref="M514:M577" si="24">IF(OR($F514="", $J514=""),"", $J514-$F514)</f>
        <v>75</v>
      </c>
      <c r="N514" s="6" t="s">
        <v>26</v>
      </c>
    </row>
    <row r="515" spans="1:14" x14ac:dyDescent="0.2">
      <c r="A515" s="6" t="s">
        <v>425</v>
      </c>
      <c r="B515" s="6" t="s">
        <v>471</v>
      </c>
      <c r="C515" s="6" t="s">
        <v>20</v>
      </c>
      <c r="D515" s="7"/>
      <c r="E515" s="7"/>
      <c r="F515" s="7">
        <v>45240</v>
      </c>
      <c r="G515" s="9">
        <v>677378</v>
      </c>
      <c r="H515" s="9">
        <v>621447.71</v>
      </c>
      <c r="I515" s="9">
        <v>55930.29</v>
      </c>
      <c r="J515" s="7">
        <v>45315</v>
      </c>
      <c r="K515" s="8" t="str">
        <f t="shared" ref="K515:K578" si="25">IF(OR($D515="", $F515=""),"", $E515-$D515)</f>
        <v/>
      </c>
      <c r="L515" s="8" t="str">
        <f t="shared" ref="L515:L578" si="26">IF(OR($D515="", $F515=""),"", $F515-$E515)</f>
        <v/>
      </c>
      <c r="M515" s="8">
        <f t="shared" si="24"/>
        <v>75</v>
      </c>
      <c r="N515" s="6" t="s">
        <v>26</v>
      </c>
    </row>
    <row r="516" spans="1:14" x14ac:dyDescent="0.2">
      <c r="A516" s="6" t="s">
        <v>425</v>
      </c>
      <c r="B516" s="6" t="s">
        <v>471</v>
      </c>
      <c r="C516" s="6" t="s">
        <v>20</v>
      </c>
      <c r="D516" s="7"/>
      <c r="E516" s="7"/>
      <c r="F516" s="7">
        <v>45240</v>
      </c>
      <c r="G516" s="9">
        <v>677378</v>
      </c>
      <c r="H516" s="9">
        <v>621447.71</v>
      </c>
      <c r="I516" s="9">
        <v>55930.29</v>
      </c>
      <c r="J516" s="7">
        <v>45315</v>
      </c>
      <c r="K516" s="8" t="str">
        <f t="shared" si="25"/>
        <v/>
      </c>
      <c r="L516" s="8" t="str">
        <f t="shared" si="26"/>
        <v/>
      </c>
      <c r="M516" s="8">
        <f t="shared" si="24"/>
        <v>75</v>
      </c>
      <c r="N516" s="6" t="s">
        <v>26</v>
      </c>
    </row>
    <row r="517" spans="1:14" x14ac:dyDescent="0.2">
      <c r="A517" s="6" t="s">
        <v>425</v>
      </c>
      <c r="B517" s="6" t="s">
        <v>471</v>
      </c>
      <c r="C517" s="6" t="s">
        <v>20</v>
      </c>
      <c r="D517" s="7"/>
      <c r="E517" s="7"/>
      <c r="F517" s="7">
        <v>45240</v>
      </c>
      <c r="G517" s="9">
        <v>677378</v>
      </c>
      <c r="H517" s="9">
        <v>621447.71</v>
      </c>
      <c r="I517" s="9">
        <v>55930.29</v>
      </c>
      <c r="J517" s="7">
        <v>45315</v>
      </c>
      <c r="K517" s="8" t="str">
        <f t="shared" si="25"/>
        <v/>
      </c>
      <c r="L517" s="8" t="str">
        <f t="shared" si="26"/>
        <v/>
      </c>
      <c r="M517" s="8">
        <f t="shared" si="24"/>
        <v>75</v>
      </c>
      <c r="N517" s="6" t="s">
        <v>26</v>
      </c>
    </row>
    <row r="518" spans="1:14" x14ac:dyDescent="0.2">
      <c r="A518" s="6" t="s">
        <v>425</v>
      </c>
      <c r="B518" s="6" t="s">
        <v>471</v>
      </c>
      <c r="C518" s="6" t="s">
        <v>20</v>
      </c>
      <c r="D518" s="7"/>
      <c r="E518" s="7"/>
      <c r="F518" s="7">
        <v>45240</v>
      </c>
      <c r="G518" s="9">
        <v>677378</v>
      </c>
      <c r="H518" s="9">
        <v>621447.71</v>
      </c>
      <c r="I518" s="9">
        <v>55930.29</v>
      </c>
      <c r="J518" s="7">
        <v>45315</v>
      </c>
      <c r="K518" s="8" t="str">
        <f t="shared" si="25"/>
        <v/>
      </c>
      <c r="L518" s="8" t="str">
        <f t="shared" si="26"/>
        <v/>
      </c>
      <c r="M518" s="8">
        <f t="shared" si="24"/>
        <v>75</v>
      </c>
      <c r="N518" s="6" t="s">
        <v>26</v>
      </c>
    </row>
    <row r="519" spans="1:14" x14ac:dyDescent="0.2">
      <c r="A519" s="6" t="s">
        <v>425</v>
      </c>
      <c r="B519" s="6" t="s">
        <v>471</v>
      </c>
      <c r="C519" s="6" t="s">
        <v>20</v>
      </c>
      <c r="D519" s="7"/>
      <c r="E519" s="7"/>
      <c r="F519" s="7">
        <v>45240</v>
      </c>
      <c r="G519" s="9">
        <v>677378</v>
      </c>
      <c r="H519" s="9">
        <v>621447.71</v>
      </c>
      <c r="I519" s="9">
        <v>55930.29</v>
      </c>
      <c r="J519" s="7">
        <v>45315</v>
      </c>
      <c r="K519" s="8" t="str">
        <f t="shared" si="25"/>
        <v/>
      </c>
      <c r="L519" s="8" t="str">
        <f t="shared" si="26"/>
        <v/>
      </c>
      <c r="M519" s="8">
        <f t="shared" si="24"/>
        <v>75</v>
      </c>
      <c r="N519" s="6" t="s">
        <v>26</v>
      </c>
    </row>
    <row r="520" spans="1:14" x14ac:dyDescent="0.2">
      <c r="A520" s="6" t="s">
        <v>425</v>
      </c>
      <c r="B520" s="6" t="s">
        <v>471</v>
      </c>
      <c r="C520" s="6" t="s">
        <v>20</v>
      </c>
      <c r="D520" s="7"/>
      <c r="E520" s="7"/>
      <c r="F520" s="7">
        <v>45240</v>
      </c>
      <c r="G520" s="9">
        <v>677378</v>
      </c>
      <c r="H520" s="9">
        <v>621447.71</v>
      </c>
      <c r="I520" s="9">
        <v>55930.29</v>
      </c>
      <c r="J520" s="7">
        <v>45315</v>
      </c>
      <c r="K520" s="8" t="str">
        <f t="shared" si="25"/>
        <v/>
      </c>
      <c r="L520" s="8" t="str">
        <f t="shared" si="26"/>
        <v/>
      </c>
      <c r="M520" s="8">
        <f t="shared" si="24"/>
        <v>75</v>
      </c>
      <c r="N520" s="6" t="s">
        <v>26</v>
      </c>
    </row>
    <row r="521" spans="1:14" x14ac:dyDescent="0.2">
      <c r="A521" s="6" t="s">
        <v>425</v>
      </c>
      <c r="B521" s="6" t="s">
        <v>471</v>
      </c>
      <c r="C521" s="6" t="s">
        <v>20</v>
      </c>
      <c r="D521" s="7"/>
      <c r="E521" s="7"/>
      <c r="F521" s="7">
        <v>45240</v>
      </c>
      <c r="G521" s="9">
        <v>677378</v>
      </c>
      <c r="H521" s="9">
        <v>621447.71</v>
      </c>
      <c r="I521" s="9">
        <v>55930.29</v>
      </c>
      <c r="J521" s="7">
        <v>45315</v>
      </c>
      <c r="K521" s="8" t="str">
        <f t="shared" si="25"/>
        <v/>
      </c>
      <c r="L521" s="8" t="str">
        <f t="shared" si="26"/>
        <v/>
      </c>
      <c r="M521" s="8">
        <f t="shared" si="24"/>
        <v>75</v>
      </c>
      <c r="N521" s="6" t="s">
        <v>26</v>
      </c>
    </row>
    <row r="522" spans="1:14" x14ac:dyDescent="0.2">
      <c r="A522" s="6" t="s">
        <v>425</v>
      </c>
      <c r="B522" s="6" t="s">
        <v>472</v>
      </c>
      <c r="C522" s="6" t="s">
        <v>20</v>
      </c>
      <c r="D522" s="7"/>
      <c r="E522" s="7"/>
      <c r="F522" s="7">
        <v>45240</v>
      </c>
      <c r="G522" s="9">
        <v>133000</v>
      </c>
      <c r="H522" s="9">
        <v>122018.35</v>
      </c>
      <c r="I522" s="9">
        <v>10981.65</v>
      </c>
      <c r="J522" s="7">
        <v>45315</v>
      </c>
      <c r="K522" s="8" t="str">
        <f t="shared" si="25"/>
        <v/>
      </c>
      <c r="L522" s="8" t="str">
        <f t="shared" si="26"/>
        <v/>
      </c>
      <c r="M522" s="8">
        <f t="shared" si="24"/>
        <v>75</v>
      </c>
      <c r="N522" s="6" t="s">
        <v>26</v>
      </c>
    </row>
    <row r="523" spans="1:14" x14ac:dyDescent="0.2">
      <c r="A523" s="6" t="s">
        <v>425</v>
      </c>
      <c r="B523" s="6" t="s">
        <v>472</v>
      </c>
      <c r="C523" s="6" t="s">
        <v>20</v>
      </c>
      <c r="D523" s="7"/>
      <c r="E523" s="7"/>
      <c r="F523" s="7">
        <v>45240</v>
      </c>
      <c r="G523" s="9">
        <v>133000</v>
      </c>
      <c r="H523" s="9">
        <v>122018.35</v>
      </c>
      <c r="I523" s="9">
        <v>10981.65</v>
      </c>
      <c r="J523" s="7">
        <v>45315</v>
      </c>
      <c r="K523" s="8" t="str">
        <f t="shared" si="25"/>
        <v/>
      </c>
      <c r="L523" s="8" t="str">
        <f t="shared" si="26"/>
        <v/>
      </c>
      <c r="M523" s="8">
        <f t="shared" si="24"/>
        <v>75</v>
      </c>
      <c r="N523" s="6" t="s">
        <v>26</v>
      </c>
    </row>
    <row r="524" spans="1:14" x14ac:dyDescent="0.2">
      <c r="A524" s="6" t="s">
        <v>425</v>
      </c>
      <c r="B524" s="6" t="s">
        <v>473</v>
      </c>
      <c r="C524" s="6" t="s">
        <v>20</v>
      </c>
      <c r="D524" s="7"/>
      <c r="E524" s="7"/>
      <c r="F524" s="7">
        <v>45240</v>
      </c>
      <c r="G524" s="9">
        <v>106169</v>
      </c>
      <c r="H524" s="9">
        <v>97402.75</v>
      </c>
      <c r="I524" s="9">
        <v>8766.25</v>
      </c>
      <c r="J524" s="7">
        <v>45315</v>
      </c>
      <c r="K524" s="8" t="str">
        <f t="shared" si="25"/>
        <v/>
      </c>
      <c r="L524" s="8" t="str">
        <f t="shared" si="26"/>
        <v/>
      </c>
      <c r="M524" s="8">
        <f t="shared" si="24"/>
        <v>75</v>
      </c>
      <c r="N524" s="6" t="s">
        <v>26</v>
      </c>
    </row>
    <row r="525" spans="1:14" x14ac:dyDescent="0.2">
      <c r="A525" s="6" t="s">
        <v>425</v>
      </c>
      <c r="B525" s="6" t="s">
        <v>474</v>
      </c>
      <c r="C525" s="6" t="s">
        <v>20</v>
      </c>
      <c r="D525" s="7"/>
      <c r="E525" s="7"/>
      <c r="F525" s="7">
        <v>45240</v>
      </c>
      <c r="G525" s="9">
        <v>230000</v>
      </c>
      <c r="H525" s="9">
        <v>211009.17</v>
      </c>
      <c r="I525" s="9">
        <v>18990.830000000002</v>
      </c>
      <c r="J525" s="7">
        <v>45315</v>
      </c>
      <c r="K525" s="8" t="str">
        <f t="shared" si="25"/>
        <v/>
      </c>
      <c r="L525" s="8" t="str">
        <f t="shared" si="26"/>
        <v/>
      </c>
      <c r="M525" s="8">
        <f t="shared" si="24"/>
        <v>75</v>
      </c>
      <c r="N525" s="6" t="s">
        <v>26</v>
      </c>
    </row>
    <row r="526" spans="1:14" x14ac:dyDescent="0.2">
      <c r="A526" s="6" t="s">
        <v>425</v>
      </c>
      <c r="B526" s="6" t="s">
        <v>474</v>
      </c>
      <c r="C526" s="6" t="s">
        <v>20</v>
      </c>
      <c r="D526" s="7"/>
      <c r="E526" s="7"/>
      <c r="F526" s="7">
        <v>45240</v>
      </c>
      <c r="G526" s="9">
        <v>230000</v>
      </c>
      <c r="H526" s="9">
        <v>211009.17</v>
      </c>
      <c r="I526" s="9">
        <v>18990.830000000002</v>
      </c>
      <c r="J526" s="7">
        <v>45315</v>
      </c>
      <c r="K526" s="8" t="str">
        <f t="shared" si="25"/>
        <v/>
      </c>
      <c r="L526" s="8" t="str">
        <f t="shared" si="26"/>
        <v/>
      </c>
      <c r="M526" s="8">
        <f t="shared" si="24"/>
        <v>75</v>
      </c>
      <c r="N526" s="6" t="s">
        <v>26</v>
      </c>
    </row>
    <row r="527" spans="1:14" x14ac:dyDescent="0.2">
      <c r="A527" s="6" t="s">
        <v>425</v>
      </c>
      <c r="B527" s="6" t="s">
        <v>474</v>
      </c>
      <c r="C527" s="6" t="s">
        <v>20</v>
      </c>
      <c r="D527" s="7"/>
      <c r="E527" s="7"/>
      <c r="F527" s="7">
        <v>45240</v>
      </c>
      <c r="G527" s="9">
        <v>214807.34</v>
      </c>
      <c r="H527" s="9">
        <v>211009.17</v>
      </c>
      <c r="I527" s="9">
        <v>3798.17</v>
      </c>
      <c r="J527" s="7">
        <v>45315</v>
      </c>
      <c r="K527" s="8" t="str">
        <f t="shared" si="25"/>
        <v/>
      </c>
      <c r="L527" s="8" t="str">
        <f t="shared" si="26"/>
        <v/>
      </c>
      <c r="M527" s="8">
        <f t="shared" si="24"/>
        <v>75</v>
      </c>
      <c r="N527" s="6" t="s">
        <v>26</v>
      </c>
    </row>
    <row r="528" spans="1:14" x14ac:dyDescent="0.2">
      <c r="A528" s="6" t="s">
        <v>184</v>
      </c>
      <c r="B528" s="6" t="s">
        <v>475</v>
      </c>
      <c r="C528" s="6" t="s">
        <v>20</v>
      </c>
      <c r="D528" s="7">
        <v>45232</v>
      </c>
      <c r="E528" s="7">
        <v>45236</v>
      </c>
      <c r="F528" s="7">
        <v>45243</v>
      </c>
      <c r="G528" s="9">
        <v>38000</v>
      </c>
      <c r="H528" s="9">
        <v>33628.32</v>
      </c>
      <c r="I528" s="9">
        <v>4371.68</v>
      </c>
      <c r="J528" s="7">
        <v>45554</v>
      </c>
      <c r="K528" s="8">
        <f t="shared" si="25"/>
        <v>4</v>
      </c>
      <c r="L528" s="8">
        <f t="shared" si="26"/>
        <v>7</v>
      </c>
      <c r="M528" s="8">
        <f t="shared" si="24"/>
        <v>311</v>
      </c>
      <c r="N528" s="6" t="s">
        <v>26</v>
      </c>
    </row>
    <row r="529" spans="1:14" x14ac:dyDescent="0.2">
      <c r="A529" s="6" t="s">
        <v>476</v>
      </c>
      <c r="B529" s="6" t="s">
        <v>477</v>
      </c>
      <c r="C529" s="6" t="s">
        <v>20</v>
      </c>
      <c r="D529" s="7"/>
      <c r="E529" s="7"/>
      <c r="F529" s="7">
        <v>45243</v>
      </c>
      <c r="G529" s="9">
        <v>25000</v>
      </c>
      <c r="H529" s="9">
        <v>22123.89</v>
      </c>
      <c r="I529" s="9">
        <v>2876.11</v>
      </c>
      <c r="J529" s="7"/>
      <c r="K529" s="8" t="str">
        <f t="shared" si="25"/>
        <v/>
      </c>
      <c r="L529" s="8" t="str">
        <f t="shared" si="26"/>
        <v/>
      </c>
      <c r="M529" s="8" t="str">
        <f t="shared" si="24"/>
        <v/>
      </c>
      <c r="N529" s="6" t="s">
        <v>21</v>
      </c>
    </row>
    <row r="530" spans="1:14" x14ac:dyDescent="0.2">
      <c r="A530" s="6" t="s">
        <v>478</v>
      </c>
      <c r="B530" s="6" t="s">
        <v>479</v>
      </c>
      <c r="C530" s="6" t="s">
        <v>20</v>
      </c>
      <c r="D530" s="7"/>
      <c r="E530" s="7"/>
      <c r="F530" s="7">
        <v>45245</v>
      </c>
      <c r="G530" s="9">
        <v>76000</v>
      </c>
      <c r="H530" s="9">
        <v>67256.639999999999</v>
      </c>
      <c r="I530" s="9">
        <v>8743.36</v>
      </c>
      <c r="J530" s="7">
        <v>45307</v>
      </c>
      <c r="K530" s="8" t="str">
        <f t="shared" si="25"/>
        <v/>
      </c>
      <c r="L530" s="8" t="str">
        <f t="shared" si="26"/>
        <v/>
      </c>
      <c r="M530" s="8">
        <f t="shared" si="24"/>
        <v>62</v>
      </c>
      <c r="N530" s="6" t="s">
        <v>26</v>
      </c>
    </row>
    <row r="531" spans="1:14" x14ac:dyDescent="0.2">
      <c r="A531" s="6" t="s">
        <v>478</v>
      </c>
      <c r="B531" s="6" t="s">
        <v>479</v>
      </c>
      <c r="C531" s="6" t="s">
        <v>20</v>
      </c>
      <c r="D531" s="7"/>
      <c r="E531" s="7"/>
      <c r="F531" s="7">
        <v>45245</v>
      </c>
      <c r="G531" s="9">
        <v>76000</v>
      </c>
      <c r="H531" s="9">
        <v>67256.639999999999</v>
      </c>
      <c r="I531" s="9">
        <v>8743.36</v>
      </c>
      <c r="J531" s="7">
        <v>45307</v>
      </c>
      <c r="K531" s="8" t="str">
        <f t="shared" si="25"/>
        <v/>
      </c>
      <c r="L531" s="8" t="str">
        <f t="shared" si="26"/>
        <v/>
      </c>
      <c r="M531" s="8">
        <f t="shared" si="24"/>
        <v>62</v>
      </c>
      <c r="N531" s="6" t="s">
        <v>26</v>
      </c>
    </row>
    <row r="532" spans="1:14" x14ac:dyDescent="0.2">
      <c r="A532" s="6" t="s">
        <v>478</v>
      </c>
      <c r="B532" s="6" t="s">
        <v>479</v>
      </c>
      <c r="C532" s="6" t="s">
        <v>20</v>
      </c>
      <c r="D532" s="7"/>
      <c r="E532" s="7"/>
      <c r="F532" s="7">
        <v>45245</v>
      </c>
      <c r="G532" s="9">
        <v>70000</v>
      </c>
      <c r="H532" s="9">
        <v>61946.9</v>
      </c>
      <c r="I532" s="9">
        <v>8053.1</v>
      </c>
      <c r="J532" s="7">
        <v>45307</v>
      </c>
      <c r="K532" s="8" t="str">
        <f t="shared" si="25"/>
        <v/>
      </c>
      <c r="L532" s="8" t="str">
        <f t="shared" si="26"/>
        <v/>
      </c>
      <c r="M532" s="8">
        <f t="shared" si="24"/>
        <v>62</v>
      </c>
      <c r="N532" s="6" t="s">
        <v>26</v>
      </c>
    </row>
    <row r="533" spans="1:14" x14ac:dyDescent="0.2">
      <c r="A533" s="6" t="s">
        <v>478</v>
      </c>
      <c r="B533" s="6" t="s">
        <v>480</v>
      </c>
      <c r="C533" s="6" t="s">
        <v>20</v>
      </c>
      <c r="D533" s="7"/>
      <c r="E533" s="7"/>
      <c r="F533" s="7">
        <v>45245</v>
      </c>
      <c r="G533" s="9">
        <v>11300</v>
      </c>
      <c r="H533" s="9">
        <v>10000</v>
      </c>
      <c r="I533" s="9">
        <v>1300</v>
      </c>
      <c r="J533" s="7">
        <v>45307</v>
      </c>
      <c r="K533" s="8" t="str">
        <f t="shared" si="25"/>
        <v/>
      </c>
      <c r="L533" s="8" t="str">
        <f t="shared" si="26"/>
        <v/>
      </c>
      <c r="M533" s="8">
        <f t="shared" si="24"/>
        <v>62</v>
      </c>
      <c r="N533" s="6" t="s">
        <v>26</v>
      </c>
    </row>
    <row r="534" spans="1:14" x14ac:dyDescent="0.2">
      <c r="A534" s="6" t="s">
        <v>425</v>
      </c>
      <c r="B534" s="6" t="s">
        <v>481</v>
      </c>
      <c r="C534" s="6" t="s">
        <v>20</v>
      </c>
      <c r="D534" s="7"/>
      <c r="E534" s="7"/>
      <c r="F534" s="7">
        <v>45245</v>
      </c>
      <c r="G534" s="9">
        <v>119738</v>
      </c>
      <c r="H534" s="9">
        <v>109851.38</v>
      </c>
      <c r="I534" s="9">
        <v>9886.6200000000008</v>
      </c>
      <c r="J534" s="7">
        <v>45315</v>
      </c>
      <c r="K534" s="8" t="str">
        <f t="shared" si="25"/>
        <v/>
      </c>
      <c r="L534" s="8" t="str">
        <f t="shared" si="26"/>
        <v/>
      </c>
      <c r="M534" s="8">
        <f t="shared" si="24"/>
        <v>70</v>
      </c>
      <c r="N534" s="6" t="s">
        <v>26</v>
      </c>
    </row>
    <row r="535" spans="1:14" x14ac:dyDescent="0.2">
      <c r="A535" s="6" t="s">
        <v>425</v>
      </c>
      <c r="B535" s="6" t="s">
        <v>481</v>
      </c>
      <c r="C535" s="6" t="s">
        <v>20</v>
      </c>
      <c r="D535" s="7"/>
      <c r="E535" s="7"/>
      <c r="F535" s="7">
        <v>45245</v>
      </c>
      <c r="G535" s="9">
        <v>119738</v>
      </c>
      <c r="H535" s="9">
        <v>109851.38</v>
      </c>
      <c r="I535" s="9">
        <v>9886.6200000000008</v>
      </c>
      <c r="J535" s="7">
        <v>45315</v>
      </c>
      <c r="K535" s="8" t="str">
        <f t="shared" si="25"/>
        <v/>
      </c>
      <c r="L535" s="8" t="str">
        <f t="shared" si="26"/>
        <v/>
      </c>
      <c r="M535" s="8">
        <f t="shared" si="24"/>
        <v>70</v>
      </c>
      <c r="N535" s="6" t="s">
        <v>26</v>
      </c>
    </row>
    <row r="536" spans="1:14" x14ac:dyDescent="0.2">
      <c r="A536" s="6" t="s">
        <v>299</v>
      </c>
      <c r="B536" s="6" t="s">
        <v>300</v>
      </c>
      <c r="C536" s="6" t="s">
        <v>20</v>
      </c>
      <c r="D536" s="7"/>
      <c r="E536" s="7"/>
      <c r="F536" s="7">
        <v>45250</v>
      </c>
      <c r="G536" s="9">
        <v>9000</v>
      </c>
      <c r="H536" s="9">
        <v>7964.6</v>
      </c>
      <c r="I536" s="9">
        <v>1035.4000000000001</v>
      </c>
      <c r="J536" s="7">
        <v>45314</v>
      </c>
      <c r="K536" s="8" t="str">
        <f t="shared" si="25"/>
        <v/>
      </c>
      <c r="L536" s="8" t="str">
        <f t="shared" si="26"/>
        <v/>
      </c>
      <c r="M536" s="8">
        <f t="shared" si="24"/>
        <v>64</v>
      </c>
      <c r="N536" s="6" t="s">
        <v>26</v>
      </c>
    </row>
    <row r="537" spans="1:14" x14ac:dyDescent="0.2">
      <c r="A537" s="6" t="s">
        <v>482</v>
      </c>
      <c r="B537" s="6" t="s">
        <v>483</v>
      </c>
      <c r="C537" s="6" t="s">
        <v>20</v>
      </c>
      <c r="D537" s="7">
        <v>45186</v>
      </c>
      <c r="E537" s="7">
        <v>45191</v>
      </c>
      <c r="F537" s="7">
        <v>45251</v>
      </c>
      <c r="G537" s="9">
        <v>25000</v>
      </c>
      <c r="H537" s="9">
        <v>22123.89</v>
      </c>
      <c r="I537" s="9">
        <v>2876.11</v>
      </c>
      <c r="J537" s="7">
        <v>45495</v>
      </c>
      <c r="K537" s="8">
        <f t="shared" si="25"/>
        <v>5</v>
      </c>
      <c r="L537" s="8">
        <f t="shared" si="26"/>
        <v>60</v>
      </c>
      <c r="M537" s="8">
        <f t="shared" si="24"/>
        <v>244</v>
      </c>
      <c r="N537" s="6" t="s">
        <v>26</v>
      </c>
    </row>
    <row r="538" spans="1:14" x14ac:dyDescent="0.2">
      <c r="A538" s="6" t="s">
        <v>409</v>
      </c>
      <c r="B538" s="6" t="s">
        <v>484</v>
      </c>
      <c r="C538" s="6" t="s">
        <v>20</v>
      </c>
      <c r="D538" s="7">
        <v>45169</v>
      </c>
      <c r="E538" s="7">
        <v>45174</v>
      </c>
      <c r="F538" s="7">
        <v>45251</v>
      </c>
      <c r="G538" s="9">
        <v>320000</v>
      </c>
      <c r="H538" s="9">
        <v>283185.84000000003</v>
      </c>
      <c r="I538" s="9">
        <v>36814.160000000003</v>
      </c>
      <c r="J538" s="7">
        <v>45320</v>
      </c>
      <c r="K538" s="8">
        <f t="shared" si="25"/>
        <v>5</v>
      </c>
      <c r="L538" s="8">
        <f t="shared" si="26"/>
        <v>77</v>
      </c>
      <c r="M538" s="8">
        <f t="shared" si="24"/>
        <v>69</v>
      </c>
      <c r="N538" s="6" t="s">
        <v>26</v>
      </c>
    </row>
    <row r="539" spans="1:14" x14ac:dyDescent="0.2">
      <c r="A539" s="6" t="s">
        <v>409</v>
      </c>
      <c r="B539" s="6" t="s">
        <v>484</v>
      </c>
      <c r="C539" s="6" t="s">
        <v>20</v>
      </c>
      <c r="D539" s="7"/>
      <c r="E539" s="7"/>
      <c r="F539" s="7">
        <v>45251</v>
      </c>
      <c r="G539" s="9">
        <v>320000</v>
      </c>
      <c r="H539" s="9">
        <v>283185.84000000003</v>
      </c>
      <c r="I539" s="9">
        <v>36814.160000000003</v>
      </c>
      <c r="J539" s="7">
        <v>45320</v>
      </c>
      <c r="K539" s="8" t="str">
        <f t="shared" si="25"/>
        <v/>
      </c>
      <c r="L539" s="8" t="str">
        <f t="shared" si="26"/>
        <v/>
      </c>
      <c r="M539" s="8">
        <f t="shared" si="24"/>
        <v>69</v>
      </c>
      <c r="N539" s="6" t="s">
        <v>26</v>
      </c>
    </row>
    <row r="540" spans="1:14" x14ac:dyDescent="0.2">
      <c r="A540" s="6" t="s">
        <v>409</v>
      </c>
      <c r="B540" s="6" t="s">
        <v>484</v>
      </c>
      <c r="C540" s="6" t="s">
        <v>20</v>
      </c>
      <c r="D540" s="7"/>
      <c r="E540" s="7"/>
      <c r="F540" s="7">
        <v>45251</v>
      </c>
      <c r="G540" s="9">
        <v>320000</v>
      </c>
      <c r="H540" s="9">
        <v>283185.84000000003</v>
      </c>
      <c r="I540" s="9">
        <v>36814.160000000003</v>
      </c>
      <c r="J540" s="7">
        <v>45320</v>
      </c>
      <c r="K540" s="8" t="str">
        <f t="shared" si="25"/>
        <v/>
      </c>
      <c r="L540" s="8" t="str">
        <f t="shared" si="26"/>
        <v/>
      </c>
      <c r="M540" s="8">
        <f t="shared" si="24"/>
        <v>69</v>
      </c>
      <c r="N540" s="6" t="s">
        <v>26</v>
      </c>
    </row>
    <row r="541" spans="1:14" x14ac:dyDescent="0.2">
      <c r="A541" s="6" t="s">
        <v>109</v>
      </c>
      <c r="B541" s="6" t="s">
        <v>485</v>
      </c>
      <c r="C541" s="6" t="s">
        <v>20</v>
      </c>
      <c r="D541" s="7"/>
      <c r="E541" s="7"/>
      <c r="F541" s="7">
        <v>45261</v>
      </c>
      <c r="G541" s="9">
        <v>50850</v>
      </c>
      <c r="H541" s="9">
        <v>45000</v>
      </c>
      <c r="I541" s="9">
        <v>5850</v>
      </c>
      <c r="J541" s="7">
        <v>45294</v>
      </c>
      <c r="K541" s="8" t="str">
        <f t="shared" si="25"/>
        <v/>
      </c>
      <c r="L541" s="8" t="str">
        <f t="shared" si="26"/>
        <v/>
      </c>
      <c r="M541" s="8">
        <f t="shared" si="24"/>
        <v>33</v>
      </c>
      <c r="N541" s="6" t="s">
        <v>26</v>
      </c>
    </row>
    <row r="542" spans="1:14" x14ac:dyDescent="0.2">
      <c r="A542" s="6" t="s">
        <v>271</v>
      </c>
      <c r="B542" s="6" t="s">
        <v>486</v>
      </c>
      <c r="C542" s="6" t="s">
        <v>20</v>
      </c>
      <c r="D542" s="7">
        <v>45173</v>
      </c>
      <c r="E542" s="7">
        <v>45196</v>
      </c>
      <c r="F542" s="7">
        <v>45261</v>
      </c>
      <c r="G542" s="9">
        <v>760000</v>
      </c>
      <c r="H542" s="9">
        <v>672566.37</v>
      </c>
      <c r="I542" s="9">
        <v>87433.63</v>
      </c>
      <c r="J542" s="7">
        <v>45295</v>
      </c>
      <c r="K542" s="8">
        <f t="shared" si="25"/>
        <v>23</v>
      </c>
      <c r="L542" s="8">
        <f t="shared" si="26"/>
        <v>65</v>
      </c>
      <c r="M542" s="8">
        <f t="shared" si="24"/>
        <v>34</v>
      </c>
      <c r="N542" s="6" t="s">
        <v>26</v>
      </c>
    </row>
    <row r="543" spans="1:14" x14ac:dyDescent="0.2">
      <c r="A543" s="6" t="s">
        <v>271</v>
      </c>
      <c r="B543" s="6" t="s">
        <v>486</v>
      </c>
      <c r="C543" s="6" t="s">
        <v>20</v>
      </c>
      <c r="D543" s="7"/>
      <c r="E543" s="7"/>
      <c r="F543" s="7">
        <v>45261</v>
      </c>
      <c r="G543" s="9">
        <v>760000</v>
      </c>
      <c r="H543" s="9">
        <v>672566.37</v>
      </c>
      <c r="I543" s="9">
        <v>87433.63</v>
      </c>
      <c r="J543" s="7">
        <v>45295</v>
      </c>
      <c r="K543" s="8" t="str">
        <f t="shared" si="25"/>
        <v/>
      </c>
      <c r="L543" s="8" t="str">
        <f t="shared" si="26"/>
        <v/>
      </c>
      <c r="M543" s="8">
        <f t="shared" si="24"/>
        <v>34</v>
      </c>
      <c r="N543" s="6" t="s">
        <v>26</v>
      </c>
    </row>
    <row r="544" spans="1:14" x14ac:dyDescent="0.2">
      <c r="A544" s="6" t="s">
        <v>271</v>
      </c>
      <c r="B544" s="6" t="s">
        <v>486</v>
      </c>
      <c r="C544" s="6" t="s">
        <v>20</v>
      </c>
      <c r="D544" s="7"/>
      <c r="E544" s="7"/>
      <c r="F544" s="7">
        <v>45261</v>
      </c>
      <c r="G544" s="9">
        <v>760000</v>
      </c>
      <c r="H544" s="9">
        <v>672566.37</v>
      </c>
      <c r="I544" s="9">
        <v>87433.63</v>
      </c>
      <c r="J544" s="7">
        <v>45295</v>
      </c>
      <c r="K544" s="8" t="str">
        <f t="shared" si="25"/>
        <v/>
      </c>
      <c r="L544" s="8" t="str">
        <f t="shared" si="26"/>
        <v/>
      </c>
      <c r="M544" s="8">
        <f t="shared" si="24"/>
        <v>34</v>
      </c>
      <c r="N544" s="6" t="s">
        <v>26</v>
      </c>
    </row>
    <row r="545" spans="1:14" x14ac:dyDescent="0.2">
      <c r="A545" s="6" t="s">
        <v>271</v>
      </c>
      <c r="B545" s="6" t="s">
        <v>486</v>
      </c>
      <c r="C545" s="6" t="s">
        <v>20</v>
      </c>
      <c r="D545" s="7"/>
      <c r="E545" s="7"/>
      <c r="F545" s="7">
        <v>45261</v>
      </c>
      <c r="G545" s="9">
        <v>760000</v>
      </c>
      <c r="H545" s="9">
        <v>672566.37</v>
      </c>
      <c r="I545" s="9">
        <v>87433.63</v>
      </c>
      <c r="J545" s="7">
        <v>45295</v>
      </c>
      <c r="K545" s="8" t="str">
        <f t="shared" si="25"/>
        <v/>
      </c>
      <c r="L545" s="8" t="str">
        <f t="shared" si="26"/>
        <v/>
      </c>
      <c r="M545" s="8">
        <f t="shared" si="24"/>
        <v>34</v>
      </c>
      <c r="N545" s="6" t="s">
        <v>26</v>
      </c>
    </row>
    <row r="546" spans="1:14" x14ac:dyDescent="0.2">
      <c r="A546" s="6" t="s">
        <v>271</v>
      </c>
      <c r="B546" s="6" t="s">
        <v>486</v>
      </c>
      <c r="C546" s="6" t="s">
        <v>20</v>
      </c>
      <c r="D546" s="7"/>
      <c r="E546" s="7"/>
      <c r="F546" s="7">
        <v>45261</v>
      </c>
      <c r="G546" s="9">
        <v>760000</v>
      </c>
      <c r="H546" s="9">
        <v>672566.37</v>
      </c>
      <c r="I546" s="9">
        <v>87433.63</v>
      </c>
      <c r="J546" s="7">
        <v>45295</v>
      </c>
      <c r="K546" s="8" t="str">
        <f t="shared" si="25"/>
        <v/>
      </c>
      <c r="L546" s="8" t="str">
        <f t="shared" si="26"/>
        <v/>
      </c>
      <c r="M546" s="8">
        <f t="shared" si="24"/>
        <v>34</v>
      </c>
      <c r="N546" s="6" t="s">
        <v>26</v>
      </c>
    </row>
    <row r="547" spans="1:14" x14ac:dyDescent="0.2">
      <c r="A547" s="6" t="s">
        <v>271</v>
      </c>
      <c r="B547" s="6" t="s">
        <v>486</v>
      </c>
      <c r="C547" s="6" t="s">
        <v>20</v>
      </c>
      <c r="D547" s="7"/>
      <c r="E547" s="7"/>
      <c r="F547" s="7">
        <v>45261</v>
      </c>
      <c r="G547" s="9">
        <v>760000</v>
      </c>
      <c r="H547" s="9">
        <v>672566.37</v>
      </c>
      <c r="I547" s="9">
        <v>87433.63</v>
      </c>
      <c r="J547" s="7">
        <v>45295</v>
      </c>
      <c r="K547" s="8" t="str">
        <f t="shared" si="25"/>
        <v/>
      </c>
      <c r="L547" s="8" t="str">
        <f t="shared" si="26"/>
        <v/>
      </c>
      <c r="M547" s="8">
        <f t="shared" si="24"/>
        <v>34</v>
      </c>
      <c r="N547" s="6" t="s">
        <v>26</v>
      </c>
    </row>
    <row r="548" spans="1:14" x14ac:dyDescent="0.2">
      <c r="A548" s="6" t="s">
        <v>271</v>
      </c>
      <c r="B548" s="6" t="s">
        <v>486</v>
      </c>
      <c r="C548" s="6" t="s">
        <v>20</v>
      </c>
      <c r="D548" s="7"/>
      <c r="E548" s="7"/>
      <c r="F548" s="7">
        <v>45261</v>
      </c>
      <c r="G548" s="9">
        <v>760000</v>
      </c>
      <c r="H548" s="9">
        <v>672566.37</v>
      </c>
      <c r="I548" s="9">
        <v>87433.63</v>
      </c>
      <c r="J548" s="7">
        <v>45295</v>
      </c>
      <c r="K548" s="8" t="str">
        <f t="shared" si="25"/>
        <v/>
      </c>
      <c r="L548" s="8" t="str">
        <f t="shared" si="26"/>
        <v/>
      </c>
      <c r="M548" s="8">
        <f t="shared" si="24"/>
        <v>34</v>
      </c>
      <c r="N548" s="6" t="s">
        <v>26</v>
      </c>
    </row>
    <row r="549" spans="1:14" x14ac:dyDescent="0.2">
      <c r="A549" s="6" t="s">
        <v>271</v>
      </c>
      <c r="B549" s="6" t="s">
        <v>486</v>
      </c>
      <c r="C549" s="6" t="s">
        <v>20</v>
      </c>
      <c r="D549" s="7"/>
      <c r="E549" s="7"/>
      <c r="F549" s="7">
        <v>45261</v>
      </c>
      <c r="G549" s="9">
        <v>760000</v>
      </c>
      <c r="H549" s="9">
        <v>672566.37</v>
      </c>
      <c r="I549" s="9">
        <v>87433.63</v>
      </c>
      <c r="J549" s="7">
        <v>45295</v>
      </c>
      <c r="K549" s="8" t="str">
        <f t="shared" si="25"/>
        <v/>
      </c>
      <c r="L549" s="8" t="str">
        <f t="shared" si="26"/>
        <v/>
      </c>
      <c r="M549" s="8">
        <f t="shared" si="24"/>
        <v>34</v>
      </c>
      <c r="N549" s="6" t="s">
        <v>26</v>
      </c>
    </row>
    <row r="550" spans="1:14" x14ac:dyDescent="0.2">
      <c r="A550" s="6" t="s">
        <v>45</v>
      </c>
      <c r="B550" s="6" t="s">
        <v>487</v>
      </c>
      <c r="C550" s="6" t="s">
        <v>20</v>
      </c>
      <c r="D550" s="7"/>
      <c r="E550" s="7"/>
      <c r="F550" s="7">
        <v>45264</v>
      </c>
      <c r="G550" s="9">
        <v>270000</v>
      </c>
      <c r="H550" s="9">
        <v>247706.42</v>
      </c>
      <c r="I550" s="9">
        <v>22293.58</v>
      </c>
      <c r="J550" s="7">
        <v>45320</v>
      </c>
      <c r="K550" s="8" t="str">
        <f t="shared" si="25"/>
        <v/>
      </c>
      <c r="L550" s="8" t="str">
        <f t="shared" si="26"/>
        <v/>
      </c>
      <c r="M550" s="8">
        <f t="shared" si="24"/>
        <v>56</v>
      </c>
      <c r="N550" s="6" t="s">
        <v>26</v>
      </c>
    </row>
    <row r="551" spans="1:14" x14ac:dyDescent="0.2">
      <c r="A551" s="6" t="s">
        <v>45</v>
      </c>
      <c r="B551" s="6" t="s">
        <v>487</v>
      </c>
      <c r="C551" s="6" t="s">
        <v>20</v>
      </c>
      <c r="D551" s="7"/>
      <c r="E551" s="7"/>
      <c r="F551" s="7">
        <v>45264</v>
      </c>
      <c r="G551" s="9">
        <v>270000</v>
      </c>
      <c r="H551" s="9">
        <v>247706.42</v>
      </c>
      <c r="I551" s="9">
        <v>22293.58</v>
      </c>
      <c r="J551" s="7">
        <v>45320</v>
      </c>
      <c r="K551" s="8" t="str">
        <f t="shared" si="25"/>
        <v/>
      </c>
      <c r="L551" s="8" t="str">
        <f t="shared" si="26"/>
        <v/>
      </c>
      <c r="M551" s="8">
        <f t="shared" si="24"/>
        <v>56</v>
      </c>
      <c r="N551" s="6" t="s">
        <v>26</v>
      </c>
    </row>
    <row r="552" spans="1:14" x14ac:dyDescent="0.2">
      <c r="A552" s="6" t="s">
        <v>45</v>
      </c>
      <c r="B552" s="6" t="s">
        <v>487</v>
      </c>
      <c r="C552" s="6" t="s">
        <v>20</v>
      </c>
      <c r="D552" s="7"/>
      <c r="E552" s="7"/>
      <c r="F552" s="7">
        <v>45264</v>
      </c>
      <c r="G552" s="9">
        <v>270000</v>
      </c>
      <c r="H552" s="9">
        <v>247706.42</v>
      </c>
      <c r="I552" s="9">
        <v>22293.58</v>
      </c>
      <c r="J552" s="7">
        <v>45320</v>
      </c>
      <c r="K552" s="8" t="str">
        <f t="shared" si="25"/>
        <v/>
      </c>
      <c r="L552" s="8" t="str">
        <f t="shared" si="26"/>
        <v/>
      </c>
      <c r="M552" s="8">
        <f t="shared" si="24"/>
        <v>56</v>
      </c>
      <c r="N552" s="6" t="s">
        <v>26</v>
      </c>
    </row>
    <row r="553" spans="1:14" x14ac:dyDescent="0.2">
      <c r="A553" s="6" t="s">
        <v>45</v>
      </c>
      <c r="B553" s="6" t="s">
        <v>488</v>
      </c>
      <c r="C553" s="6" t="s">
        <v>20</v>
      </c>
      <c r="D553" s="7"/>
      <c r="E553" s="7"/>
      <c r="F553" s="7">
        <v>45264</v>
      </c>
      <c r="G553" s="9">
        <v>315200</v>
      </c>
      <c r="H553" s="9">
        <v>289174.31</v>
      </c>
      <c r="I553" s="9">
        <v>26025.69</v>
      </c>
      <c r="J553" s="7">
        <v>45320</v>
      </c>
      <c r="K553" s="8" t="str">
        <f t="shared" si="25"/>
        <v/>
      </c>
      <c r="L553" s="8" t="str">
        <f t="shared" si="26"/>
        <v/>
      </c>
      <c r="M553" s="8">
        <f t="shared" si="24"/>
        <v>56</v>
      </c>
      <c r="N553" s="6" t="s">
        <v>26</v>
      </c>
    </row>
    <row r="554" spans="1:14" x14ac:dyDescent="0.2">
      <c r="A554" s="6" t="s">
        <v>45</v>
      </c>
      <c r="B554" s="6" t="s">
        <v>488</v>
      </c>
      <c r="C554" s="6" t="s">
        <v>20</v>
      </c>
      <c r="D554" s="7"/>
      <c r="E554" s="7"/>
      <c r="F554" s="7">
        <v>45264</v>
      </c>
      <c r="G554" s="9">
        <v>315200</v>
      </c>
      <c r="H554" s="9">
        <v>289174.31</v>
      </c>
      <c r="I554" s="9">
        <v>26025.69</v>
      </c>
      <c r="J554" s="7">
        <v>45320</v>
      </c>
      <c r="K554" s="8" t="str">
        <f t="shared" si="25"/>
        <v/>
      </c>
      <c r="L554" s="8" t="str">
        <f t="shared" si="26"/>
        <v/>
      </c>
      <c r="M554" s="8">
        <f t="shared" si="24"/>
        <v>56</v>
      </c>
      <c r="N554" s="6" t="s">
        <v>26</v>
      </c>
    </row>
    <row r="555" spans="1:14" x14ac:dyDescent="0.2">
      <c r="A555" s="6" t="s">
        <v>45</v>
      </c>
      <c r="B555" s="6" t="s">
        <v>488</v>
      </c>
      <c r="C555" s="6" t="s">
        <v>20</v>
      </c>
      <c r="D555" s="7"/>
      <c r="E555" s="7"/>
      <c r="F555" s="7">
        <v>45264</v>
      </c>
      <c r="G555" s="9">
        <v>315200</v>
      </c>
      <c r="H555" s="9">
        <v>289174.31</v>
      </c>
      <c r="I555" s="9">
        <v>26025.69</v>
      </c>
      <c r="J555" s="7">
        <v>45320</v>
      </c>
      <c r="K555" s="8" t="str">
        <f t="shared" si="25"/>
        <v/>
      </c>
      <c r="L555" s="8" t="str">
        <f t="shared" si="26"/>
        <v/>
      </c>
      <c r="M555" s="8">
        <f t="shared" si="24"/>
        <v>56</v>
      </c>
      <c r="N555" s="6" t="s">
        <v>26</v>
      </c>
    </row>
    <row r="556" spans="1:14" x14ac:dyDescent="0.2">
      <c r="A556" s="6" t="s">
        <v>489</v>
      </c>
      <c r="B556" s="6" t="s">
        <v>490</v>
      </c>
      <c r="C556" s="6" t="s">
        <v>20</v>
      </c>
      <c r="D556" s="7"/>
      <c r="E556" s="7"/>
      <c r="F556" s="7">
        <v>45265</v>
      </c>
      <c r="G556" s="9">
        <v>72000</v>
      </c>
      <c r="H556" s="9">
        <v>63716.81</v>
      </c>
      <c r="I556" s="9">
        <v>8283.19</v>
      </c>
      <c r="J556" s="7"/>
      <c r="K556" s="8" t="str">
        <f t="shared" si="25"/>
        <v/>
      </c>
      <c r="L556" s="8" t="str">
        <f t="shared" si="26"/>
        <v/>
      </c>
      <c r="M556" s="8" t="str">
        <f t="shared" si="24"/>
        <v/>
      </c>
      <c r="N556" s="6" t="s">
        <v>21</v>
      </c>
    </row>
    <row r="557" spans="1:14" x14ac:dyDescent="0.2">
      <c r="A557" s="6" t="s">
        <v>139</v>
      </c>
      <c r="B557" s="6" t="s">
        <v>491</v>
      </c>
      <c r="C557" s="6" t="s">
        <v>20</v>
      </c>
      <c r="D557" s="7"/>
      <c r="E557" s="7"/>
      <c r="F557" s="7">
        <v>45268</v>
      </c>
      <c r="G557" s="9">
        <v>55000</v>
      </c>
      <c r="H557" s="9">
        <v>48672.57</v>
      </c>
      <c r="I557" s="9">
        <v>6327.43</v>
      </c>
      <c r="J557" s="7">
        <v>45313</v>
      </c>
      <c r="K557" s="8" t="str">
        <f t="shared" si="25"/>
        <v/>
      </c>
      <c r="L557" s="8" t="str">
        <f t="shared" si="26"/>
        <v/>
      </c>
      <c r="M557" s="8">
        <f t="shared" si="24"/>
        <v>45</v>
      </c>
      <c r="N557" s="6" t="s">
        <v>26</v>
      </c>
    </row>
    <row r="558" spans="1:14" x14ac:dyDescent="0.2">
      <c r="A558" s="6" t="s">
        <v>223</v>
      </c>
      <c r="B558" s="6" t="s">
        <v>492</v>
      </c>
      <c r="C558" s="6" t="s">
        <v>20</v>
      </c>
      <c r="D558" s="7">
        <v>45245</v>
      </c>
      <c r="E558" s="7">
        <v>45247</v>
      </c>
      <c r="F558" s="7">
        <v>45268</v>
      </c>
      <c r="G558" s="9">
        <v>6945.69</v>
      </c>
      <c r="H558" s="9">
        <v>2.65</v>
      </c>
      <c r="I558" s="9">
        <v>6943.04</v>
      </c>
      <c r="J558" s="7">
        <v>45313</v>
      </c>
      <c r="K558" s="8">
        <f t="shared" si="25"/>
        <v>2</v>
      </c>
      <c r="L558" s="8">
        <f t="shared" si="26"/>
        <v>21</v>
      </c>
      <c r="M558" s="8">
        <f t="shared" si="24"/>
        <v>45</v>
      </c>
      <c r="N558" s="6" t="s">
        <v>26</v>
      </c>
    </row>
    <row r="559" spans="1:14" x14ac:dyDescent="0.2">
      <c r="A559" s="6" t="s">
        <v>425</v>
      </c>
      <c r="B559" s="6" t="s">
        <v>493</v>
      </c>
      <c r="C559" s="6" t="s">
        <v>20</v>
      </c>
      <c r="D559" s="7"/>
      <c r="E559" s="7"/>
      <c r="F559" s="7">
        <v>45268</v>
      </c>
      <c r="G559" s="9">
        <v>280000</v>
      </c>
      <c r="H559" s="9">
        <v>256880.73</v>
      </c>
      <c r="I559" s="9">
        <v>23119.27</v>
      </c>
      <c r="J559" s="7">
        <v>45315</v>
      </c>
      <c r="K559" s="8" t="str">
        <f t="shared" si="25"/>
        <v/>
      </c>
      <c r="L559" s="8" t="str">
        <f t="shared" si="26"/>
        <v/>
      </c>
      <c r="M559" s="8">
        <f t="shared" si="24"/>
        <v>47</v>
      </c>
      <c r="N559" s="6" t="s">
        <v>26</v>
      </c>
    </row>
    <row r="560" spans="1:14" x14ac:dyDescent="0.2">
      <c r="A560" s="6" t="s">
        <v>425</v>
      </c>
      <c r="B560" s="6" t="s">
        <v>493</v>
      </c>
      <c r="C560" s="6" t="s">
        <v>20</v>
      </c>
      <c r="D560" s="7"/>
      <c r="E560" s="7"/>
      <c r="F560" s="7">
        <v>45268</v>
      </c>
      <c r="G560" s="9">
        <v>280000</v>
      </c>
      <c r="H560" s="9">
        <v>256880.73</v>
      </c>
      <c r="I560" s="9">
        <v>23119.27</v>
      </c>
      <c r="J560" s="7">
        <v>45315</v>
      </c>
      <c r="K560" s="8" t="str">
        <f t="shared" si="25"/>
        <v/>
      </c>
      <c r="L560" s="8" t="str">
        <f t="shared" si="26"/>
        <v/>
      </c>
      <c r="M560" s="8">
        <f t="shared" si="24"/>
        <v>47</v>
      </c>
      <c r="N560" s="6" t="s">
        <v>26</v>
      </c>
    </row>
    <row r="561" spans="1:14" x14ac:dyDescent="0.2">
      <c r="A561" s="6" t="s">
        <v>425</v>
      </c>
      <c r="B561" s="6" t="s">
        <v>493</v>
      </c>
      <c r="C561" s="6" t="s">
        <v>20</v>
      </c>
      <c r="D561" s="7"/>
      <c r="E561" s="7"/>
      <c r="F561" s="7">
        <v>45268</v>
      </c>
      <c r="G561" s="9">
        <v>280000</v>
      </c>
      <c r="H561" s="9">
        <v>256880.73</v>
      </c>
      <c r="I561" s="9">
        <v>23119.27</v>
      </c>
      <c r="J561" s="7">
        <v>45315</v>
      </c>
      <c r="K561" s="8" t="str">
        <f t="shared" si="25"/>
        <v/>
      </c>
      <c r="L561" s="8" t="str">
        <f t="shared" si="26"/>
        <v/>
      </c>
      <c r="M561" s="8">
        <f t="shared" si="24"/>
        <v>47</v>
      </c>
      <c r="N561" s="6" t="s">
        <v>26</v>
      </c>
    </row>
    <row r="562" spans="1:14" x14ac:dyDescent="0.2">
      <c r="A562" s="6" t="s">
        <v>141</v>
      </c>
      <c r="B562" s="6" t="s">
        <v>494</v>
      </c>
      <c r="C562" s="6" t="s">
        <v>20</v>
      </c>
      <c r="D562" s="7">
        <v>45152</v>
      </c>
      <c r="E562" s="7">
        <v>45166</v>
      </c>
      <c r="F562" s="7">
        <v>45272</v>
      </c>
      <c r="G562" s="9">
        <v>47231.96</v>
      </c>
      <c r="H562" s="9">
        <v>41798.19</v>
      </c>
      <c r="I562" s="9">
        <v>5433.77</v>
      </c>
      <c r="J562" s="7">
        <v>45683</v>
      </c>
      <c r="K562" s="8">
        <f t="shared" si="25"/>
        <v>14</v>
      </c>
      <c r="L562" s="8">
        <f t="shared" si="26"/>
        <v>106</v>
      </c>
      <c r="M562" s="8">
        <f t="shared" si="24"/>
        <v>411</v>
      </c>
      <c r="N562" s="6" t="s">
        <v>26</v>
      </c>
    </row>
    <row r="563" spans="1:14" x14ac:dyDescent="0.2">
      <c r="A563" s="6" t="s">
        <v>495</v>
      </c>
      <c r="B563" s="6" t="s">
        <v>496</v>
      </c>
      <c r="C563" s="6" t="s">
        <v>20</v>
      </c>
      <c r="D563" s="7"/>
      <c r="E563" s="7"/>
      <c r="F563" s="7">
        <v>45272</v>
      </c>
      <c r="G563" s="9">
        <v>45631</v>
      </c>
      <c r="H563" s="9">
        <v>40381.42</v>
      </c>
      <c r="I563" s="9">
        <v>5249.58</v>
      </c>
      <c r="J563" s="7">
        <v>45608</v>
      </c>
      <c r="K563" s="8" t="str">
        <f t="shared" si="25"/>
        <v/>
      </c>
      <c r="L563" s="8" t="str">
        <f t="shared" si="26"/>
        <v/>
      </c>
      <c r="M563" s="8">
        <f t="shared" si="24"/>
        <v>336</v>
      </c>
      <c r="N563" s="6" t="s">
        <v>26</v>
      </c>
    </row>
    <row r="564" spans="1:14" x14ac:dyDescent="0.2">
      <c r="A564" s="6" t="s">
        <v>495</v>
      </c>
      <c r="B564" s="6" t="s">
        <v>496</v>
      </c>
      <c r="C564" s="6" t="s">
        <v>20</v>
      </c>
      <c r="D564" s="7"/>
      <c r="E564" s="7"/>
      <c r="F564" s="7">
        <v>45272</v>
      </c>
      <c r="G564" s="9">
        <v>75000</v>
      </c>
      <c r="H564" s="9">
        <v>66371.679999999993</v>
      </c>
      <c r="I564" s="9">
        <v>8628.32</v>
      </c>
      <c r="J564" s="7">
        <v>45608</v>
      </c>
      <c r="K564" s="8" t="str">
        <f t="shared" si="25"/>
        <v/>
      </c>
      <c r="L564" s="8" t="str">
        <f t="shared" si="26"/>
        <v/>
      </c>
      <c r="M564" s="8">
        <f t="shared" si="24"/>
        <v>336</v>
      </c>
      <c r="N564" s="6" t="s">
        <v>26</v>
      </c>
    </row>
    <row r="565" spans="1:14" x14ac:dyDescent="0.2">
      <c r="A565" s="6" t="s">
        <v>482</v>
      </c>
      <c r="B565" s="6" t="s">
        <v>497</v>
      </c>
      <c r="C565" s="6" t="s">
        <v>20</v>
      </c>
      <c r="D565" s="7"/>
      <c r="E565" s="7"/>
      <c r="F565" s="7">
        <v>45272</v>
      </c>
      <c r="G565" s="9">
        <v>115000</v>
      </c>
      <c r="H565" s="9">
        <v>101769.91</v>
      </c>
      <c r="I565" s="9">
        <v>13230.09</v>
      </c>
      <c r="J565" s="7">
        <v>45495</v>
      </c>
      <c r="K565" s="8" t="str">
        <f t="shared" si="25"/>
        <v/>
      </c>
      <c r="L565" s="8" t="str">
        <f t="shared" si="26"/>
        <v/>
      </c>
      <c r="M565" s="8">
        <f t="shared" si="24"/>
        <v>223</v>
      </c>
      <c r="N565" s="6" t="s">
        <v>26</v>
      </c>
    </row>
    <row r="566" spans="1:14" x14ac:dyDescent="0.2">
      <c r="A566" s="6" t="s">
        <v>482</v>
      </c>
      <c r="B566" s="6" t="s">
        <v>497</v>
      </c>
      <c r="C566" s="6" t="s">
        <v>20</v>
      </c>
      <c r="D566" s="7"/>
      <c r="E566" s="7"/>
      <c r="F566" s="7">
        <v>45272</v>
      </c>
      <c r="G566" s="9">
        <v>115000</v>
      </c>
      <c r="H566" s="9">
        <v>101769.91</v>
      </c>
      <c r="I566" s="9">
        <v>13230.09</v>
      </c>
      <c r="J566" s="7">
        <v>45495</v>
      </c>
      <c r="K566" s="8" t="str">
        <f t="shared" si="25"/>
        <v/>
      </c>
      <c r="L566" s="8" t="str">
        <f t="shared" si="26"/>
        <v/>
      </c>
      <c r="M566" s="8">
        <f t="shared" si="24"/>
        <v>223</v>
      </c>
      <c r="N566" s="6" t="s">
        <v>26</v>
      </c>
    </row>
    <row r="567" spans="1:14" x14ac:dyDescent="0.2">
      <c r="A567" s="6" t="s">
        <v>425</v>
      </c>
      <c r="B567" s="6" t="s">
        <v>498</v>
      </c>
      <c r="C567" s="6" t="s">
        <v>20</v>
      </c>
      <c r="D567" s="7"/>
      <c r="E567" s="7"/>
      <c r="F567" s="7">
        <v>45273</v>
      </c>
      <c r="G567" s="9">
        <v>1269172.24</v>
      </c>
      <c r="H567" s="9">
        <v>1261903.67</v>
      </c>
      <c r="I567" s="9">
        <v>7268.57</v>
      </c>
      <c r="J567" s="7">
        <v>45315</v>
      </c>
      <c r="K567" s="8" t="str">
        <f t="shared" si="25"/>
        <v/>
      </c>
      <c r="L567" s="8" t="str">
        <f t="shared" si="26"/>
        <v/>
      </c>
      <c r="M567" s="8">
        <f t="shared" si="24"/>
        <v>42</v>
      </c>
      <c r="N567" s="6" t="s">
        <v>26</v>
      </c>
    </row>
    <row r="568" spans="1:14" x14ac:dyDescent="0.2">
      <c r="A568" s="6" t="s">
        <v>425</v>
      </c>
      <c r="B568" s="6" t="s">
        <v>498</v>
      </c>
      <c r="C568" s="6" t="s">
        <v>20</v>
      </c>
      <c r="D568" s="7"/>
      <c r="E568" s="7"/>
      <c r="F568" s="7">
        <v>45273</v>
      </c>
      <c r="G568" s="9">
        <v>1375475</v>
      </c>
      <c r="H568" s="9">
        <v>1261903.67</v>
      </c>
      <c r="I568" s="9">
        <v>113571.33</v>
      </c>
      <c r="J568" s="7">
        <v>45315</v>
      </c>
      <c r="K568" s="8" t="str">
        <f t="shared" si="25"/>
        <v/>
      </c>
      <c r="L568" s="8" t="str">
        <f t="shared" si="26"/>
        <v/>
      </c>
      <c r="M568" s="8">
        <f t="shared" si="24"/>
        <v>42</v>
      </c>
      <c r="N568" s="6" t="s">
        <v>26</v>
      </c>
    </row>
    <row r="569" spans="1:14" x14ac:dyDescent="0.2">
      <c r="A569" s="6" t="s">
        <v>425</v>
      </c>
      <c r="B569" s="6" t="s">
        <v>498</v>
      </c>
      <c r="C569" s="6" t="s">
        <v>20</v>
      </c>
      <c r="D569" s="7"/>
      <c r="E569" s="7"/>
      <c r="F569" s="7">
        <v>45273</v>
      </c>
      <c r="G569" s="9">
        <v>1375475</v>
      </c>
      <c r="H569" s="9">
        <v>1261903.67</v>
      </c>
      <c r="I569" s="9">
        <v>113571.33</v>
      </c>
      <c r="J569" s="7">
        <v>45315</v>
      </c>
      <c r="K569" s="8" t="str">
        <f t="shared" si="25"/>
        <v/>
      </c>
      <c r="L569" s="8" t="str">
        <f t="shared" si="26"/>
        <v/>
      </c>
      <c r="M569" s="8">
        <f t="shared" si="24"/>
        <v>42</v>
      </c>
      <c r="N569" s="6" t="s">
        <v>26</v>
      </c>
    </row>
    <row r="570" spans="1:14" x14ac:dyDescent="0.2">
      <c r="A570" s="6" t="s">
        <v>425</v>
      </c>
      <c r="B570" s="6" t="s">
        <v>498</v>
      </c>
      <c r="C570" s="6" t="s">
        <v>20</v>
      </c>
      <c r="D570" s="7"/>
      <c r="E570" s="7"/>
      <c r="F570" s="7">
        <v>45273</v>
      </c>
      <c r="G570" s="9">
        <v>1375475</v>
      </c>
      <c r="H570" s="9">
        <v>1261903.67</v>
      </c>
      <c r="I570" s="9">
        <v>113571.33</v>
      </c>
      <c r="J570" s="7">
        <v>45315</v>
      </c>
      <c r="K570" s="8" t="str">
        <f t="shared" si="25"/>
        <v/>
      </c>
      <c r="L570" s="8" t="str">
        <f t="shared" si="26"/>
        <v/>
      </c>
      <c r="M570" s="8">
        <f t="shared" si="24"/>
        <v>42</v>
      </c>
      <c r="N570" s="6" t="s">
        <v>26</v>
      </c>
    </row>
    <row r="571" spans="1:14" x14ac:dyDescent="0.2">
      <c r="A571" s="6" t="s">
        <v>425</v>
      </c>
      <c r="B571" s="6" t="s">
        <v>498</v>
      </c>
      <c r="C571" s="6" t="s">
        <v>20</v>
      </c>
      <c r="D571" s="7"/>
      <c r="E571" s="7"/>
      <c r="F571" s="7">
        <v>45273</v>
      </c>
      <c r="G571" s="9">
        <v>1375475</v>
      </c>
      <c r="H571" s="9">
        <v>1261903.67</v>
      </c>
      <c r="I571" s="9">
        <v>113571.33</v>
      </c>
      <c r="J571" s="7">
        <v>45315</v>
      </c>
      <c r="K571" s="8" t="str">
        <f t="shared" si="25"/>
        <v/>
      </c>
      <c r="L571" s="8" t="str">
        <f t="shared" si="26"/>
        <v/>
      </c>
      <c r="M571" s="8">
        <f t="shared" si="24"/>
        <v>42</v>
      </c>
      <c r="N571" s="6" t="s">
        <v>26</v>
      </c>
    </row>
    <row r="572" spans="1:14" x14ac:dyDescent="0.2">
      <c r="A572" s="6" t="s">
        <v>425</v>
      </c>
      <c r="B572" s="6" t="s">
        <v>498</v>
      </c>
      <c r="C572" s="6" t="s">
        <v>20</v>
      </c>
      <c r="D572" s="7"/>
      <c r="E572" s="7"/>
      <c r="F572" s="7">
        <v>45273</v>
      </c>
      <c r="G572" s="9">
        <v>1375475</v>
      </c>
      <c r="H572" s="9">
        <v>1261903.67</v>
      </c>
      <c r="I572" s="9">
        <v>113571.33</v>
      </c>
      <c r="J572" s="7">
        <v>45315</v>
      </c>
      <c r="K572" s="8" t="str">
        <f t="shared" si="25"/>
        <v/>
      </c>
      <c r="L572" s="8" t="str">
        <f t="shared" si="26"/>
        <v/>
      </c>
      <c r="M572" s="8">
        <f t="shared" si="24"/>
        <v>42</v>
      </c>
      <c r="N572" s="6" t="s">
        <v>26</v>
      </c>
    </row>
    <row r="573" spans="1:14" x14ac:dyDescent="0.2">
      <c r="A573" s="6" t="s">
        <v>425</v>
      </c>
      <c r="B573" s="6" t="s">
        <v>498</v>
      </c>
      <c r="C573" s="6" t="s">
        <v>20</v>
      </c>
      <c r="D573" s="7"/>
      <c r="E573" s="7"/>
      <c r="F573" s="7">
        <v>45273</v>
      </c>
      <c r="G573" s="9">
        <v>1375475</v>
      </c>
      <c r="H573" s="9">
        <v>1261903.67</v>
      </c>
      <c r="I573" s="9">
        <v>113571.33</v>
      </c>
      <c r="J573" s="7">
        <v>45315</v>
      </c>
      <c r="K573" s="8" t="str">
        <f t="shared" si="25"/>
        <v/>
      </c>
      <c r="L573" s="8" t="str">
        <f t="shared" si="26"/>
        <v/>
      </c>
      <c r="M573" s="8">
        <f t="shared" si="24"/>
        <v>42</v>
      </c>
      <c r="N573" s="6" t="s">
        <v>26</v>
      </c>
    </row>
    <row r="574" spans="1:14" x14ac:dyDescent="0.2">
      <c r="A574" s="6" t="s">
        <v>425</v>
      </c>
      <c r="B574" s="6" t="s">
        <v>498</v>
      </c>
      <c r="C574" s="6" t="s">
        <v>20</v>
      </c>
      <c r="D574" s="7"/>
      <c r="E574" s="7"/>
      <c r="F574" s="7">
        <v>45273</v>
      </c>
      <c r="G574" s="9">
        <v>1375475</v>
      </c>
      <c r="H574" s="9">
        <v>1261903.67</v>
      </c>
      <c r="I574" s="9">
        <v>113571.33</v>
      </c>
      <c r="J574" s="7">
        <v>45315</v>
      </c>
      <c r="K574" s="8" t="str">
        <f t="shared" si="25"/>
        <v/>
      </c>
      <c r="L574" s="8" t="str">
        <f t="shared" si="26"/>
        <v/>
      </c>
      <c r="M574" s="8">
        <f t="shared" si="24"/>
        <v>42</v>
      </c>
      <c r="N574" s="6" t="s">
        <v>26</v>
      </c>
    </row>
    <row r="575" spans="1:14" x14ac:dyDescent="0.2">
      <c r="A575" s="6" t="s">
        <v>425</v>
      </c>
      <c r="B575" s="6" t="s">
        <v>498</v>
      </c>
      <c r="C575" s="6" t="s">
        <v>20</v>
      </c>
      <c r="D575" s="7"/>
      <c r="E575" s="7"/>
      <c r="F575" s="7">
        <v>45273</v>
      </c>
      <c r="G575" s="9">
        <v>1375475</v>
      </c>
      <c r="H575" s="9">
        <v>1261903.67</v>
      </c>
      <c r="I575" s="9">
        <v>113571.33</v>
      </c>
      <c r="J575" s="7">
        <v>45315</v>
      </c>
      <c r="K575" s="8" t="str">
        <f t="shared" si="25"/>
        <v/>
      </c>
      <c r="L575" s="8" t="str">
        <f t="shared" si="26"/>
        <v/>
      </c>
      <c r="M575" s="8">
        <f t="shared" si="24"/>
        <v>42</v>
      </c>
      <c r="N575" s="6" t="s">
        <v>26</v>
      </c>
    </row>
    <row r="576" spans="1:14" x14ac:dyDescent="0.2">
      <c r="A576" s="6" t="s">
        <v>425</v>
      </c>
      <c r="B576" s="6" t="s">
        <v>498</v>
      </c>
      <c r="C576" s="6" t="s">
        <v>20</v>
      </c>
      <c r="D576" s="7"/>
      <c r="E576" s="7"/>
      <c r="F576" s="7">
        <v>45273</v>
      </c>
      <c r="G576" s="9">
        <v>1375475</v>
      </c>
      <c r="H576" s="9">
        <v>1261903.67</v>
      </c>
      <c r="I576" s="9">
        <v>113571.33</v>
      </c>
      <c r="J576" s="7">
        <v>45315</v>
      </c>
      <c r="K576" s="8" t="str">
        <f t="shared" si="25"/>
        <v/>
      </c>
      <c r="L576" s="8" t="str">
        <f t="shared" si="26"/>
        <v/>
      </c>
      <c r="M576" s="8">
        <f t="shared" si="24"/>
        <v>42</v>
      </c>
      <c r="N576" s="6" t="s">
        <v>26</v>
      </c>
    </row>
    <row r="577" spans="1:14" x14ac:dyDescent="0.2">
      <c r="A577" s="6" t="s">
        <v>425</v>
      </c>
      <c r="B577" s="6" t="s">
        <v>498</v>
      </c>
      <c r="C577" s="6" t="s">
        <v>20</v>
      </c>
      <c r="D577" s="7"/>
      <c r="E577" s="7"/>
      <c r="F577" s="7">
        <v>45273</v>
      </c>
      <c r="G577" s="9">
        <v>1375475</v>
      </c>
      <c r="H577" s="9">
        <v>1261903.67</v>
      </c>
      <c r="I577" s="9">
        <v>113571.33</v>
      </c>
      <c r="J577" s="7">
        <v>45315</v>
      </c>
      <c r="K577" s="8" t="str">
        <f t="shared" si="25"/>
        <v/>
      </c>
      <c r="L577" s="8" t="str">
        <f t="shared" si="26"/>
        <v/>
      </c>
      <c r="M577" s="8">
        <f t="shared" si="24"/>
        <v>42</v>
      </c>
      <c r="N577" s="6" t="s">
        <v>26</v>
      </c>
    </row>
    <row r="578" spans="1:14" x14ac:dyDescent="0.2">
      <c r="A578" s="6" t="s">
        <v>425</v>
      </c>
      <c r="B578" s="6" t="s">
        <v>498</v>
      </c>
      <c r="C578" s="6" t="s">
        <v>20</v>
      </c>
      <c r="D578" s="7"/>
      <c r="E578" s="7"/>
      <c r="F578" s="7">
        <v>45273</v>
      </c>
      <c r="G578" s="9">
        <v>1375475</v>
      </c>
      <c r="H578" s="9">
        <v>1261903.67</v>
      </c>
      <c r="I578" s="9">
        <v>113571.33</v>
      </c>
      <c r="J578" s="7">
        <v>45315</v>
      </c>
      <c r="K578" s="8" t="str">
        <f t="shared" si="25"/>
        <v/>
      </c>
      <c r="L578" s="8" t="str">
        <f t="shared" si="26"/>
        <v/>
      </c>
      <c r="M578" s="8">
        <f t="shared" ref="M578:M641" si="27">IF(OR($F578="", $J578=""),"", $J578-$F578)</f>
        <v>42</v>
      </c>
      <c r="N578" s="6" t="s">
        <v>26</v>
      </c>
    </row>
    <row r="579" spans="1:14" x14ac:dyDescent="0.2">
      <c r="A579" s="6" t="s">
        <v>425</v>
      </c>
      <c r="B579" s="6" t="s">
        <v>498</v>
      </c>
      <c r="C579" s="6" t="s">
        <v>20</v>
      </c>
      <c r="D579" s="7"/>
      <c r="E579" s="7"/>
      <c r="F579" s="7">
        <v>45273</v>
      </c>
      <c r="G579" s="9">
        <v>1375475</v>
      </c>
      <c r="H579" s="9">
        <v>1261903.67</v>
      </c>
      <c r="I579" s="9">
        <v>113571.33</v>
      </c>
      <c r="J579" s="7">
        <v>45315</v>
      </c>
      <c r="K579" s="8" t="str">
        <f t="shared" ref="K579:K642" si="28">IF(OR($D579="", $F579=""),"", $E579-$D579)</f>
        <v/>
      </c>
      <c r="L579" s="8" t="str">
        <f t="shared" ref="L579:L642" si="29">IF(OR($D579="", $F579=""),"", $F579-$E579)</f>
        <v/>
      </c>
      <c r="M579" s="8">
        <f t="shared" si="27"/>
        <v>42</v>
      </c>
      <c r="N579" s="6" t="s">
        <v>26</v>
      </c>
    </row>
    <row r="580" spans="1:14" x14ac:dyDescent="0.2">
      <c r="A580" s="6" t="s">
        <v>425</v>
      </c>
      <c r="B580" s="6" t="s">
        <v>498</v>
      </c>
      <c r="C580" s="6" t="s">
        <v>20</v>
      </c>
      <c r="D580" s="7"/>
      <c r="E580" s="7"/>
      <c r="F580" s="7">
        <v>45273</v>
      </c>
      <c r="G580" s="9">
        <v>1375475</v>
      </c>
      <c r="H580" s="9">
        <v>1261903.67</v>
      </c>
      <c r="I580" s="9">
        <v>113571.33</v>
      </c>
      <c r="J580" s="7">
        <v>45315</v>
      </c>
      <c r="K580" s="8" t="str">
        <f t="shared" si="28"/>
        <v/>
      </c>
      <c r="L580" s="8" t="str">
        <f t="shared" si="29"/>
        <v/>
      </c>
      <c r="M580" s="8">
        <f t="shared" si="27"/>
        <v>42</v>
      </c>
      <c r="N580" s="6" t="s">
        <v>26</v>
      </c>
    </row>
    <row r="581" spans="1:14" x14ac:dyDescent="0.2">
      <c r="A581" s="6" t="s">
        <v>145</v>
      </c>
      <c r="B581" s="6" t="s">
        <v>387</v>
      </c>
      <c r="C581" s="6" t="s">
        <v>20</v>
      </c>
      <c r="D581" s="7"/>
      <c r="E581" s="7"/>
      <c r="F581" s="7">
        <v>45273</v>
      </c>
      <c r="G581" s="9">
        <v>6450</v>
      </c>
      <c r="H581" s="9">
        <v>5917.43</v>
      </c>
      <c r="I581" s="9">
        <v>532.57000000000005</v>
      </c>
      <c r="J581" s="7">
        <v>45301</v>
      </c>
      <c r="K581" s="8" t="str">
        <f t="shared" si="28"/>
        <v/>
      </c>
      <c r="L581" s="8" t="str">
        <f t="shared" si="29"/>
        <v/>
      </c>
      <c r="M581" s="8">
        <f t="shared" si="27"/>
        <v>28</v>
      </c>
      <c r="N581" s="6" t="s">
        <v>26</v>
      </c>
    </row>
    <row r="582" spans="1:14" x14ac:dyDescent="0.2">
      <c r="A582" s="6" t="s">
        <v>417</v>
      </c>
      <c r="B582" s="6" t="s">
        <v>499</v>
      </c>
      <c r="C582" s="6" t="s">
        <v>20</v>
      </c>
      <c r="D582" s="7"/>
      <c r="E582" s="7"/>
      <c r="F582" s="7">
        <v>45273</v>
      </c>
      <c r="G582" s="9">
        <v>1162800</v>
      </c>
      <c r="H582" s="9">
        <v>1029026.55</v>
      </c>
      <c r="I582" s="9">
        <v>133773.45000000001</v>
      </c>
      <c r="J582" s="7">
        <v>45503</v>
      </c>
      <c r="K582" s="8" t="str">
        <f t="shared" si="28"/>
        <v/>
      </c>
      <c r="L582" s="8" t="str">
        <f t="shared" si="29"/>
        <v/>
      </c>
      <c r="M582" s="8">
        <f t="shared" si="27"/>
        <v>230</v>
      </c>
      <c r="N582" s="6" t="s">
        <v>26</v>
      </c>
    </row>
    <row r="583" spans="1:14" x14ac:dyDescent="0.2">
      <c r="A583" s="6" t="s">
        <v>417</v>
      </c>
      <c r="B583" s="6" t="s">
        <v>499</v>
      </c>
      <c r="C583" s="6" t="s">
        <v>20</v>
      </c>
      <c r="D583" s="7"/>
      <c r="E583" s="7"/>
      <c r="F583" s="7">
        <v>45273</v>
      </c>
      <c r="G583" s="9">
        <v>1162800</v>
      </c>
      <c r="H583" s="9">
        <v>1029026.55</v>
      </c>
      <c r="I583" s="9">
        <v>133773.45000000001</v>
      </c>
      <c r="J583" s="7">
        <v>45503</v>
      </c>
      <c r="K583" s="8" t="str">
        <f t="shared" si="28"/>
        <v/>
      </c>
      <c r="L583" s="8" t="str">
        <f t="shared" si="29"/>
        <v/>
      </c>
      <c r="M583" s="8">
        <f t="shared" si="27"/>
        <v>230</v>
      </c>
      <c r="N583" s="6" t="s">
        <v>26</v>
      </c>
    </row>
    <row r="584" spans="1:14" x14ac:dyDescent="0.2">
      <c r="A584" s="6" t="s">
        <v>417</v>
      </c>
      <c r="B584" s="6" t="s">
        <v>499</v>
      </c>
      <c r="C584" s="6" t="s">
        <v>20</v>
      </c>
      <c r="D584" s="7"/>
      <c r="E584" s="7"/>
      <c r="F584" s="7">
        <v>45273</v>
      </c>
      <c r="G584" s="9">
        <v>1162800</v>
      </c>
      <c r="H584" s="9">
        <v>1029026.55</v>
      </c>
      <c r="I584" s="9">
        <v>133773.45000000001</v>
      </c>
      <c r="J584" s="7">
        <v>45503</v>
      </c>
      <c r="K584" s="8" t="str">
        <f t="shared" si="28"/>
        <v/>
      </c>
      <c r="L584" s="8" t="str">
        <f t="shared" si="29"/>
        <v/>
      </c>
      <c r="M584" s="8">
        <f t="shared" si="27"/>
        <v>230</v>
      </c>
      <c r="N584" s="6" t="s">
        <v>26</v>
      </c>
    </row>
    <row r="585" spans="1:14" x14ac:dyDescent="0.2">
      <c r="A585" s="6" t="s">
        <v>417</v>
      </c>
      <c r="B585" s="6" t="s">
        <v>499</v>
      </c>
      <c r="C585" s="6" t="s">
        <v>20</v>
      </c>
      <c r="D585" s="7"/>
      <c r="E585" s="7"/>
      <c r="F585" s="7">
        <v>45273</v>
      </c>
      <c r="G585" s="9">
        <v>1162800</v>
      </c>
      <c r="H585" s="9">
        <v>1029026.55</v>
      </c>
      <c r="I585" s="9">
        <v>133773.45000000001</v>
      </c>
      <c r="J585" s="7">
        <v>45503</v>
      </c>
      <c r="K585" s="8" t="str">
        <f t="shared" si="28"/>
        <v/>
      </c>
      <c r="L585" s="8" t="str">
        <f t="shared" si="29"/>
        <v/>
      </c>
      <c r="M585" s="8">
        <f t="shared" si="27"/>
        <v>230</v>
      </c>
      <c r="N585" s="6" t="s">
        <v>26</v>
      </c>
    </row>
    <row r="586" spans="1:14" x14ac:dyDescent="0.2">
      <c r="A586" s="6" t="s">
        <v>417</v>
      </c>
      <c r="B586" s="6" t="s">
        <v>499</v>
      </c>
      <c r="C586" s="6" t="s">
        <v>20</v>
      </c>
      <c r="D586" s="7"/>
      <c r="E586" s="7"/>
      <c r="F586" s="7">
        <v>45273</v>
      </c>
      <c r="G586" s="9">
        <v>1162800</v>
      </c>
      <c r="H586" s="9">
        <v>1029026.55</v>
      </c>
      <c r="I586" s="9">
        <v>133773.45000000001</v>
      </c>
      <c r="J586" s="7">
        <v>45503</v>
      </c>
      <c r="K586" s="8" t="str">
        <f t="shared" si="28"/>
        <v/>
      </c>
      <c r="L586" s="8" t="str">
        <f t="shared" si="29"/>
        <v/>
      </c>
      <c r="M586" s="8">
        <f t="shared" si="27"/>
        <v>230</v>
      </c>
      <c r="N586" s="6" t="s">
        <v>26</v>
      </c>
    </row>
    <row r="587" spans="1:14" x14ac:dyDescent="0.2">
      <c r="A587" s="6" t="s">
        <v>417</v>
      </c>
      <c r="B587" s="6" t="s">
        <v>499</v>
      </c>
      <c r="C587" s="6" t="s">
        <v>20</v>
      </c>
      <c r="D587" s="7"/>
      <c r="E587" s="7"/>
      <c r="F587" s="7">
        <v>45273</v>
      </c>
      <c r="G587" s="9">
        <v>1162800</v>
      </c>
      <c r="H587" s="9">
        <v>1029026.55</v>
      </c>
      <c r="I587" s="9">
        <v>133773.45000000001</v>
      </c>
      <c r="J587" s="7">
        <v>45503</v>
      </c>
      <c r="K587" s="8" t="str">
        <f t="shared" si="28"/>
        <v/>
      </c>
      <c r="L587" s="8" t="str">
        <f t="shared" si="29"/>
        <v/>
      </c>
      <c r="M587" s="8">
        <f t="shared" si="27"/>
        <v>230</v>
      </c>
      <c r="N587" s="6" t="s">
        <v>26</v>
      </c>
    </row>
    <row r="588" spans="1:14" x14ac:dyDescent="0.2">
      <c r="A588" s="6" t="s">
        <v>417</v>
      </c>
      <c r="B588" s="6" t="s">
        <v>499</v>
      </c>
      <c r="C588" s="6" t="s">
        <v>20</v>
      </c>
      <c r="D588" s="7"/>
      <c r="E588" s="7"/>
      <c r="F588" s="7">
        <v>45273</v>
      </c>
      <c r="G588" s="9">
        <v>1162800</v>
      </c>
      <c r="H588" s="9">
        <v>1029026.55</v>
      </c>
      <c r="I588" s="9">
        <v>133773.45000000001</v>
      </c>
      <c r="J588" s="7">
        <v>45503</v>
      </c>
      <c r="K588" s="8" t="str">
        <f t="shared" si="28"/>
        <v/>
      </c>
      <c r="L588" s="8" t="str">
        <f t="shared" si="29"/>
        <v/>
      </c>
      <c r="M588" s="8">
        <f t="shared" si="27"/>
        <v>230</v>
      </c>
      <c r="N588" s="6" t="s">
        <v>26</v>
      </c>
    </row>
    <row r="589" spans="1:14" x14ac:dyDescent="0.2">
      <c r="A589" s="6" t="s">
        <v>417</v>
      </c>
      <c r="B589" s="6" t="s">
        <v>499</v>
      </c>
      <c r="C589" s="6" t="s">
        <v>20</v>
      </c>
      <c r="D589" s="7"/>
      <c r="E589" s="7"/>
      <c r="F589" s="7">
        <v>45273</v>
      </c>
      <c r="G589" s="9">
        <v>1162800</v>
      </c>
      <c r="H589" s="9">
        <v>1029026.55</v>
      </c>
      <c r="I589" s="9">
        <v>133773.45000000001</v>
      </c>
      <c r="J589" s="7">
        <v>45503</v>
      </c>
      <c r="K589" s="8" t="str">
        <f t="shared" si="28"/>
        <v/>
      </c>
      <c r="L589" s="8" t="str">
        <f t="shared" si="29"/>
        <v/>
      </c>
      <c r="M589" s="8">
        <f t="shared" si="27"/>
        <v>230</v>
      </c>
      <c r="N589" s="6" t="s">
        <v>26</v>
      </c>
    </row>
    <row r="590" spans="1:14" x14ac:dyDescent="0.2">
      <c r="A590" s="6" t="s">
        <v>417</v>
      </c>
      <c r="B590" s="6" t="s">
        <v>499</v>
      </c>
      <c r="C590" s="6" t="s">
        <v>20</v>
      </c>
      <c r="D590" s="7"/>
      <c r="E590" s="7"/>
      <c r="F590" s="7">
        <v>45273</v>
      </c>
      <c r="G590" s="9">
        <v>1162800</v>
      </c>
      <c r="H590" s="9">
        <v>1029026.55</v>
      </c>
      <c r="I590" s="9">
        <v>133773.45000000001</v>
      </c>
      <c r="J590" s="7">
        <v>45503</v>
      </c>
      <c r="K590" s="8" t="str">
        <f t="shared" si="28"/>
        <v/>
      </c>
      <c r="L590" s="8" t="str">
        <f t="shared" si="29"/>
        <v/>
      </c>
      <c r="M590" s="8">
        <f t="shared" si="27"/>
        <v>230</v>
      </c>
      <c r="N590" s="6" t="s">
        <v>26</v>
      </c>
    </row>
    <row r="591" spans="1:14" x14ac:dyDescent="0.2">
      <c r="A591" s="6" t="s">
        <v>417</v>
      </c>
      <c r="B591" s="6" t="s">
        <v>499</v>
      </c>
      <c r="C591" s="6" t="s">
        <v>20</v>
      </c>
      <c r="D591" s="7"/>
      <c r="E591" s="7"/>
      <c r="F591" s="7">
        <v>45273</v>
      </c>
      <c r="G591" s="9">
        <v>1162800</v>
      </c>
      <c r="H591" s="9">
        <v>1029026.55</v>
      </c>
      <c r="I591" s="9">
        <v>133773.45000000001</v>
      </c>
      <c r="J591" s="7">
        <v>45503</v>
      </c>
      <c r="K591" s="8" t="str">
        <f t="shared" si="28"/>
        <v/>
      </c>
      <c r="L591" s="8" t="str">
        <f t="shared" si="29"/>
        <v/>
      </c>
      <c r="M591" s="8">
        <f t="shared" si="27"/>
        <v>230</v>
      </c>
      <c r="N591" s="6" t="s">
        <v>26</v>
      </c>
    </row>
    <row r="592" spans="1:14" x14ac:dyDescent="0.2">
      <c r="A592" s="6" t="s">
        <v>417</v>
      </c>
      <c r="B592" s="6" t="s">
        <v>499</v>
      </c>
      <c r="C592" s="6" t="s">
        <v>20</v>
      </c>
      <c r="D592" s="7"/>
      <c r="E592" s="7"/>
      <c r="F592" s="7">
        <v>45273</v>
      </c>
      <c r="G592" s="9">
        <v>1162800</v>
      </c>
      <c r="H592" s="9">
        <v>1029026.55</v>
      </c>
      <c r="I592" s="9">
        <v>133773.45000000001</v>
      </c>
      <c r="J592" s="7">
        <v>45503</v>
      </c>
      <c r="K592" s="8" t="str">
        <f t="shared" si="28"/>
        <v/>
      </c>
      <c r="L592" s="8" t="str">
        <f t="shared" si="29"/>
        <v/>
      </c>
      <c r="M592" s="8">
        <f t="shared" si="27"/>
        <v>230</v>
      </c>
      <c r="N592" s="6" t="s">
        <v>26</v>
      </c>
    </row>
    <row r="593" spans="1:14" x14ac:dyDescent="0.2">
      <c r="A593" s="6" t="s">
        <v>417</v>
      </c>
      <c r="B593" s="6" t="s">
        <v>499</v>
      </c>
      <c r="C593" s="6" t="s">
        <v>20</v>
      </c>
      <c r="D593" s="7"/>
      <c r="E593" s="7"/>
      <c r="F593" s="7">
        <v>45273</v>
      </c>
      <c r="G593" s="9">
        <v>1162800</v>
      </c>
      <c r="H593" s="9">
        <v>1029026.55</v>
      </c>
      <c r="I593" s="9">
        <v>133773.45000000001</v>
      </c>
      <c r="J593" s="7">
        <v>45503</v>
      </c>
      <c r="K593" s="8" t="str">
        <f t="shared" si="28"/>
        <v/>
      </c>
      <c r="L593" s="8" t="str">
        <f t="shared" si="29"/>
        <v/>
      </c>
      <c r="M593" s="8">
        <f t="shared" si="27"/>
        <v>230</v>
      </c>
      <c r="N593" s="6" t="s">
        <v>26</v>
      </c>
    </row>
    <row r="594" spans="1:14" x14ac:dyDescent="0.2">
      <c r="A594" s="6" t="s">
        <v>500</v>
      </c>
      <c r="B594" s="6" t="s">
        <v>501</v>
      </c>
      <c r="C594" s="6" t="s">
        <v>20</v>
      </c>
      <c r="D594" s="7">
        <v>45212</v>
      </c>
      <c r="E594" s="7">
        <v>45220</v>
      </c>
      <c r="F594" s="7">
        <v>45274</v>
      </c>
      <c r="G594" s="9">
        <v>198000</v>
      </c>
      <c r="H594" s="9">
        <v>175221.24</v>
      </c>
      <c r="I594" s="9">
        <v>22778.76</v>
      </c>
      <c r="J594" s="7">
        <v>45510</v>
      </c>
      <c r="K594" s="8">
        <f t="shared" si="28"/>
        <v>8</v>
      </c>
      <c r="L594" s="8">
        <f t="shared" si="29"/>
        <v>54</v>
      </c>
      <c r="M594" s="8">
        <f t="shared" si="27"/>
        <v>236</v>
      </c>
      <c r="N594" s="6" t="s">
        <v>26</v>
      </c>
    </row>
    <row r="595" spans="1:14" x14ac:dyDescent="0.2">
      <c r="A595" s="6" t="s">
        <v>500</v>
      </c>
      <c r="B595" s="6" t="s">
        <v>501</v>
      </c>
      <c r="C595" s="6" t="s">
        <v>20</v>
      </c>
      <c r="D595" s="7"/>
      <c r="E595" s="7"/>
      <c r="F595" s="7">
        <v>45274</v>
      </c>
      <c r="G595" s="9">
        <v>198000</v>
      </c>
      <c r="H595" s="9">
        <v>175221.24</v>
      </c>
      <c r="I595" s="9">
        <v>22778.76</v>
      </c>
      <c r="J595" s="7">
        <v>45510</v>
      </c>
      <c r="K595" s="8" t="str">
        <f t="shared" si="28"/>
        <v/>
      </c>
      <c r="L595" s="8" t="str">
        <f t="shared" si="29"/>
        <v/>
      </c>
      <c r="M595" s="8">
        <f t="shared" si="27"/>
        <v>236</v>
      </c>
      <c r="N595" s="6" t="s">
        <v>26</v>
      </c>
    </row>
    <row r="596" spans="1:14" x14ac:dyDescent="0.2">
      <c r="A596" s="6" t="s">
        <v>502</v>
      </c>
      <c r="B596" s="6" t="s">
        <v>503</v>
      </c>
      <c r="C596" s="6" t="s">
        <v>20</v>
      </c>
      <c r="D596" s="7"/>
      <c r="E596" s="7"/>
      <c r="F596" s="7">
        <v>45274</v>
      </c>
      <c r="G596" s="9">
        <v>44000</v>
      </c>
      <c r="H596" s="9">
        <v>38938.050000000003</v>
      </c>
      <c r="I596" s="9">
        <v>5061.95</v>
      </c>
      <c r="J596" s="7">
        <v>45959</v>
      </c>
      <c r="K596" s="8" t="str">
        <f t="shared" si="28"/>
        <v/>
      </c>
      <c r="L596" s="8" t="str">
        <f t="shared" si="29"/>
        <v/>
      </c>
      <c r="M596" s="8">
        <f t="shared" si="27"/>
        <v>685</v>
      </c>
      <c r="N596" s="6" t="s">
        <v>26</v>
      </c>
    </row>
    <row r="597" spans="1:14" x14ac:dyDescent="0.2">
      <c r="A597" s="6" t="s">
        <v>502</v>
      </c>
      <c r="B597" s="6" t="s">
        <v>504</v>
      </c>
      <c r="C597" s="6" t="s">
        <v>20</v>
      </c>
      <c r="D597" s="7"/>
      <c r="E597" s="7"/>
      <c r="F597" s="7">
        <v>45274</v>
      </c>
      <c r="G597" s="9">
        <v>76000</v>
      </c>
      <c r="H597" s="9">
        <v>67256.639999999999</v>
      </c>
      <c r="I597" s="9">
        <v>8743.36</v>
      </c>
      <c r="J597" s="7">
        <v>45959</v>
      </c>
      <c r="K597" s="8" t="str">
        <f t="shared" si="28"/>
        <v/>
      </c>
      <c r="L597" s="8" t="str">
        <f t="shared" si="29"/>
        <v/>
      </c>
      <c r="M597" s="8">
        <f t="shared" si="27"/>
        <v>685</v>
      </c>
      <c r="N597" s="6" t="s">
        <v>26</v>
      </c>
    </row>
    <row r="598" spans="1:14" x14ac:dyDescent="0.2">
      <c r="A598" s="6" t="s">
        <v>109</v>
      </c>
      <c r="B598" s="6" t="s">
        <v>505</v>
      </c>
      <c r="C598" s="6" t="s">
        <v>20</v>
      </c>
      <c r="D598" s="7"/>
      <c r="E598" s="7"/>
      <c r="F598" s="7">
        <v>45275</v>
      </c>
      <c r="G598" s="9">
        <v>4746</v>
      </c>
      <c r="H598" s="9">
        <v>4200</v>
      </c>
      <c r="I598" s="9">
        <v>546</v>
      </c>
      <c r="J598" s="7">
        <v>45294</v>
      </c>
      <c r="K598" s="8" t="str">
        <f t="shared" si="28"/>
        <v/>
      </c>
      <c r="L598" s="8" t="str">
        <f t="shared" si="29"/>
        <v/>
      </c>
      <c r="M598" s="8">
        <f t="shared" si="27"/>
        <v>19</v>
      </c>
      <c r="N598" s="6" t="s">
        <v>26</v>
      </c>
    </row>
    <row r="599" spans="1:14" x14ac:dyDescent="0.2">
      <c r="A599" s="6" t="s">
        <v>109</v>
      </c>
      <c r="B599" s="6" t="s">
        <v>505</v>
      </c>
      <c r="C599" s="6" t="s">
        <v>20</v>
      </c>
      <c r="D599" s="7"/>
      <c r="E599" s="7"/>
      <c r="F599" s="7">
        <v>45275</v>
      </c>
      <c r="G599" s="9">
        <v>4520</v>
      </c>
      <c r="H599" s="9">
        <v>4000</v>
      </c>
      <c r="I599" s="9">
        <v>520</v>
      </c>
      <c r="J599" s="7">
        <v>45294</v>
      </c>
      <c r="K599" s="8" t="str">
        <f t="shared" si="28"/>
        <v/>
      </c>
      <c r="L599" s="8" t="str">
        <f t="shared" si="29"/>
        <v/>
      </c>
      <c r="M599" s="8">
        <f t="shared" si="27"/>
        <v>19</v>
      </c>
      <c r="N599" s="6" t="s">
        <v>26</v>
      </c>
    </row>
    <row r="600" spans="1:14" x14ac:dyDescent="0.2">
      <c r="A600" s="6" t="s">
        <v>506</v>
      </c>
      <c r="B600" s="6" t="s">
        <v>507</v>
      </c>
      <c r="C600" s="6" t="s">
        <v>20</v>
      </c>
      <c r="D600" s="7">
        <v>45219</v>
      </c>
      <c r="E600" s="7">
        <v>45230</v>
      </c>
      <c r="F600" s="7">
        <v>45275</v>
      </c>
      <c r="G600" s="9">
        <v>225879.91</v>
      </c>
      <c r="H600" s="9">
        <v>199893.73</v>
      </c>
      <c r="I600" s="9">
        <v>25986.18</v>
      </c>
      <c r="J600" s="7">
        <v>45295</v>
      </c>
      <c r="K600" s="8">
        <f t="shared" si="28"/>
        <v>11</v>
      </c>
      <c r="L600" s="8">
        <f t="shared" si="29"/>
        <v>45</v>
      </c>
      <c r="M600" s="8">
        <f t="shared" si="27"/>
        <v>20</v>
      </c>
      <c r="N600" s="6" t="s">
        <v>26</v>
      </c>
    </row>
    <row r="601" spans="1:14" x14ac:dyDescent="0.2">
      <c r="A601" s="6" t="s">
        <v>506</v>
      </c>
      <c r="B601" s="6" t="s">
        <v>507</v>
      </c>
      <c r="C601" s="6" t="s">
        <v>20</v>
      </c>
      <c r="D601" s="7"/>
      <c r="E601" s="7"/>
      <c r="F601" s="7">
        <v>45275</v>
      </c>
      <c r="G601" s="9">
        <v>225879.91</v>
      </c>
      <c r="H601" s="9">
        <v>199893.73</v>
      </c>
      <c r="I601" s="9">
        <v>25986.18</v>
      </c>
      <c r="J601" s="7">
        <v>45295</v>
      </c>
      <c r="K601" s="8" t="str">
        <f t="shared" si="28"/>
        <v/>
      </c>
      <c r="L601" s="8" t="str">
        <f t="shared" si="29"/>
        <v/>
      </c>
      <c r="M601" s="8">
        <f t="shared" si="27"/>
        <v>20</v>
      </c>
      <c r="N601" s="6" t="s">
        <v>26</v>
      </c>
    </row>
    <row r="602" spans="1:14" x14ac:dyDescent="0.2">
      <c r="A602" s="6" t="s">
        <v>152</v>
      </c>
      <c r="B602" s="6" t="s">
        <v>508</v>
      </c>
      <c r="C602" s="6" t="s">
        <v>20</v>
      </c>
      <c r="D602" s="7">
        <v>45203</v>
      </c>
      <c r="E602" s="7">
        <v>45207</v>
      </c>
      <c r="F602" s="7">
        <v>45278</v>
      </c>
      <c r="G602" s="9">
        <v>2.09</v>
      </c>
      <c r="H602" s="9">
        <v>1.85</v>
      </c>
      <c r="I602" s="9">
        <v>0.24</v>
      </c>
      <c r="J602" s="7">
        <v>45309</v>
      </c>
      <c r="K602" s="8">
        <f t="shared" si="28"/>
        <v>4</v>
      </c>
      <c r="L602" s="8">
        <f t="shared" si="29"/>
        <v>71</v>
      </c>
      <c r="M602" s="8">
        <f t="shared" si="27"/>
        <v>31</v>
      </c>
      <c r="N602" s="6" t="s">
        <v>26</v>
      </c>
    </row>
    <row r="603" spans="1:14" x14ac:dyDescent="0.2">
      <c r="A603" s="6" t="s">
        <v>36</v>
      </c>
      <c r="B603" s="6" t="s">
        <v>509</v>
      </c>
      <c r="C603" s="6" t="s">
        <v>20</v>
      </c>
      <c r="D603" s="7">
        <v>44926</v>
      </c>
      <c r="E603" s="7">
        <v>45022</v>
      </c>
      <c r="F603" s="7">
        <v>45278</v>
      </c>
      <c r="G603" s="9">
        <v>504000</v>
      </c>
      <c r="H603" s="9">
        <v>446017.7</v>
      </c>
      <c r="I603" s="9">
        <v>57982.3</v>
      </c>
      <c r="J603" s="7">
        <v>45315</v>
      </c>
      <c r="K603" s="8">
        <f t="shared" si="28"/>
        <v>96</v>
      </c>
      <c r="L603" s="8">
        <f t="shared" si="29"/>
        <v>256</v>
      </c>
      <c r="M603" s="8">
        <f t="shared" si="27"/>
        <v>37</v>
      </c>
      <c r="N603" s="6" t="s">
        <v>26</v>
      </c>
    </row>
    <row r="604" spans="1:14" x14ac:dyDescent="0.2">
      <c r="A604" s="6" t="s">
        <v>36</v>
      </c>
      <c r="B604" s="6" t="s">
        <v>509</v>
      </c>
      <c r="C604" s="6" t="s">
        <v>20</v>
      </c>
      <c r="D604" s="7"/>
      <c r="E604" s="7"/>
      <c r="F604" s="7">
        <v>45278</v>
      </c>
      <c r="G604" s="9">
        <v>504000</v>
      </c>
      <c r="H604" s="9">
        <v>446017.7</v>
      </c>
      <c r="I604" s="9">
        <v>57982.3</v>
      </c>
      <c r="J604" s="7">
        <v>45315</v>
      </c>
      <c r="K604" s="8" t="str">
        <f t="shared" si="28"/>
        <v/>
      </c>
      <c r="L604" s="8" t="str">
        <f t="shared" si="29"/>
        <v/>
      </c>
      <c r="M604" s="8">
        <f t="shared" si="27"/>
        <v>37</v>
      </c>
      <c r="N604" s="6" t="s">
        <v>26</v>
      </c>
    </row>
    <row r="605" spans="1:14" x14ac:dyDescent="0.2">
      <c r="A605" s="6" t="s">
        <v>36</v>
      </c>
      <c r="B605" s="6" t="s">
        <v>509</v>
      </c>
      <c r="C605" s="6" t="s">
        <v>20</v>
      </c>
      <c r="D605" s="7"/>
      <c r="E605" s="7"/>
      <c r="F605" s="7">
        <v>45278</v>
      </c>
      <c r="G605" s="9">
        <v>504000</v>
      </c>
      <c r="H605" s="9">
        <v>446017.7</v>
      </c>
      <c r="I605" s="9">
        <v>57982.3</v>
      </c>
      <c r="J605" s="7">
        <v>45315</v>
      </c>
      <c r="K605" s="8" t="str">
        <f t="shared" si="28"/>
        <v/>
      </c>
      <c r="L605" s="8" t="str">
        <f t="shared" si="29"/>
        <v/>
      </c>
      <c r="M605" s="8">
        <f t="shared" si="27"/>
        <v>37</v>
      </c>
      <c r="N605" s="6" t="s">
        <v>26</v>
      </c>
    </row>
    <row r="606" spans="1:14" x14ac:dyDescent="0.2">
      <c r="A606" s="6" t="s">
        <v>36</v>
      </c>
      <c r="B606" s="6" t="s">
        <v>509</v>
      </c>
      <c r="C606" s="6" t="s">
        <v>20</v>
      </c>
      <c r="D606" s="7"/>
      <c r="E606" s="7"/>
      <c r="F606" s="7">
        <v>45278</v>
      </c>
      <c r="G606" s="9">
        <v>504000</v>
      </c>
      <c r="H606" s="9">
        <v>446017.7</v>
      </c>
      <c r="I606" s="9">
        <v>57982.3</v>
      </c>
      <c r="J606" s="7">
        <v>45315</v>
      </c>
      <c r="K606" s="8" t="str">
        <f t="shared" si="28"/>
        <v/>
      </c>
      <c r="L606" s="8" t="str">
        <f t="shared" si="29"/>
        <v/>
      </c>
      <c r="M606" s="8">
        <f t="shared" si="27"/>
        <v>37</v>
      </c>
      <c r="N606" s="6" t="s">
        <v>26</v>
      </c>
    </row>
    <row r="607" spans="1:14" x14ac:dyDescent="0.2">
      <c r="A607" s="6" t="s">
        <v>36</v>
      </c>
      <c r="B607" s="6" t="s">
        <v>509</v>
      </c>
      <c r="C607" s="6" t="s">
        <v>20</v>
      </c>
      <c r="D607" s="7"/>
      <c r="E607" s="7"/>
      <c r="F607" s="7">
        <v>45278</v>
      </c>
      <c r="G607" s="9">
        <v>504000</v>
      </c>
      <c r="H607" s="9">
        <v>446017.7</v>
      </c>
      <c r="I607" s="9">
        <v>57982.3</v>
      </c>
      <c r="J607" s="7">
        <v>45315</v>
      </c>
      <c r="K607" s="8" t="str">
        <f t="shared" si="28"/>
        <v/>
      </c>
      <c r="L607" s="8" t="str">
        <f t="shared" si="29"/>
        <v/>
      </c>
      <c r="M607" s="8">
        <f t="shared" si="27"/>
        <v>37</v>
      </c>
      <c r="N607" s="6" t="s">
        <v>26</v>
      </c>
    </row>
    <row r="608" spans="1:14" x14ac:dyDescent="0.2">
      <c r="A608" s="6" t="s">
        <v>510</v>
      </c>
      <c r="B608" s="6" t="s">
        <v>511</v>
      </c>
      <c r="C608" s="6" t="s">
        <v>20</v>
      </c>
      <c r="D608" s="7">
        <v>44736</v>
      </c>
      <c r="E608" s="7">
        <v>44736</v>
      </c>
      <c r="F608" s="7">
        <v>45278</v>
      </c>
      <c r="G608" s="9">
        <v>53000</v>
      </c>
      <c r="H608" s="9">
        <v>50000</v>
      </c>
      <c r="I608" s="9">
        <v>3000</v>
      </c>
      <c r="J608" s="7">
        <v>45317</v>
      </c>
      <c r="K608" s="8">
        <f t="shared" si="28"/>
        <v>0</v>
      </c>
      <c r="L608" s="8">
        <f t="shared" si="29"/>
        <v>542</v>
      </c>
      <c r="M608" s="8">
        <f t="shared" si="27"/>
        <v>39</v>
      </c>
      <c r="N608" s="6" t="s">
        <v>26</v>
      </c>
    </row>
    <row r="609" spans="1:14" x14ac:dyDescent="0.2">
      <c r="A609" s="6" t="s">
        <v>512</v>
      </c>
      <c r="B609" s="6" t="s">
        <v>513</v>
      </c>
      <c r="C609" s="6" t="s">
        <v>20</v>
      </c>
      <c r="D609" s="7">
        <v>45231</v>
      </c>
      <c r="E609" s="7">
        <v>45237</v>
      </c>
      <c r="F609" s="7">
        <v>45280</v>
      </c>
      <c r="G609" s="9">
        <v>36500</v>
      </c>
      <c r="H609" s="9">
        <v>32300.880000000001</v>
      </c>
      <c r="I609" s="9">
        <v>4199.12</v>
      </c>
      <c r="J609" s="7">
        <v>45317</v>
      </c>
      <c r="K609" s="8">
        <f t="shared" si="28"/>
        <v>6</v>
      </c>
      <c r="L609" s="8">
        <f t="shared" si="29"/>
        <v>43</v>
      </c>
      <c r="M609" s="8">
        <f t="shared" si="27"/>
        <v>37</v>
      </c>
      <c r="N609" s="6" t="s">
        <v>26</v>
      </c>
    </row>
    <row r="610" spans="1:14" x14ac:dyDescent="0.2">
      <c r="A610" s="6" t="s">
        <v>425</v>
      </c>
      <c r="B610" s="6" t="s">
        <v>514</v>
      </c>
      <c r="C610" s="6" t="s">
        <v>20</v>
      </c>
      <c r="D610" s="7"/>
      <c r="E610" s="7"/>
      <c r="F610" s="7">
        <v>45281</v>
      </c>
      <c r="G610" s="9">
        <v>119690</v>
      </c>
      <c r="H610" s="9">
        <v>109807.34</v>
      </c>
      <c r="I610" s="9">
        <v>9882.66</v>
      </c>
      <c r="J610" s="7">
        <v>45315</v>
      </c>
      <c r="K610" s="8" t="str">
        <f t="shared" si="28"/>
        <v/>
      </c>
      <c r="L610" s="8" t="str">
        <f t="shared" si="29"/>
        <v/>
      </c>
      <c r="M610" s="8">
        <f t="shared" si="27"/>
        <v>34</v>
      </c>
      <c r="N610" s="6" t="s">
        <v>26</v>
      </c>
    </row>
    <row r="611" spans="1:14" x14ac:dyDescent="0.2">
      <c r="A611" s="6" t="s">
        <v>425</v>
      </c>
      <c r="B611" s="6" t="s">
        <v>514</v>
      </c>
      <c r="C611" s="6" t="s">
        <v>20</v>
      </c>
      <c r="D611" s="7"/>
      <c r="E611" s="7"/>
      <c r="F611" s="7">
        <v>45281</v>
      </c>
      <c r="G611" s="9">
        <v>119690</v>
      </c>
      <c r="H611" s="9">
        <v>109807.34</v>
      </c>
      <c r="I611" s="9">
        <v>9882.66</v>
      </c>
      <c r="J611" s="7">
        <v>45315</v>
      </c>
      <c r="K611" s="8" t="str">
        <f t="shared" si="28"/>
        <v/>
      </c>
      <c r="L611" s="8" t="str">
        <f t="shared" si="29"/>
        <v/>
      </c>
      <c r="M611" s="8">
        <f t="shared" si="27"/>
        <v>34</v>
      </c>
      <c r="N611" s="6" t="s">
        <v>26</v>
      </c>
    </row>
    <row r="612" spans="1:14" x14ac:dyDescent="0.2">
      <c r="A612" s="6" t="s">
        <v>515</v>
      </c>
      <c r="B612" s="6" t="s">
        <v>516</v>
      </c>
      <c r="C612" s="6" t="s">
        <v>20</v>
      </c>
      <c r="D612" s="7"/>
      <c r="E612" s="7"/>
      <c r="F612" s="7">
        <v>45282</v>
      </c>
      <c r="G612" s="9">
        <v>5000</v>
      </c>
      <c r="H612" s="9">
        <v>4716.9799999999996</v>
      </c>
      <c r="I612" s="9">
        <v>283.02</v>
      </c>
      <c r="J612" s="7"/>
      <c r="K612" s="8" t="str">
        <f t="shared" si="28"/>
        <v/>
      </c>
      <c r="L612" s="8" t="str">
        <f t="shared" si="29"/>
        <v/>
      </c>
      <c r="M612" s="8" t="str">
        <f t="shared" si="27"/>
        <v/>
      </c>
      <c r="N612" s="6" t="s">
        <v>21</v>
      </c>
    </row>
    <row r="613" spans="1:14" x14ac:dyDescent="0.2">
      <c r="A613" s="6" t="s">
        <v>506</v>
      </c>
      <c r="B613" s="6" t="s">
        <v>507</v>
      </c>
      <c r="C613" s="6" t="s">
        <v>20</v>
      </c>
      <c r="D613" s="7"/>
      <c r="E613" s="7"/>
      <c r="F613" s="7">
        <v>45302</v>
      </c>
      <c r="G613" s="9">
        <v>56469.98</v>
      </c>
      <c r="H613" s="9">
        <v>49973.43</v>
      </c>
      <c r="I613" s="9">
        <v>6496.55</v>
      </c>
      <c r="J613" s="7">
        <v>45330</v>
      </c>
      <c r="K613" s="8" t="str">
        <f t="shared" si="28"/>
        <v/>
      </c>
      <c r="L613" s="8" t="str">
        <f t="shared" si="29"/>
        <v/>
      </c>
      <c r="M613" s="8">
        <f t="shared" si="27"/>
        <v>28</v>
      </c>
      <c r="N613" s="6" t="s">
        <v>26</v>
      </c>
    </row>
    <row r="614" spans="1:14" x14ac:dyDescent="0.2">
      <c r="A614" s="6" t="s">
        <v>331</v>
      </c>
      <c r="B614" s="6" t="s">
        <v>517</v>
      </c>
      <c r="C614" s="6" t="s">
        <v>20</v>
      </c>
      <c r="D614" s="7"/>
      <c r="E614" s="7"/>
      <c r="F614" s="7">
        <v>45302</v>
      </c>
      <c r="G614" s="9">
        <v>8983.48</v>
      </c>
      <c r="H614" s="9">
        <v>157.52000000000001</v>
      </c>
      <c r="I614" s="9">
        <v>8825.9599999999991</v>
      </c>
      <c r="J614" s="7">
        <v>45460</v>
      </c>
      <c r="K614" s="8" t="str">
        <f t="shared" si="28"/>
        <v/>
      </c>
      <c r="L614" s="8" t="str">
        <f t="shared" si="29"/>
        <v/>
      </c>
      <c r="M614" s="8">
        <f t="shared" si="27"/>
        <v>158</v>
      </c>
      <c r="N614" s="6" t="s">
        <v>26</v>
      </c>
    </row>
    <row r="615" spans="1:14" x14ac:dyDescent="0.2">
      <c r="A615" s="6" t="s">
        <v>47</v>
      </c>
      <c r="B615" s="6" t="s">
        <v>518</v>
      </c>
      <c r="C615" s="6" t="s">
        <v>20</v>
      </c>
      <c r="D615" s="7"/>
      <c r="E615" s="7"/>
      <c r="F615" s="7">
        <v>45302</v>
      </c>
      <c r="G615" s="9">
        <v>337900</v>
      </c>
      <c r="H615" s="9">
        <v>299026.55</v>
      </c>
      <c r="I615" s="9">
        <v>38873.449999999997</v>
      </c>
      <c r="J615" s="7">
        <v>45314</v>
      </c>
      <c r="K615" s="8" t="str">
        <f t="shared" si="28"/>
        <v/>
      </c>
      <c r="L615" s="8" t="str">
        <f t="shared" si="29"/>
        <v/>
      </c>
      <c r="M615" s="8">
        <f t="shared" si="27"/>
        <v>12</v>
      </c>
      <c r="N615" s="6" t="s">
        <v>26</v>
      </c>
    </row>
    <row r="616" spans="1:14" x14ac:dyDescent="0.2">
      <c r="A616" s="6" t="s">
        <v>47</v>
      </c>
      <c r="B616" s="6" t="s">
        <v>519</v>
      </c>
      <c r="C616" s="6" t="s">
        <v>20</v>
      </c>
      <c r="D616" s="7"/>
      <c r="E616" s="7"/>
      <c r="F616" s="7">
        <v>45302</v>
      </c>
      <c r="G616" s="9">
        <v>244000</v>
      </c>
      <c r="H616" s="9">
        <v>215929.2</v>
      </c>
      <c r="I616" s="9">
        <v>28070.799999999999</v>
      </c>
      <c r="J616" s="7">
        <v>45314</v>
      </c>
      <c r="K616" s="8" t="str">
        <f t="shared" si="28"/>
        <v/>
      </c>
      <c r="L616" s="8" t="str">
        <f t="shared" si="29"/>
        <v/>
      </c>
      <c r="M616" s="8">
        <f t="shared" si="27"/>
        <v>12</v>
      </c>
      <c r="N616" s="6" t="s">
        <v>26</v>
      </c>
    </row>
    <row r="617" spans="1:14" x14ac:dyDescent="0.2">
      <c r="A617" s="6" t="s">
        <v>47</v>
      </c>
      <c r="B617" s="6" t="s">
        <v>520</v>
      </c>
      <c r="C617" s="6" t="s">
        <v>20</v>
      </c>
      <c r="D617" s="7"/>
      <c r="E617" s="7"/>
      <c r="F617" s="7">
        <v>45302</v>
      </c>
      <c r="G617" s="9">
        <v>492300</v>
      </c>
      <c r="H617" s="9">
        <v>435663.72</v>
      </c>
      <c r="I617" s="9">
        <v>56636.28</v>
      </c>
      <c r="J617" s="7">
        <v>45314</v>
      </c>
      <c r="K617" s="8" t="str">
        <f t="shared" si="28"/>
        <v/>
      </c>
      <c r="L617" s="8" t="str">
        <f t="shared" si="29"/>
        <v/>
      </c>
      <c r="M617" s="8">
        <f t="shared" si="27"/>
        <v>12</v>
      </c>
      <c r="N617" s="6" t="s">
        <v>26</v>
      </c>
    </row>
    <row r="618" spans="1:14" x14ac:dyDescent="0.2">
      <c r="A618" s="6" t="s">
        <v>47</v>
      </c>
      <c r="B618" s="6" t="s">
        <v>521</v>
      </c>
      <c r="C618" s="6" t="s">
        <v>20</v>
      </c>
      <c r="D618" s="7"/>
      <c r="E618" s="7"/>
      <c r="F618" s="7">
        <v>45302</v>
      </c>
      <c r="G618" s="9">
        <v>323400</v>
      </c>
      <c r="H618" s="9">
        <v>286194.69</v>
      </c>
      <c r="I618" s="9">
        <v>37205.31</v>
      </c>
      <c r="J618" s="7">
        <v>45314</v>
      </c>
      <c r="K618" s="8" t="str">
        <f t="shared" si="28"/>
        <v/>
      </c>
      <c r="L618" s="8" t="str">
        <f t="shared" si="29"/>
        <v/>
      </c>
      <c r="M618" s="8">
        <f t="shared" si="27"/>
        <v>12</v>
      </c>
      <c r="N618" s="6" t="s">
        <v>26</v>
      </c>
    </row>
    <row r="619" spans="1:14" x14ac:dyDescent="0.2">
      <c r="A619" s="6" t="s">
        <v>522</v>
      </c>
      <c r="B619" s="6" t="s">
        <v>523</v>
      </c>
      <c r="C619" s="6" t="s">
        <v>20</v>
      </c>
      <c r="D619" s="7"/>
      <c r="E619" s="7"/>
      <c r="F619" s="7">
        <v>45306</v>
      </c>
      <c r="G619" s="9">
        <v>150000</v>
      </c>
      <c r="H619" s="9">
        <v>132743.35999999999</v>
      </c>
      <c r="I619" s="9">
        <v>17256.64</v>
      </c>
      <c r="J619" s="7">
        <v>45317</v>
      </c>
      <c r="K619" s="8" t="str">
        <f t="shared" si="28"/>
        <v/>
      </c>
      <c r="L619" s="8" t="str">
        <f t="shared" si="29"/>
        <v/>
      </c>
      <c r="M619" s="8">
        <f t="shared" si="27"/>
        <v>11</v>
      </c>
      <c r="N619" s="6" t="s">
        <v>26</v>
      </c>
    </row>
    <row r="620" spans="1:14" x14ac:dyDescent="0.2">
      <c r="A620" s="6" t="s">
        <v>524</v>
      </c>
      <c r="B620" s="6" t="s">
        <v>525</v>
      </c>
      <c r="C620" s="6" t="s">
        <v>20</v>
      </c>
      <c r="D620" s="7"/>
      <c r="E620" s="7"/>
      <c r="F620" s="7">
        <v>45306</v>
      </c>
      <c r="G620" s="9">
        <v>45000</v>
      </c>
      <c r="H620" s="9">
        <v>39823.01</v>
      </c>
      <c r="I620" s="9">
        <v>5176.99</v>
      </c>
      <c r="J620" s="7">
        <v>45321</v>
      </c>
      <c r="K620" s="8" t="str">
        <f t="shared" si="28"/>
        <v/>
      </c>
      <c r="L620" s="8" t="str">
        <f t="shared" si="29"/>
        <v/>
      </c>
      <c r="M620" s="8">
        <f t="shared" si="27"/>
        <v>15</v>
      </c>
      <c r="N620" s="6" t="s">
        <v>26</v>
      </c>
    </row>
    <row r="621" spans="1:14" x14ac:dyDescent="0.2">
      <c r="A621" s="6" t="s">
        <v>526</v>
      </c>
      <c r="B621" s="6" t="s">
        <v>527</v>
      </c>
      <c r="C621" s="6" t="s">
        <v>20</v>
      </c>
      <c r="D621" s="7"/>
      <c r="E621" s="7"/>
      <c r="F621" s="7">
        <v>45306</v>
      </c>
      <c r="G621" s="9">
        <v>45000</v>
      </c>
      <c r="H621" s="9">
        <v>39823.01</v>
      </c>
      <c r="I621" s="9">
        <v>5176.99</v>
      </c>
      <c r="J621" s="7">
        <v>45316</v>
      </c>
      <c r="K621" s="8" t="str">
        <f t="shared" si="28"/>
        <v/>
      </c>
      <c r="L621" s="8" t="str">
        <f t="shared" si="29"/>
        <v/>
      </c>
      <c r="M621" s="8">
        <f t="shared" si="27"/>
        <v>10</v>
      </c>
      <c r="N621" s="6" t="s">
        <v>26</v>
      </c>
    </row>
    <row r="622" spans="1:14" x14ac:dyDescent="0.2">
      <c r="A622" s="6" t="s">
        <v>158</v>
      </c>
      <c r="B622" s="6" t="s">
        <v>528</v>
      </c>
      <c r="C622" s="6" t="s">
        <v>20</v>
      </c>
      <c r="D622" s="7"/>
      <c r="E622" s="7"/>
      <c r="F622" s="7">
        <v>45306</v>
      </c>
      <c r="G622" s="9">
        <v>38000</v>
      </c>
      <c r="H622" s="9">
        <v>33628.32</v>
      </c>
      <c r="I622" s="9">
        <v>4371.68</v>
      </c>
      <c r="J622" s="7">
        <v>45701</v>
      </c>
      <c r="K622" s="8" t="str">
        <f t="shared" si="28"/>
        <v/>
      </c>
      <c r="L622" s="8" t="str">
        <f t="shared" si="29"/>
        <v/>
      </c>
      <c r="M622" s="8">
        <f t="shared" si="27"/>
        <v>395</v>
      </c>
      <c r="N622" s="6" t="s">
        <v>26</v>
      </c>
    </row>
    <row r="623" spans="1:14" x14ac:dyDescent="0.2">
      <c r="A623" s="6" t="s">
        <v>529</v>
      </c>
      <c r="B623" s="6" t="s">
        <v>530</v>
      </c>
      <c r="C623" s="6" t="s">
        <v>20</v>
      </c>
      <c r="D623" s="7"/>
      <c r="E623" s="7"/>
      <c r="F623" s="7">
        <v>45306</v>
      </c>
      <c r="G623" s="9">
        <v>64000</v>
      </c>
      <c r="H623" s="9">
        <v>56637.17</v>
      </c>
      <c r="I623" s="9">
        <v>7362.83</v>
      </c>
      <c r="J623" s="7"/>
      <c r="K623" s="8" t="str">
        <f t="shared" si="28"/>
        <v/>
      </c>
      <c r="L623" s="8" t="str">
        <f t="shared" si="29"/>
        <v/>
      </c>
      <c r="M623" s="8" t="str">
        <f t="shared" si="27"/>
        <v/>
      </c>
      <c r="N623" s="6" t="s">
        <v>21</v>
      </c>
    </row>
    <row r="624" spans="1:14" x14ac:dyDescent="0.2">
      <c r="A624" s="6" t="s">
        <v>529</v>
      </c>
      <c r="B624" s="6" t="s">
        <v>531</v>
      </c>
      <c r="C624" s="6" t="s">
        <v>20</v>
      </c>
      <c r="D624" s="7"/>
      <c r="E624" s="7"/>
      <c r="F624" s="7">
        <v>45306</v>
      </c>
      <c r="G624" s="9">
        <v>95200</v>
      </c>
      <c r="H624" s="9">
        <v>84247.79</v>
      </c>
      <c r="I624" s="9">
        <v>10952.21</v>
      </c>
      <c r="J624" s="7"/>
      <c r="K624" s="8" t="str">
        <f t="shared" si="28"/>
        <v/>
      </c>
      <c r="L624" s="8" t="str">
        <f t="shared" si="29"/>
        <v/>
      </c>
      <c r="M624" s="8" t="str">
        <f t="shared" si="27"/>
        <v/>
      </c>
      <c r="N624" s="6" t="s">
        <v>21</v>
      </c>
    </row>
    <row r="625" spans="1:14" x14ac:dyDescent="0.2">
      <c r="A625" s="6" t="s">
        <v>18</v>
      </c>
      <c r="B625" s="6" t="s">
        <v>19</v>
      </c>
      <c r="C625" s="6" t="s">
        <v>20</v>
      </c>
      <c r="D625" s="7"/>
      <c r="E625" s="7"/>
      <c r="F625" s="7">
        <v>45306</v>
      </c>
      <c r="G625" s="9">
        <v>27450</v>
      </c>
      <c r="H625" s="9">
        <v>24292.04</v>
      </c>
      <c r="I625" s="9">
        <v>3157.96</v>
      </c>
      <c r="J625" s="7"/>
      <c r="K625" s="8" t="str">
        <f t="shared" si="28"/>
        <v/>
      </c>
      <c r="L625" s="8" t="str">
        <f t="shared" si="29"/>
        <v/>
      </c>
      <c r="M625" s="8" t="str">
        <f t="shared" si="27"/>
        <v/>
      </c>
      <c r="N625" s="6" t="s">
        <v>21</v>
      </c>
    </row>
    <row r="626" spans="1:14" x14ac:dyDescent="0.2">
      <c r="A626" s="6" t="s">
        <v>442</v>
      </c>
      <c r="B626" s="6" t="s">
        <v>532</v>
      </c>
      <c r="C626" s="6" t="s">
        <v>20</v>
      </c>
      <c r="D626" s="7"/>
      <c r="E626" s="7"/>
      <c r="F626" s="7">
        <v>45306</v>
      </c>
      <c r="G626" s="9">
        <v>30000</v>
      </c>
      <c r="H626" s="9">
        <v>26548.67</v>
      </c>
      <c r="I626" s="9">
        <v>3451.33</v>
      </c>
      <c r="J626" s="7">
        <v>45791</v>
      </c>
      <c r="K626" s="8" t="str">
        <f t="shared" si="28"/>
        <v/>
      </c>
      <c r="L626" s="8" t="str">
        <f t="shared" si="29"/>
        <v/>
      </c>
      <c r="M626" s="8">
        <f t="shared" si="27"/>
        <v>485</v>
      </c>
      <c r="N626" s="6" t="s">
        <v>26</v>
      </c>
    </row>
    <row r="627" spans="1:14" x14ac:dyDescent="0.2">
      <c r="A627" s="6" t="s">
        <v>533</v>
      </c>
      <c r="B627" s="6" t="s">
        <v>534</v>
      </c>
      <c r="C627" s="6" t="s">
        <v>20</v>
      </c>
      <c r="D627" s="7"/>
      <c r="E627" s="7">
        <v>45056</v>
      </c>
      <c r="F627" s="7">
        <v>45307</v>
      </c>
      <c r="G627" s="9">
        <v>172000</v>
      </c>
      <c r="H627" s="9">
        <v>152212.39000000001</v>
      </c>
      <c r="I627" s="9">
        <v>19787.61</v>
      </c>
      <c r="J627" s="7">
        <v>45645</v>
      </c>
      <c r="K627" s="8" t="str">
        <f t="shared" si="28"/>
        <v/>
      </c>
      <c r="L627" s="8" t="str">
        <f t="shared" si="29"/>
        <v/>
      </c>
      <c r="M627" s="8">
        <f t="shared" si="27"/>
        <v>338</v>
      </c>
      <c r="N627" s="6" t="s">
        <v>26</v>
      </c>
    </row>
    <row r="628" spans="1:14" x14ac:dyDescent="0.2">
      <c r="A628" s="6" t="s">
        <v>187</v>
      </c>
      <c r="B628" s="6" t="s">
        <v>320</v>
      </c>
      <c r="C628" s="6" t="s">
        <v>20</v>
      </c>
      <c r="D628" s="7"/>
      <c r="E628" s="7"/>
      <c r="F628" s="7">
        <v>45307</v>
      </c>
      <c r="G628" s="9">
        <v>20000.009999999998</v>
      </c>
      <c r="H628" s="9">
        <v>17699.12</v>
      </c>
      <c r="I628" s="9">
        <v>2300.89</v>
      </c>
      <c r="J628" s="7">
        <v>45433</v>
      </c>
      <c r="K628" s="8" t="str">
        <f t="shared" si="28"/>
        <v/>
      </c>
      <c r="L628" s="8" t="str">
        <f t="shared" si="29"/>
        <v/>
      </c>
      <c r="M628" s="8">
        <f t="shared" si="27"/>
        <v>126</v>
      </c>
      <c r="N628" s="6" t="s">
        <v>26</v>
      </c>
    </row>
    <row r="629" spans="1:14" x14ac:dyDescent="0.2">
      <c r="A629" s="6" t="s">
        <v>187</v>
      </c>
      <c r="B629" s="6" t="s">
        <v>320</v>
      </c>
      <c r="C629" s="6" t="s">
        <v>20</v>
      </c>
      <c r="D629" s="7"/>
      <c r="E629" s="7"/>
      <c r="F629" s="7">
        <v>45307</v>
      </c>
      <c r="G629" s="9">
        <v>20000.009999999998</v>
      </c>
      <c r="H629" s="9">
        <v>17699.12</v>
      </c>
      <c r="I629" s="9">
        <v>2300.89</v>
      </c>
      <c r="J629" s="7">
        <v>45433</v>
      </c>
      <c r="K629" s="8" t="str">
        <f t="shared" si="28"/>
        <v/>
      </c>
      <c r="L629" s="8" t="str">
        <f t="shared" si="29"/>
        <v/>
      </c>
      <c r="M629" s="8">
        <f t="shared" si="27"/>
        <v>126</v>
      </c>
      <c r="N629" s="6" t="s">
        <v>26</v>
      </c>
    </row>
    <row r="630" spans="1:14" x14ac:dyDescent="0.2">
      <c r="A630" s="6" t="s">
        <v>535</v>
      </c>
      <c r="B630" s="6" t="s">
        <v>536</v>
      </c>
      <c r="C630" s="6" t="s">
        <v>33</v>
      </c>
      <c r="D630" s="7"/>
      <c r="E630" s="7"/>
      <c r="F630" s="7">
        <v>45308</v>
      </c>
      <c r="G630" s="9">
        <v>43000</v>
      </c>
      <c r="H630" s="9">
        <v>38053.1</v>
      </c>
      <c r="I630" s="9">
        <v>4946.8999999999996</v>
      </c>
      <c r="J630" s="7">
        <v>45376</v>
      </c>
      <c r="K630" s="8" t="str">
        <f t="shared" si="28"/>
        <v/>
      </c>
      <c r="L630" s="8" t="str">
        <f t="shared" si="29"/>
        <v/>
      </c>
      <c r="M630" s="8">
        <f t="shared" si="27"/>
        <v>68</v>
      </c>
      <c r="N630" s="6" t="s">
        <v>26</v>
      </c>
    </row>
    <row r="631" spans="1:14" x14ac:dyDescent="0.2">
      <c r="A631" s="6" t="s">
        <v>537</v>
      </c>
      <c r="B631" s="6" t="s">
        <v>538</v>
      </c>
      <c r="C631" s="6" t="s">
        <v>33</v>
      </c>
      <c r="D631" s="7"/>
      <c r="E631" s="7"/>
      <c r="F631" s="7">
        <v>45308</v>
      </c>
      <c r="G631" s="9">
        <v>35000</v>
      </c>
      <c r="H631" s="9">
        <v>30973.45</v>
      </c>
      <c r="I631" s="9">
        <v>4026.55</v>
      </c>
      <c r="J631" s="7"/>
      <c r="K631" s="8" t="str">
        <f t="shared" si="28"/>
        <v/>
      </c>
      <c r="L631" s="8" t="str">
        <f t="shared" si="29"/>
        <v/>
      </c>
      <c r="M631" s="8" t="str">
        <f t="shared" si="27"/>
        <v/>
      </c>
      <c r="N631" s="6" t="s">
        <v>21</v>
      </c>
    </row>
    <row r="632" spans="1:14" x14ac:dyDescent="0.2">
      <c r="A632" s="6" t="s">
        <v>533</v>
      </c>
      <c r="B632" s="6" t="s">
        <v>534</v>
      </c>
      <c r="C632" s="6" t="s">
        <v>20</v>
      </c>
      <c r="D632" s="7"/>
      <c r="E632" s="7"/>
      <c r="F632" s="7">
        <v>45309</v>
      </c>
      <c r="G632" s="9">
        <v>15000</v>
      </c>
      <c r="H632" s="9">
        <v>13274.34</v>
      </c>
      <c r="I632" s="9">
        <v>1725.66</v>
      </c>
      <c r="J632" s="7">
        <v>45645</v>
      </c>
      <c r="K632" s="8" t="str">
        <f t="shared" si="28"/>
        <v/>
      </c>
      <c r="L632" s="8" t="str">
        <f t="shared" si="29"/>
        <v/>
      </c>
      <c r="M632" s="8">
        <f t="shared" si="27"/>
        <v>336</v>
      </c>
      <c r="N632" s="6" t="s">
        <v>26</v>
      </c>
    </row>
    <row r="633" spans="1:14" x14ac:dyDescent="0.2">
      <c r="A633" s="6" t="s">
        <v>118</v>
      </c>
      <c r="B633" s="6" t="s">
        <v>539</v>
      </c>
      <c r="C633" s="6" t="s">
        <v>33</v>
      </c>
      <c r="D633" s="7"/>
      <c r="E633" s="7">
        <v>45162</v>
      </c>
      <c r="F633" s="7">
        <v>45310</v>
      </c>
      <c r="G633" s="9">
        <v>276000</v>
      </c>
      <c r="H633" s="9">
        <v>260377.36</v>
      </c>
      <c r="I633" s="9">
        <v>15622.64</v>
      </c>
      <c r="J633" s="7"/>
      <c r="K633" s="8" t="str">
        <f t="shared" si="28"/>
        <v/>
      </c>
      <c r="L633" s="8" t="str">
        <f t="shared" si="29"/>
        <v/>
      </c>
      <c r="M633" s="8" t="str">
        <f t="shared" si="27"/>
        <v/>
      </c>
      <c r="N633" s="6" t="s">
        <v>21</v>
      </c>
    </row>
    <row r="634" spans="1:14" x14ac:dyDescent="0.2">
      <c r="A634" s="6" t="s">
        <v>540</v>
      </c>
      <c r="B634" s="6" t="s">
        <v>541</v>
      </c>
      <c r="C634" s="6" t="s">
        <v>20</v>
      </c>
      <c r="D634" s="7"/>
      <c r="E634" s="7">
        <v>45227</v>
      </c>
      <c r="F634" s="7">
        <v>45310</v>
      </c>
      <c r="G634" s="9">
        <v>545000</v>
      </c>
      <c r="H634" s="9">
        <v>482300.88</v>
      </c>
      <c r="I634" s="9">
        <v>62699.12</v>
      </c>
      <c r="J634" s="7">
        <v>45351</v>
      </c>
      <c r="K634" s="8" t="str">
        <f t="shared" si="28"/>
        <v/>
      </c>
      <c r="L634" s="8" t="str">
        <f t="shared" si="29"/>
        <v/>
      </c>
      <c r="M634" s="8">
        <f t="shared" si="27"/>
        <v>41</v>
      </c>
      <c r="N634" s="6" t="s">
        <v>26</v>
      </c>
    </row>
    <row r="635" spans="1:14" x14ac:dyDescent="0.2">
      <c r="A635" s="6" t="s">
        <v>305</v>
      </c>
      <c r="B635" s="6" t="s">
        <v>542</v>
      </c>
      <c r="C635" s="6" t="s">
        <v>20</v>
      </c>
      <c r="D635" s="7"/>
      <c r="E635" s="7">
        <v>45222</v>
      </c>
      <c r="F635" s="7">
        <v>45315</v>
      </c>
      <c r="G635" s="9">
        <v>120000</v>
      </c>
      <c r="H635" s="9">
        <v>106194.69</v>
      </c>
      <c r="I635" s="9">
        <v>13805.31</v>
      </c>
      <c r="J635" s="7">
        <v>45322</v>
      </c>
      <c r="K635" s="8" t="str">
        <f t="shared" si="28"/>
        <v/>
      </c>
      <c r="L635" s="8" t="str">
        <f t="shared" si="29"/>
        <v/>
      </c>
      <c r="M635" s="8">
        <f t="shared" si="27"/>
        <v>7</v>
      </c>
      <c r="N635" s="6" t="s">
        <v>26</v>
      </c>
    </row>
    <row r="636" spans="1:14" x14ac:dyDescent="0.2">
      <c r="A636" s="6" t="s">
        <v>29</v>
      </c>
      <c r="B636" s="6" t="s">
        <v>543</v>
      </c>
      <c r="C636" s="6" t="s">
        <v>20</v>
      </c>
      <c r="D636" s="7"/>
      <c r="E636" s="7">
        <v>45138</v>
      </c>
      <c r="F636" s="7">
        <v>45315</v>
      </c>
      <c r="G636" s="9">
        <v>20000</v>
      </c>
      <c r="H636" s="9">
        <v>17699.12</v>
      </c>
      <c r="I636" s="9">
        <v>2300.88</v>
      </c>
      <c r="J636" s="7">
        <v>45365</v>
      </c>
      <c r="K636" s="8" t="str">
        <f t="shared" si="28"/>
        <v/>
      </c>
      <c r="L636" s="8" t="str">
        <f t="shared" si="29"/>
        <v/>
      </c>
      <c r="M636" s="8">
        <f t="shared" si="27"/>
        <v>50</v>
      </c>
      <c r="N636" s="6" t="s">
        <v>26</v>
      </c>
    </row>
    <row r="637" spans="1:14" x14ac:dyDescent="0.2">
      <c r="A637" s="6" t="s">
        <v>145</v>
      </c>
      <c r="B637" s="6" t="s">
        <v>544</v>
      </c>
      <c r="C637" s="6" t="s">
        <v>20</v>
      </c>
      <c r="D637" s="7"/>
      <c r="E637" s="7">
        <v>45297</v>
      </c>
      <c r="F637" s="7">
        <v>45317</v>
      </c>
      <c r="G637" s="9">
        <v>67405</v>
      </c>
      <c r="H637" s="9">
        <v>61839.45</v>
      </c>
      <c r="I637" s="9">
        <v>5565.55</v>
      </c>
      <c r="J637" s="7">
        <v>45670</v>
      </c>
      <c r="K637" s="8" t="str">
        <f t="shared" si="28"/>
        <v/>
      </c>
      <c r="L637" s="8" t="str">
        <f t="shared" si="29"/>
        <v/>
      </c>
      <c r="M637" s="8">
        <f t="shared" si="27"/>
        <v>353</v>
      </c>
      <c r="N637" s="6" t="s">
        <v>26</v>
      </c>
    </row>
    <row r="638" spans="1:14" x14ac:dyDescent="0.2">
      <c r="A638" s="6" t="s">
        <v>109</v>
      </c>
      <c r="B638" s="6" t="s">
        <v>545</v>
      </c>
      <c r="C638" s="6" t="s">
        <v>20</v>
      </c>
      <c r="D638" s="7"/>
      <c r="E638" s="7">
        <v>45320</v>
      </c>
      <c r="F638" s="7">
        <v>45320</v>
      </c>
      <c r="G638" s="9">
        <v>577761.80000000005</v>
      </c>
      <c r="H638" s="9">
        <v>511293.63</v>
      </c>
      <c r="I638" s="9">
        <v>66468.17</v>
      </c>
      <c r="J638" s="7">
        <v>45392</v>
      </c>
      <c r="K638" s="8" t="str">
        <f t="shared" si="28"/>
        <v/>
      </c>
      <c r="L638" s="8" t="str">
        <f t="shared" si="29"/>
        <v/>
      </c>
      <c r="M638" s="8">
        <f t="shared" si="27"/>
        <v>72</v>
      </c>
      <c r="N638" s="6" t="s">
        <v>26</v>
      </c>
    </row>
    <row r="639" spans="1:14" x14ac:dyDescent="0.2">
      <c r="A639" s="6" t="s">
        <v>546</v>
      </c>
      <c r="B639" s="6" t="s">
        <v>547</v>
      </c>
      <c r="C639" s="6" t="s">
        <v>20</v>
      </c>
      <c r="D639" s="7"/>
      <c r="E639" s="7">
        <v>45323</v>
      </c>
      <c r="F639" s="7">
        <v>45323</v>
      </c>
      <c r="G639" s="9">
        <v>58</v>
      </c>
      <c r="H639" s="9">
        <v>51.33</v>
      </c>
      <c r="I639" s="9">
        <v>6.67</v>
      </c>
      <c r="J639" s="7">
        <v>45370</v>
      </c>
      <c r="K639" s="8" t="str">
        <f t="shared" si="28"/>
        <v/>
      </c>
      <c r="L639" s="8" t="str">
        <f t="shared" si="29"/>
        <v/>
      </c>
      <c r="M639" s="8">
        <f t="shared" si="27"/>
        <v>47</v>
      </c>
      <c r="N639" s="6" t="s">
        <v>26</v>
      </c>
    </row>
    <row r="640" spans="1:14" x14ac:dyDescent="0.2">
      <c r="A640" s="6" t="s">
        <v>548</v>
      </c>
      <c r="B640" s="6" t="s">
        <v>549</v>
      </c>
      <c r="C640" s="6" t="s">
        <v>20</v>
      </c>
      <c r="D640" s="7">
        <v>44591</v>
      </c>
      <c r="E640" s="7">
        <v>45324</v>
      </c>
      <c r="F640" s="7">
        <v>45324</v>
      </c>
      <c r="G640" s="9">
        <v>22275</v>
      </c>
      <c r="H640" s="9">
        <v>19712.39</v>
      </c>
      <c r="I640" s="9">
        <v>2562.61</v>
      </c>
      <c r="J640" s="7">
        <v>45604</v>
      </c>
      <c r="K640" s="8">
        <f t="shared" si="28"/>
        <v>733</v>
      </c>
      <c r="L640" s="8">
        <f t="shared" si="29"/>
        <v>0</v>
      </c>
      <c r="M640" s="8">
        <f t="shared" si="27"/>
        <v>280</v>
      </c>
      <c r="N640" s="6" t="s">
        <v>26</v>
      </c>
    </row>
    <row r="641" spans="1:14" x14ac:dyDescent="0.2">
      <c r="A641" s="6" t="s">
        <v>29</v>
      </c>
      <c r="B641" s="6" t="s">
        <v>550</v>
      </c>
      <c r="C641" s="6" t="s">
        <v>20</v>
      </c>
      <c r="D641" s="7">
        <v>45191</v>
      </c>
      <c r="E641" s="7">
        <v>45178</v>
      </c>
      <c r="F641" s="7">
        <v>45324</v>
      </c>
      <c r="G641" s="9">
        <v>160024</v>
      </c>
      <c r="H641" s="9">
        <v>141614.16</v>
      </c>
      <c r="I641" s="9">
        <v>18409.84</v>
      </c>
      <c r="J641" s="7">
        <v>45365</v>
      </c>
      <c r="K641" s="8">
        <f t="shared" si="28"/>
        <v>-13</v>
      </c>
      <c r="L641" s="8">
        <f t="shared" si="29"/>
        <v>146</v>
      </c>
      <c r="M641" s="8">
        <f t="shared" si="27"/>
        <v>41</v>
      </c>
      <c r="N641" s="6" t="s">
        <v>26</v>
      </c>
    </row>
    <row r="642" spans="1:14" x14ac:dyDescent="0.2">
      <c r="A642" s="6" t="s">
        <v>47</v>
      </c>
      <c r="B642" s="6" t="s">
        <v>519</v>
      </c>
      <c r="C642" s="6" t="s">
        <v>20</v>
      </c>
      <c r="D642" s="7">
        <v>45270</v>
      </c>
      <c r="E642" s="7"/>
      <c r="F642" s="7">
        <v>45328</v>
      </c>
      <c r="G642" s="9">
        <v>79600</v>
      </c>
      <c r="H642" s="9">
        <v>70442.48</v>
      </c>
      <c r="I642" s="9">
        <v>9157.52</v>
      </c>
      <c r="J642" s="7">
        <v>45345</v>
      </c>
      <c r="K642" s="8">
        <f t="shared" si="28"/>
        <v>-45270</v>
      </c>
      <c r="L642" s="8">
        <f t="shared" si="29"/>
        <v>45328</v>
      </c>
      <c r="M642" s="8">
        <f t="shared" ref="M642:M705" si="30">IF(OR($F642="", $J642=""),"", $J642-$F642)</f>
        <v>17</v>
      </c>
      <c r="N642" s="6" t="s">
        <v>26</v>
      </c>
    </row>
    <row r="643" spans="1:14" x14ac:dyDescent="0.2">
      <c r="A643" s="6" t="s">
        <v>47</v>
      </c>
      <c r="B643" s="6" t="s">
        <v>518</v>
      </c>
      <c r="C643" s="6" t="s">
        <v>20</v>
      </c>
      <c r="D643" s="7">
        <v>45270</v>
      </c>
      <c r="E643" s="7">
        <v>45270</v>
      </c>
      <c r="F643" s="7">
        <v>45328</v>
      </c>
      <c r="G643" s="9">
        <v>110000</v>
      </c>
      <c r="H643" s="9">
        <v>97345.13</v>
      </c>
      <c r="I643" s="9">
        <v>12654.87</v>
      </c>
      <c r="J643" s="7">
        <v>45345</v>
      </c>
      <c r="K643" s="8">
        <f t="shared" ref="K643:K706" si="31">IF(OR($D643="", $F643=""),"", $E643-$D643)</f>
        <v>0</v>
      </c>
      <c r="L643" s="8">
        <f t="shared" ref="L643:L706" si="32">IF(OR($D643="", $F643=""),"", $F643-$E643)</f>
        <v>58</v>
      </c>
      <c r="M643" s="8">
        <f t="shared" si="30"/>
        <v>17</v>
      </c>
      <c r="N643" s="6" t="s">
        <v>26</v>
      </c>
    </row>
    <row r="644" spans="1:14" x14ac:dyDescent="0.2">
      <c r="A644" s="6" t="s">
        <v>47</v>
      </c>
      <c r="B644" s="6" t="s">
        <v>520</v>
      </c>
      <c r="C644" s="6" t="s">
        <v>20</v>
      </c>
      <c r="D644" s="7">
        <v>45312</v>
      </c>
      <c r="E644" s="7">
        <v>45312</v>
      </c>
      <c r="F644" s="7">
        <v>45328</v>
      </c>
      <c r="G644" s="9">
        <v>295400</v>
      </c>
      <c r="H644" s="9">
        <v>261415.93</v>
      </c>
      <c r="I644" s="9">
        <v>33984.07</v>
      </c>
      <c r="J644" s="7">
        <v>45345</v>
      </c>
      <c r="K644" s="8">
        <f t="shared" si="31"/>
        <v>0</v>
      </c>
      <c r="L644" s="8">
        <f t="shared" si="32"/>
        <v>16</v>
      </c>
      <c r="M644" s="8">
        <f t="shared" si="30"/>
        <v>17</v>
      </c>
      <c r="N644" s="6" t="s">
        <v>26</v>
      </c>
    </row>
    <row r="645" spans="1:14" x14ac:dyDescent="0.2">
      <c r="A645" s="6" t="s">
        <v>47</v>
      </c>
      <c r="B645" s="6" t="s">
        <v>521</v>
      </c>
      <c r="C645" s="6" t="s">
        <v>20</v>
      </c>
      <c r="D645" s="7">
        <v>45306</v>
      </c>
      <c r="E645" s="7">
        <v>45306</v>
      </c>
      <c r="F645" s="7">
        <v>45328</v>
      </c>
      <c r="G645" s="9">
        <v>210000</v>
      </c>
      <c r="H645" s="9">
        <v>185840.71</v>
      </c>
      <c r="I645" s="9">
        <v>24159.29</v>
      </c>
      <c r="J645" s="7">
        <v>45345</v>
      </c>
      <c r="K645" s="8">
        <f t="shared" si="31"/>
        <v>0</v>
      </c>
      <c r="L645" s="8">
        <f t="shared" si="32"/>
        <v>22</v>
      </c>
      <c r="M645" s="8">
        <f t="shared" si="30"/>
        <v>17</v>
      </c>
      <c r="N645" s="6" t="s">
        <v>26</v>
      </c>
    </row>
    <row r="646" spans="1:14" x14ac:dyDescent="0.2">
      <c r="A646" s="6" t="s">
        <v>251</v>
      </c>
      <c r="B646" s="6" t="s">
        <v>551</v>
      </c>
      <c r="C646" s="6" t="s">
        <v>20</v>
      </c>
      <c r="D646" s="7">
        <v>45266</v>
      </c>
      <c r="E646" s="7">
        <v>45296</v>
      </c>
      <c r="F646" s="7">
        <v>45329</v>
      </c>
      <c r="G646" s="9">
        <v>70000</v>
      </c>
      <c r="H646" s="9">
        <v>61946.9</v>
      </c>
      <c r="I646" s="9">
        <v>8053.1</v>
      </c>
      <c r="J646" s="7">
        <v>45877</v>
      </c>
      <c r="K646" s="8">
        <f t="shared" si="31"/>
        <v>30</v>
      </c>
      <c r="L646" s="8">
        <f t="shared" si="32"/>
        <v>33</v>
      </c>
      <c r="M646" s="8">
        <f t="shared" si="30"/>
        <v>548</v>
      </c>
      <c r="N646" s="6" t="s">
        <v>26</v>
      </c>
    </row>
    <row r="647" spans="1:14" x14ac:dyDescent="0.2">
      <c r="A647" s="6" t="s">
        <v>409</v>
      </c>
      <c r="B647" s="6" t="s">
        <v>552</v>
      </c>
      <c r="C647" s="6" t="s">
        <v>20</v>
      </c>
      <c r="D647" s="7">
        <v>45247</v>
      </c>
      <c r="E647" s="7">
        <v>45250</v>
      </c>
      <c r="F647" s="7">
        <v>45341</v>
      </c>
      <c r="G647" s="9">
        <v>60000</v>
      </c>
      <c r="H647" s="9">
        <v>53097.35</v>
      </c>
      <c r="I647" s="9">
        <v>6902.65</v>
      </c>
      <c r="J647" s="7">
        <v>45371</v>
      </c>
      <c r="K647" s="8">
        <f t="shared" si="31"/>
        <v>3</v>
      </c>
      <c r="L647" s="8">
        <f t="shared" si="32"/>
        <v>91</v>
      </c>
      <c r="M647" s="8">
        <f t="shared" si="30"/>
        <v>30</v>
      </c>
      <c r="N647" s="6" t="s">
        <v>26</v>
      </c>
    </row>
    <row r="648" spans="1:14" x14ac:dyDescent="0.2">
      <c r="A648" s="6" t="s">
        <v>409</v>
      </c>
      <c r="B648" s="6" t="s">
        <v>553</v>
      </c>
      <c r="C648" s="6" t="s">
        <v>20</v>
      </c>
      <c r="D648" s="7">
        <v>45247</v>
      </c>
      <c r="E648" s="7">
        <v>45320</v>
      </c>
      <c r="F648" s="7">
        <v>45341</v>
      </c>
      <c r="G648" s="9">
        <v>68000</v>
      </c>
      <c r="H648" s="9">
        <v>60176.99</v>
      </c>
      <c r="I648" s="9">
        <v>7823.01</v>
      </c>
      <c r="J648" s="7">
        <v>45371</v>
      </c>
      <c r="K648" s="8">
        <f t="shared" si="31"/>
        <v>73</v>
      </c>
      <c r="L648" s="8">
        <f t="shared" si="32"/>
        <v>21</v>
      </c>
      <c r="M648" s="8">
        <f t="shared" si="30"/>
        <v>30</v>
      </c>
      <c r="N648" s="6" t="s">
        <v>26</v>
      </c>
    </row>
    <row r="649" spans="1:14" x14ac:dyDescent="0.2">
      <c r="A649" s="6" t="s">
        <v>409</v>
      </c>
      <c r="B649" s="6" t="s">
        <v>554</v>
      </c>
      <c r="C649" s="6" t="s">
        <v>20</v>
      </c>
      <c r="D649" s="7">
        <v>45241</v>
      </c>
      <c r="E649" s="7">
        <v>45615</v>
      </c>
      <c r="F649" s="7">
        <v>45341</v>
      </c>
      <c r="G649" s="9">
        <v>95000</v>
      </c>
      <c r="H649" s="9">
        <v>84070.8</v>
      </c>
      <c r="I649" s="9">
        <v>10929.2</v>
      </c>
      <c r="J649" s="7">
        <v>45371</v>
      </c>
      <c r="K649" s="8">
        <f t="shared" si="31"/>
        <v>374</v>
      </c>
      <c r="L649" s="8">
        <f t="shared" si="32"/>
        <v>-274</v>
      </c>
      <c r="M649" s="8">
        <f t="shared" si="30"/>
        <v>30</v>
      </c>
      <c r="N649" s="6" t="s">
        <v>26</v>
      </c>
    </row>
    <row r="650" spans="1:14" x14ac:dyDescent="0.2">
      <c r="A650" s="6" t="s">
        <v>555</v>
      </c>
      <c r="B650" s="6" t="s">
        <v>556</v>
      </c>
      <c r="C650" s="6" t="s">
        <v>20</v>
      </c>
      <c r="D650" s="7"/>
      <c r="E650" s="7">
        <v>44112</v>
      </c>
      <c r="F650" s="7">
        <v>45342</v>
      </c>
      <c r="G650" s="9">
        <v>116500.01</v>
      </c>
      <c r="H650" s="9">
        <v>103097.35</v>
      </c>
      <c r="I650" s="9">
        <v>13402.66</v>
      </c>
      <c r="J650" s="7"/>
      <c r="K650" s="8" t="str">
        <f t="shared" si="31"/>
        <v/>
      </c>
      <c r="L650" s="8" t="str">
        <f t="shared" si="32"/>
        <v/>
      </c>
      <c r="M650" s="8" t="str">
        <f t="shared" si="30"/>
        <v/>
      </c>
      <c r="N650" s="6" t="s">
        <v>21</v>
      </c>
    </row>
    <row r="651" spans="1:14" x14ac:dyDescent="0.2">
      <c r="A651" s="6" t="s">
        <v>555</v>
      </c>
      <c r="B651" s="6" t="s">
        <v>556</v>
      </c>
      <c r="C651" s="6" t="s">
        <v>20</v>
      </c>
      <c r="D651" s="7"/>
      <c r="E651" s="7">
        <v>44112</v>
      </c>
      <c r="F651" s="7">
        <v>45342</v>
      </c>
      <c r="G651" s="9">
        <v>116500.01</v>
      </c>
      <c r="H651" s="9">
        <v>103097.35</v>
      </c>
      <c r="I651" s="9">
        <v>13402.66</v>
      </c>
      <c r="J651" s="7"/>
      <c r="K651" s="8" t="str">
        <f t="shared" si="31"/>
        <v/>
      </c>
      <c r="L651" s="8" t="str">
        <f t="shared" si="32"/>
        <v/>
      </c>
      <c r="M651" s="8" t="str">
        <f t="shared" si="30"/>
        <v/>
      </c>
      <c r="N651" s="6" t="s">
        <v>21</v>
      </c>
    </row>
    <row r="652" spans="1:14" x14ac:dyDescent="0.2">
      <c r="A652" s="6" t="s">
        <v>555</v>
      </c>
      <c r="B652" s="6" t="s">
        <v>557</v>
      </c>
      <c r="C652" s="6" t="s">
        <v>20</v>
      </c>
      <c r="D652" s="7">
        <v>44182</v>
      </c>
      <c r="E652" s="7">
        <v>44185</v>
      </c>
      <c r="F652" s="7">
        <v>45343</v>
      </c>
      <c r="G652" s="9">
        <v>4</v>
      </c>
      <c r="H652" s="9">
        <v>3.54</v>
      </c>
      <c r="I652" s="9">
        <v>0.46</v>
      </c>
      <c r="J652" s="7"/>
      <c r="K652" s="8">
        <f t="shared" si="31"/>
        <v>3</v>
      </c>
      <c r="L652" s="8">
        <f t="shared" si="32"/>
        <v>1158</v>
      </c>
      <c r="M652" s="8" t="str">
        <f t="shared" si="30"/>
        <v/>
      </c>
      <c r="N652" s="6" t="s">
        <v>21</v>
      </c>
    </row>
    <row r="653" spans="1:14" x14ac:dyDescent="0.2">
      <c r="A653" s="6" t="s">
        <v>558</v>
      </c>
      <c r="C653" s="6" t="s">
        <v>33</v>
      </c>
      <c r="D653" s="7"/>
      <c r="E653" s="7"/>
      <c r="F653" s="7">
        <v>45351</v>
      </c>
      <c r="G653" s="9">
        <v>560000</v>
      </c>
      <c r="H653" s="9">
        <v>495575.22</v>
      </c>
      <c r="I653" s="9">
        <v>64424.78</v>
      </c>
      <c r="J653" s="7"/>
      <c r="K653" s="8" t="str">
        <f t="shared" si="31"/>
        <v/>
      </c>
      <c r="L653" s="8" t="str">
        <f t="shared" si="32"/>
        <v/>
      </c>
      <c r="M653" s="8" t="str">
        <f t="shared" si="30"/>
        <v/>
      </c>
      <c r="N653" s="6" t="s">
        <v>21</v>
      </c>
    </row>
    <row r="654" spans="1:14" x14ac:dyDescent="0.2">
      <c r="A654" s="6" t="s">
        <v>49</v>
      </c>
      <c r="B654" s="6" t="s">
        <v>559</v>
      </c>
      <c r="C654" s="6" t="s">
        <v>20</v>
      </c>
      <c r="D654" s="7"/>
      <c r="E654" s="7">
        <v>45349</v>
      </c>
      <c r="F654" s="7">
        <v>45356</v>
      </c>
      <c r="G654" s="9">
        <v>97</v>
      </c>
      <c r="H654" s="9">
        <v>85.84</v>
      </c>
      <c r="I654" s="9">
        <v>11.16</v>
      </c>
      <c r="J654" s="7">
        <v>45679</v>
      </c>
      <c r="K654" s="8" t="str">
        <f t="shared" si="31"/>
        <v/>
      </c>
      <c r="L654" s="8" t="str">
        <f t="shared" si="32"/>
        <v/>
      </c>
      <c r="M654" s="8">
        <f t="shared" si="30"/>
        <v>323</v>
      </c>
      <c r="N654" s="6" t="s">
        <v>26</v>
      </c>
    </row>
    <row r="655" spans="1:14" x14ac:dyDescent="0.2">
      <c r="A655" s="6" t="s">
        <v>217</v>
      </c>
      <c r="B655" s="6" t="s">
        <v>560</v>
      </c>
      <c r="C655" s="6" t="s">
        <v>20</v>
      </c>
      <c r="D655" s="7">
        <v>45250</v>
      </c>
      <c r="E655" s="7">
        <v>45327</v>
      </c>
      <c r="F655" s="7">
        <v>45359</v>
      </c>
      <c r="G655" s="9">
        <v>38160</v>
      </c>
      <c r="H655" s="9">
        <v>36000</v>
      </c>
      <c r="I655" s="9">
        <v>2160</v>
      </c>
      <c r="J655" s="7">
        <v>45483</v>
      </c>
      <c r="K655" s="8">
        <f t="shared" si="31"/>
        <v>77</v>
      </c>
      <c r="L655" s="8">
        <f t="shared" si="32"/>
        <v>32</v>
      </c>
      <c r="M655" s="8">
        <f t="shared" si="30"/>
        <v>124</v>
      </c>
      <c r="N655" s="6" t="s">
        <v>26</v>
      </c>
    </row>
    <row r="656" spans="1:14" x14ac:dyDescent="0.2">
      <c r="A656" s="6" t="s">
        <v>158</v>
      </c>
      <c r="B656" s="6" t="s">
        <v>561</v>
      </c>
      <c r="C656" s="6" t="s">
        <v>20</v>
      </c>
      <c r="D656" s="7"/>
      <c r="E656" s="7">
        <v>44957</v>
      </c>
      <c r="F656" s="7">
        <v>45362</v>
      </c>
      <c r="G656" s="9">
        <v>88000</v>
      </c>
      <c r="H656" s="9">
        <v>80733.94</v>
      </c>
      <c r="I656" s="9">
        <v>7266.06</v>
      </c>
      <c r="J656" s="7">
        <v>45701</v>
      </c>
      <c r="K656" s="8" t="str">
        <f t="shared" si="31"/>
        <v/>
      </c>
      <c r="L656" s="8" t="str">
        <f t="shared" si="32"/>
        <v/>
      </c>
      <c r="M656" s="8">
        <f t="shared" si="30"/>
        <v>339</v>
      </c>
      <c r="N656" s="6" t="s">
        <v>26</v>
      </c>
    </row>
    <row r="657" spans="1:14" x14ac:dyDescent="0.2">
      <c r="A657" s="6" t="s">
        <v>562</v>
      </c>
      <c r="B657" s="6" t="s">
        <v>563</v>
      </c>
      <c r="C657" s="6" t="s">
        <v>20</v>
      </c>
      <c r="D657" s="7"/>
      <c r="E657" s="7"/>
      <c r="F657" s="7">
        <v>45364</v>
      </c>
      <c r="G657" s="9">
        <v>363000</v>
      </c>
      <c r="H657" s="9">
        <v>333027.52</v>
      </c>
      <c r="I657" s="9">
        <v>29972.48</v>
      </c>
      <c r="J657" s="7">
        <v>45366</v>
      </c>
      <c r="K657" s="8" t="str">
        <f t="shared" si="31"/>
        <v/>
      </c>
      <c r="L657" s="8" t="str">
        <f t="shared" si="32"/>
        <v/>
      </c>
      <c r="M657" s="8">
        <f t="shared" si="30"/>
        <v>2</v>
      </c>
      <c r="N657" s="6" t="s">
        <v>26</v>
      </c>
    </row>
    <row r="658" spans="1:14" x14ac:dyDescent="0.2">
      <c r="A658" s="6" t="s">
        <v>283</v>
      </c>
      <c r="B658" s="6" t="s">
        <v>284</v>
      </c>
      <c r="C658" s="6" t="s">
        <v>20</v>
      </c>
      <c r="D658" s="7">
        <v>44866</v>
      </c>
      <c r="E658" s="7">
        <v>44926</v>
      </c>
      <c r="F658" s="7">
        <v>45365</v>
      </c>
      <c r="G658" s="9">
        <v>183093.88</v>
      </c>
      <c r="H658" s="9">
        <v>167976.04</v>
      </c>
      <c r="I658" s="9">
        <v>15117.84</v>
      </c>
      <c r="J658" s="7">
        <v>45581</v>
      </c>
      <c r="K658" s="8">
        <f t="shared" si="31"/>
        <v>60</v>
      </c>
      <c r="L658" s="8">
        <f t="shared" si="32"/>
        <v>439</v>
      </c>
      <c r="M658" s="8">
        <f t="shared" si="30"/>
        <v>216</v>
      </c>
      <c r="N658" s="6" t="s">
        <v>26</v>
      </c>
    </row>
    <row r="659" spans="1:14" x14ac:dyDescent="0.2">
      <c r="A659" s="6" t="s">
        <v>564</v>
      </c>
      <c r="B659" s="6" t="s">
        <v>565</v>
      </c>
      <c r="C659" s="6" t="s">
        <v>20</v>
      </c>
      <c r="D659" s="7"/>
      <c r="E659" s="7">
        <v>45299</v>
      </c>
      <c r="F659" s="7">
        <v>45369</v>
      </c>
      <c r="G659" s="9">
        <v>60000</v>
      </c>
      <c r="H659" s="9">
        <v>53097.35</v>
      </c>
      <c r="I659" s="9">
        <v>6902.65</v>
      </c>
      <c r="J659" s="7">
        <v>45433</v>
      </c>
      <c r="K659" s="8" t="str">
        <f t="shared" si="31"/>
        <v/>
      </c>
      <c r="L659" s="8" t="str">
        <f t="shared" si="32"/>
        <v/>
      </c>
      <c r="M659" s="8">
        <f t="shared" si="30"/>
        <v>64</v>
      </c>
      <c r="N659" s="6" t="s">
        <v>26</v>
      </c>
    </row>
    <row r="660" spans="1:14" x14ac:dyDescent="0.2">
      <c r="A660" s="6" t="s">
        <v>36</v>
      </c>
      <c r="B660" s="6" t="s">
        <v>566</v>
      </c>
      <c r="C660" s="6" t="s">
        <v>20</v>
      </c>
      <c r="D660" s="7"/>
      <c r="E660" s="7">
        <v>44725</v>
      </c>
      <c r="F660" s="7">
        <v>45369</v>
      </c>
      <c r="G660" s="9">
        <v>113000</v>
      </c>
      <c r="H660" s="9">
        <v>100000</v>
      </c>
      <c r="I660" s="9">
        <v>13000</v>
      </c>
      <c r="J660" s="7">
        <v>45436</v>
      </c>
      <c r="K660" s="8" t="str">
        <f t="shared" si="31"/>
        <v/>
      </c>
      <c r="L660" s="8" t="str">
        <f t="shared" si="32"/>
        <v/>
      </c>
      <c r="M660" s="8">
        <f t="shared" si="30"/>
        <v>67</v>
      </c>
      <c r="N660" s="6" t="s">
        <v>26</v>
      </c>
    </row>
    <row r="661" spans="1:14" x14ac:dyDescent="0.2">
      <c r="A661" s="6" t="s">
        <v>36</v>
      </c>
      <c r="B661" s="6" t="s">
        <v>567</v>
      </c>
      <c r="C661" s="6" t="s">
        <v>20</v>
      </c>
      <c r="D661" s="7"/>
      <c r="E661" s="7">
        <v>44421</v>
      </c>
      <c r="F661" s="7">
        <v>45369</v>
      </c>
      <c r="G661" s="9">
        <v>29380</v>
      </c>
      <c r="H661" s="9">
        <v>26000</v>
      </c>
      <c r="I661" s="9">
        <v>3380</v>
      </c>
      <c r="J661" s="7">
        <v>45436</v>
      </c>
      <c r="K661" s="8" t="str">
        <f t="shared" si="31"/>
        <v/>
      </c>
      <c r="L661" s="8" t="str">
        <f t="shared" si="32"/>
        <v/>
      </c>
      <c r="M661" s="8">
        <f t="shared" si="30"/>
        <v>67</v>
      </c>
      <c r="N661" s="6" t="s">
        <v>26</v>
      </c>
    </row>
    <row r="662" spans="1:14" x14ac:dyDescent="0.2">
      <c r="A662" s="6" t="s">
        <v>36</v>
      </c>
      <c r="B662" s="6" t="s">
        <v>568</v>
      </c>
      <c r="C662" s="6" t="s">
        <v>20</v>
      </c>
      <c r="D662" s="7"/>
      <c r="E662" s="7">
        <v>44611</v>
      </c>
      <c r="F662" s="7">
        <v>45369</v>
      </c>
      <c r="G662" s="9">
        <v>203400</v>
      </c>
      <c r="H662" s="9">
        <v>180000</v>
      </c>
      <c r="I662" s="9">
        <v>23400</v>
      </c>
      <c r="J662" s="7">
        <v>45436</v>
      </c>
      <c r="K662" s="8" t="str">
        <f t="shared" si="31"/>
        <v/>
      </c>
      <c r="L662" s="8" t="str">
        <f t="shared" si="32"/>
        <v/>
      </c>
      <c r="M662" s="8">
        <f t="shared" si="30"/>
        <v>67</v>
      </c>
      <c r="N662" s="6" t="s">
        <v>26</v>
      </c>
    </row>
    <row r="663" spans="1:14" x14ac:dyDescent="0.2">
      <c r="A663" s="6" t="s">
        <v>569</v>
      </c>
      <c r="B663" s="6" t="s">
        <v>570</v>
      </c>
      <c r="C663" s="6" t="s">
        <v>20</v>
      </c>
      <c r="D663" s="7"/>
      <c r="E663" s="7">
        <v>45275</v>
      </c>
      <c r="F663" s="7">
        <v>45372</v>
      </c>
      <c r="G663" s="9">
        <v>65</v>
      </c>
      <c r="H663" s="9">
        <v>57.52</v>
      </c>
      <c r="I663" s="9">
        <v>7.48</v>
      </c>
      <c r="J663" s="7">
        <v>45468</v>
      </c>
      <c r="K663" s="8" t="str">
        <f t="shared" si="31"/>
        <v/>
      </c>
      <c r="L663" s="8" t="str">
        <f t="shared" si="32"/>
        <v/>
      </c>
      <c r="M663" s="8">
        <f t="shared" si="30"/>
        <v>96</v>
      </c>
      <c r="N663" s="6" t="s">
        <v>26</v>
      </c>
    </row>
    <row r="664" spans="1:14" x14ac:dyDescent="0.2">
      <c r="A664" s="6" t="s">
        <v>569</v>
      </c>
      <c r="B664" s="6" t="s">
        <v>570</v>
      </c>
      <c r="C664" s="6" t="s">
        <v>20</v>
      </c>
      <c r="D664" s="7"/>
      <c r="E664" s="7">
        <v>45275</v>
      </c>
      <c r="F664" s="7">
        <v>45372</v>
      </c>
      <c r="G664" s="9">
        <v>65</v>
      </c>
      <c r="H664" s="9">
        <v>57.52</v>
      </c>
      <c r="I664" s="9">
        <v>7.48</v>
      </c>
      <c r="J664" s="7">
        <v>45468</v>
      </c>
      <c r="K664" s="8" t="str">
        <f t="shared" si="31"/>
        <v/>
      </c>
      <c r="L664" s="8" t="str">
        <f t="shared" si="32"/>
        <v/>
      </c>
      <c r="M664" s="8">
        <f t="shared" si="30"/>
        <v>96</v>
      </c>
      <c r="N664" s="6" t="s">
        <v>26</v>
      </c>
    </row>
    <row r="665" spans="1:14" x14ac:dyDescent="0.2">
      <c r="A665" s="6" t="s">
        <v>569</v>
      </c>
      <c r="B665" s="6" t="s">
        <v>570</v>
      </c>
      <c r="C665" s="6" t="s">
        <v>20</v>
      </c>
      <c r="D665" s="7"/>
      <c r="E665" s="7">
        <v>45275</v>
      </c>
      <c r="F665" s="7">
        <v>45372</v>
      </c>
      <c r="G665" s="9">
        <v>28000</v>
      </c>
      <c r="H665" s="9">
        <v>24778.76</v>
      </c>
      <c r="I665" s="9">
        <v>3221.24</v>
      </c>
      <c r="J665" s="7">
        <v>45468</v>
      </c>
      <c r="K665" s="8" t="str">
        <f t="shared" si="31"/>
        <v/>
      </c>
      <c r="L665" s="8" t="str">
        <f t="shared" si="32"/>
        <v/>
      </c>
      <c r="M665" s="8">
        <f t="shared" si="30"/>
        <v>96</v>
      </c>
      <c r="N665" s="6" t="s">
        <v>26</v>
      </c>
    </row>
    <row r="666" spans="1:14" x14ac:dyDescent="0.2">
      <c r="A666" s="6" t="s">
        <v>569</v>
      </c>
      <c r="B666" s="6" t="s">
        <v>570</v>
      </c>
      <c r="C666" s="6" t="s">
        <v>20</v>
      </c>
      <c r="D666" s="7"/>
      <c r="E666" s="7">
        <v>45275</v>
      </c>
      <c r="F666" s="7">
        <v>45372</v>
      </c>
      <c r="G666" s="9">
        <v>5000</v>
      </c>
      <c r="H666" s="9">
        <v>4424.78</v>
      </c>
      <c r="I666" s="9">
        <v>575.22</v>
      </c>
      <c r="J666" s="7">
        <v>45468</v>
      </c>
      <c r="K666" s="8" t="str">
        <f t="shared" si="31"/>
        <v/>
      </c>
      <c r="L666" s="8" t="str">
        <f t="shared" si="32"/>
        <v/>
      </c>
      <c r="M666" s="8">
        <f t="shared" si="30"/>
        <v>96</v>
      </c>
      <c r="N666" s="6" t="s">
        <v>26</v>
      </c>
    </row>
    <row r="667" spans="1:14" x14ac:dyDescent="0.2">
      <c r="A667" s="6" t="s">
        <v>569</v>
      </c>
      <c r="B667" s="6" t="s">
        <v>571</v>
      </c>
      <c r="C667" s="6" t="s">
        <v>20</v>
      </c>
      <c r="D667" s="7"/>
      <c r="E667" s="7"/>
      <c r="F667" s="7">
        <v>45372</v>
      </c>
      <c r="G667" s="9">
        <v>10000</v>
      </c>
      <c r="H667" s="9">
        <v>8849.56</v>
      </c>
      <c r="I667" s="9">
        <v>1150.44</v>
      </c>
      <c r="J667" s="7">
        <v>45468</v>
      </c>
      <c r="K667" s="8" t="str">
        <f t="shared" si="31"/>
        <v/>
      </c>
      <c r="L667" s="8" t="str">
        <f t="shared" si="32"/>
        <v/>
      </c>
      <c r="M667" s="8">
        <f t="shared" si="30"/>
        <v>96</v>
      </c>
      <c r="N667" s="6" t="s">
        <v>26</v>
      </c>
    </row>
    <row r="668" spans="1:14" x14ac:dyDescent="0.2">
      <c r="A668" s="6" t="s">
        <v>569</v>
      </c>
      <c r="B668" s="6" t="s">
        <v>571</v>
      </c>
      <c r="C668" s="6" t="s">
        <v>20</v>
      </c>
      <c r="D668" s="7"/>
      <c r="E668" s="7"/>
      <c r="F668" s="7">
        <v>45372</v>
      </c>
      <c r="G668" s="9">
        <v>10000</v>
      </c>
      <c r="H668" s="9">
        <v>8849.56</v>
      </c>
      <c r="I668" s="9">
        <v>1150.44</v>
      </c>
      <c r="J668" s="7">
        <v>45468</v>
      </c>
      <c r="K668" s="8" t="str">
        <f t="shared" si="31"/>
        <v/>
      </c>
      <c r="L668" s="8" t="str">
        <f t="shared" si="32"/>
        <v/>
      </c>
      <c r="M668" s="8">
        <f t="shared" si="30"/>
        <v>96</v>
      </c>
      <c r="N668" s="6" t="s">
        <v>26</v>
      </c>
    </row>
    <row r="669" spans="1:14" x14ac:dyDescent="0.2">
      <c r="A669" s="6" t="s">
        <v>569</v>
      </c>
      <c r="B669" s="6" t="s">
        <v>572</v>
      </c>
      <c r="C669" s="6" t="s">
        <v>20</v>
      </c>
      <c r="D669" s="7"/>
      <c r="E669" s="7"/>
      <c r="F669" s="7">
        <v>45372</v>
      </c>
      <c r="G669" s="9">
        <v>110000</v>
      </c>
      <c r="H669" s="9">
        <v>103773.58</v>
      </c>
      <c r="I669" s="9">
        <v>6226.41</v>
      </c>
      <c r="J669" s="7">
        <v>45468</v>
      </c>
      <c r="K669" s="8" t="str">
        <f t="shared" si="31"/>
        <v/>
      </c>
      <c r="L669" s="8" t="str">
        <f t="shared" si="32"/>
        <v/>
      </c>
      <c r="M669" s="8">
        <f t="shared" si="30"/>
        <v>96</v>
      </c>
      <c r="N669" s="6" t="s">
        <v>26</v>
      </c>
    </row>
    <row r="670" spans="1:14" x14ac:dyDescent="0.2">
      <c r="A670" s="6" t="s">
        <v>569</v>
      </c>
      <c r="B670" s="6" t="s">
        <v>573</v>
      </c>
      <c r="C670" s="6" t="s">
        <v>20</v>
      </c>
      <c r="D670" s="7"/>
      <c r="E670" s="7"/>
      <c r="F670" s="7">
        <v>45372</v>
      </c>
      <c r="G670" s="9">
        <v>540000</v>
      </c>
      <c r="H670" s="9">
        <v>495412.84</v>
      </c>
      <c r="I670" s="9">
        <v>44587.16</v>
      </c>
      <c r="J670" s="7">
        <v>45468</v>
      </c>
      <c r="K670" s="8" t="str">
        <f t="shared" si="31"/>
        <v/>
      </c>
      <c r="L670" s="8" t="str">
        <f t="shared" si="32"/>
        <v/>
      </c>
      <c r="M670" s="8">
        <f t="shared" si="30"/>
        <v>96</v>
      </c>
      <c r="N670" s="6" t="s">
        <v>26</v>
      </c>
    </row>
    <row r="671" spans="1:14" x14ac:dyDescent="0.2">
      <c r="A671" s="6" t="s">
        <v>574</v>
      </c>
      <c r="B671" s="6" t="s">
        <v>575</v>
      </c>
      <c r="C671" s="6" t="s">
        <v>20</v>
      </c>
      <c r="D671" s="7"/>
      <c r="E671" s="7"/>
      <c r="F671" s="7">
        <v>45372</v>
      </c>
      <c r="G671" s="9">
        <v>2.99</v>
      </c>
      <c r="H671" s="9">
        <v>2.65</v>
      </c>
      <c r="I671" s="9">
        <v>0.34</v>
      </c>
      <c r="J671" s="7">
        <v>45434</v>
      </c>
      <c r="K671" s="8" t="str">
        <f t="shared" si="31"/>
        <v/>
      </c>
      <c r="L671" s="8" t="str">
        <f t="shared" si="32"/>
        <v/>
      </c>
      <c r="M671" s="8">
        <f t="shared" si="30"/>
        <v>62</v>
      </c>
      <c r="N671" s="6" t="s">
        <v>26</v>
      </c>
    </row>
    <row r="672" spans="1:14" x14ac:dyDescent="0.2">
      <c r="A672" s="6" t="s">
        <v>576</v>
      </c>
      <c r="B672" s="6" t="s">
        <v>577</v>
      </c>
      <c r="C672" s="6" t="s">
        <v>20</v>
      </c>
      <c r="D672" s="7"/>
      <c r="E672" s="7"/>
      <c r="F672" s="7">
        <v>45372</v>
      </c>
      <c r="G672" s="9">
        <v>14000</v>
      </c>
      <c r="H672" s="9">
        <v>12389.38</v>
      </c>
      <c r="I672" s="9">
        <v>1610.62</v>
      </c>
      <c r="J672" s="7"/>
      <c r="K672" s="8" t="str">
        <f t="shared" si="31"/>
        <v/>
      </c>
      <c r="L672" s="8" t="str">
        <f t="shared" si="32"/>
        <v/>
      </c>
      <c r="M672" s="8" t="str">
        <f t="shared" si="30"/>
        <v/>
      </c>
      <c r="N672" s="6" t="s">
        <v>21</v>
      </c>
    </row>
    <row r="673" spans="1:14" x14ac:dyDescent="0.2">
      <c r="A673" s="6" t="s">
        <v>576</v>
      </c>
      <c r="B673" s="6" t="s">
        <v>578</v>
      </c>
      <c r="C673" s="6" t="s">
        <v>20</v>
      </c>
      <c r="D673" s="7"/>
      <c r="E673" s="7"/>
      <c r="F673" s="7">
        <v>45372</v>
      </c>
      <c r="G673" s="9">
        <v>6000</v>
      </c>
      <c r="H673" s="9">
        <v>5309.73</v>
      </c>
      <c r="I673" s="9">
        <v>690.26</v>
      </c>
      <c r="J673" s="7"/>
      <c r="K673" s="8" t="str">
        <f t="shared" si="31"/>
        <v/>
      </c>
      <c r="L673" s="8" t="str">
        <f t="shared" si="32"/>
        <v/>
      </c>
      <c r="M673" s="8" t="str">
        <f t="shared" si="30"/>
        <v/>
      </c>
      <c r="N673" s="6" t="s">
        <v>21</v>
      </c>
    </row>
    <row r="674" spans="1:14" x14ac:dyDescent="0.2">
      <c r="A674" s="6" t="s">
        <v>122</v>
      </c>
      <c r="B674" s="6" t="s">
        <v>579</v>
      </c>
      <c r="C674" s="6" t="s">
        <v>20</v>
      </c>
      <c r="D674" s="7"/>
      <c r="E674" s="7">
        <v>45309</v>
      </c>
      <c r="F674" s="7">
        <v>45373</v>
      </c>
      <c r="G674" s="9">
        <v>17500</v>
      </c>
      <c r="H674" s="9">
        <v>15486.73</v>
      </c>
      <c r="I674" s="9">
        <v>2013.27</v>
      </c>
      <c r="J674" s="7">
        <v>45447</v>
      </c>
      <c r="K674" s="8" t="str">
        <f t="shared" si="31"/>
        <v/>
      </c>
      <c r="L674" s="8" t="str">
        <f t="shared" si="32"/>
        <v/>
      </c>
      <c r="M674" s="8">
        <f t="shared" si="30"/>
        <v>74</v>
      </c>
      <c r="N674" s="6" t="s">
        <v>26</v>
      </c>
    </row>
    <row r="675" spans="1:14" x14ac:dyDescent="0.2">
      <c r="A675" s="6" t="s">
        <v>580</v>
      </c>
      <c r="B675" s="6" t="s">
        <v>581</v>
      </c>
      <c r="C675" s="6" t="s">
        <v>20</v>
      </c>
      <c r="D675" s="7">
        <v>45362</v>
      </c>
      <c r="E675" s="7">
        <v>45366</v>
      </c>
      <c r="F675" s="7">
        <v>45380</v>
      </c>
      <c r="G675" s="9">
        <v>105</v>
      </c>
      <c r="H675" s="9">
        <v>92.92</v>
      </c>
      <c r="I675" s="9">
        <v>12.08</v>
      </c>
      <c r="J675" s="7"/>
      <c r="K675" s="8">
        <f t="shared" si="31"/>
        <v>4</v>
      </c>
      <c r="L675" s="8">
        <f t="shared" si="32"/>
        <v>14</v>
      </c>
      <c r="M675" s="8" t="str">
        <f t="shared" si="30"/>
        <v/>
      </c>
      <c r="N675" s="6" t="s">
        <v>21</v>
      </c>
    </row>
    <row r="676" spans="1:14" x14ac:dyDescent="0.2">
      <c r="A676" s="6" t="s">
        <v>558</v>
      </c>
      <c r="C676" s="6" t="s">
        <v>33</v>
      </c>
      <c r="D676" s="7"/>
      <c r="E676" s="7"/>
      <c r="F676" s="7">
        <v>45381</v>
      </c>
      <c r="G676" s="9">
        <v>230000</v>
      </c>
      <c r="H676" s="9">
        <v>203539.82</v>
      </c>
      <c r="I676" s="9">
        <v>26460.18</v>
      </c>
      <c r="J676" s="7"/>
      <c r="K676" s="8" t="str">
        <f t="shared" si="31"/>
        <v/>
      </c>
      <c r="L676" s="8" t="str">
        <f t="shared" si="32"/>
        <v/>
      </c>
      <c r="M676" s="8" t="str">
        <f t="shared" si="30"/>
        <v/>
      </c>
      <c r="N676" s="6" t="s">
        <v>21</v>
      </c>
    </row>
    <row r="677" spans="1:14" x14ac:dyDescent="0.2">
      <c r="A677" s="6" t="s">
        <v>558</v>
      </c>
      <c r="C677" s="6" t="s">
        <v>33</v>
      </c>
      <c r="D677" s="7"/>
      <c r="E677" s="7"/>
      <c r="F677" s="7">
        <v>45382</v>
      </c>
      <c r="G677" s="9">
        <v>420000</v>
      </c>
      <c r="H677" s="9">
        <v>371681.42</v>
      </c>
      <c r="I677" s="9">
        <v>48318.58</v>
      </c>
      <c r="J677" s="7"/>
      <c r="K677" s="8" t="str">
        <f t="shared" si="31"/>
        <v/>
      </c>
      <c r="L677" s="8" t="str">
        <f t="shared" si="32"/>
        <v/>
      </c>
      <c r="M677" s="8" t="str">
        <f t="shared" si="30"/>
        <v/>
      </c>
      <c r="N677" s="6" t="s">
        <v>21</v>
      </c>
    </row>
    <row r="678" spans="1:14" x14ac:dyDescent="0.2">
      <c r="A678" s="6" t="s">
        <v>558</v>
      </c>
      <c r="C678" s="6" t="s">
        <v>33</v>
      </c>
      <c r="D678" s="7"/>
      <c r="E678" s="7"/>
      <c r="F678" s="7">
        <v>45382</v>
      </c>
      <c r="G678" s="9">
        <v>380000</v>
      </c>
      <c r="H678" s="9">
        <v>336283.19</v>
      </c>
      <c r="I678" s="9">
        <v>43716.81</v>
      </c>
      <c r="J678" s="7"/>
      <c r="K678" s="8" t="str">
        <f t="shared" si="31"/>
        <v/>
      </c>
      <c r="L678" s="8" t="str">
        <f t="shared" si="32"/>
        <v/>
      </c>
      <c r="M678" s="8" t="str">
        <f t="shared" si="30"/>
        <v/>
      </c>
      <c r="N678" s="6" t="s">
        <v>21</v>
      </c>
    </row>
    <row r="679" spans="1:14" x14ac:dyDescent="0.2">
      <c r="A679" s="6" t="s">
        <v>582</v>
      </c>
      <c r="B679" s="6" t="s">
        <v>583</v>
      </c>
      <c r="C679" s="6" t="s">
        <v>20</v>
      </c>
      <c r="D679" s="7">
        <v>45238</v>
      </c>
      <c r="E679" s="7">
        <v>45245</v>
      </c>
      <c r="F679" s="7">
        <v>45390</v>
      </c>
      <c r="G679" s="9">
        <v>124800</v>
      </c>
      <c r="H679" s="9">
        <v>117735.85</v>
      </c>
      <c r="I679" s="9">
        <v>7064.15</v>
      </c>
      <c r="J679" s="7">
        <v>45532</v>
      </c>
      <c r="K679" s="8">
        <f t="shared" si="31"/>
        <v>7</v>
      </c>
      <c r="L679" s="8">
        <f t="shared" si="32"/>
        <v>145</v>
      </c>
      <c r="M679" s="8">
        <f t="shared" si="30"/>
        <v>142</v>
      </c>
      <c r="N679" s="6" t="s">
        <v>26</v>
      </c>
    </row>
    <row r="680" spans="1:14" x14ac:dyDescent="0.2">
      <c r="A680" s="6" t="s">
        <v>52</v>
      </c>
      <c r="B680" s="6" t="s">
        <v>584</v>
      </c>
      <c r="C680" s="6" t="s">
        <v>33</v>
      </c>
      <c r="D680" s="7"/>
      <c r="E680" s="7">
        <v>45370</v>
      </c>
      <c r="F680" s="7">
        <v>45392</v>
      </c>
      <c r="G680" s="9">
        <v>99000</v>
      </c>
      <c r="H680" s="9">
        <v>87610.62</v>
      </c>
      <c r="I680" s="9">
        <v>11389.38</v>
      </c>
      <c r="J680" s="7">
        <v>45593</v>
      </c>
      <c r="K680" s="8" t="str">
        <f t="shared" si="31"/>
        <v/>
      </c>
      <c r="L680" s="8" t="str">
        <f t="shared" si="32"/>
        <v/>
      </c>
      <c r="M680" s="8">
        <f t="shared" si="30"/>
        <v>201</v>
      </c>
      <c r="N680" s="6" t="s">
        <v>26</v>
      </c>
    </row>
    <row r="681" spans="1:14" x14ac:dyDescent="0.2">
      <c r="A681" s="6" t="s">
        <v>585</v>
      </c>
      <c r="B681" s="6" t="s">
        <v>586</v>
      </c>
      <c r="C681" s="6" t="s">
        <v>33</v>
      </c>
      <c r="D681" s="7">
        <v>45287</v>
      </c>
      <c r="E681" s="7">
        <v>45293</v>
      </c>
      <c r="F681" s="7">
        <v>45392</v>
      </c>
      <c r="G681" s="9">
        <v>98000</v>
      </c>
      <c r="H681" s="9">
        <v>86725.66</v>
      </c>
      <c r="I681" s="9">
        <v>11274.34</v>
      </c>
      <c r="J681" s="7">
        <v>45527</v>
      </c>
      <c r="K681" s="8">
        <f t="shared" si="31"/>
        <v>6</v>
      </c>
      <c r="L681" s="8">
        <f t="shared" si="32"/>
        <v>99</v>
      </c>
      <c r="M681" s="8">
        <f t="shared" si="30"/>
        <v>135</v>
      </c>
      <c r="N681" s="6" t="s">
        <v>26</v>
      </c>
    </row>
    <row r="682" spans="1:14" x14ac:dyDescent="0.2">
      <c r="A682" s="6" t="s">
        <v>364</v>
      </c>
      <c r="B682" s="6" t="s">
        <v>587</v>
      </c>
      <c r="C682" s="6" t="s">
        <v>87</v>
      </c>
      <c r="D682" s="7">
        <v>44501</v>
      </c>
      <c r="E682" s="7">
        <v>44508</v>
      </c>
      <c r="F682" s="7">
        <v>45393</v>
      </c>
      <c r="G682" s="9">
        <v>1.34</v>
      </c>
      <c r="H682" s="9">
        <v>1.19</v>
      </c>
      <c r="I682" s="9">
        <v>0.15</v>
      </c>
      <c r="J682" s="7">
        <v>45736</v>
      </c>
      <c r="K682" s="8">
        <f t="shared" si="31"/>
        <v>7</v>
      </c>
      <c r="L682" s="8">
        <f t="shared" si="32"/>
        <v>885</v>
      </c>
      <c r="M682" s="8">
        <f t="shared" si="30"/>
        <v>343</v>
      </c>
      <c r="N682" s="6" t="s">
        <v>26</v>
      </c>
    </row>
    <row r="683" spans="1:14" x14ac:dyDescent="0.2">
      <c r="A683" s="6" t="s">
        <v>364</v>
      </c>
      <c r="B683" s="6" t="s">
        <v>588</v>
      </c>
      <c r="C683" s="6" t="s">
        <v>87</v>
      </c>
      <c r="D683" s="7">
        <v>44625</v>
      </c>
      <c r="E683" s="7">
        <v>44641</v>
      </c>
      <c r="F683" s="7">
        <v>45393</v>
      </c>
      <c r="G683" s="9">
        <v>1.34</v>
      </c>
      <c r="H683" s="9">
        <v>1.19</v>
      </c>
      <c r="I683" s="9">
        <v>0.15</v>
      </c>
      <c r="J683" s="7">
        <v>45736</v>
      </c>
      <c r="K683" s="8">
        <f t="shared" si="31"/>
        <v>16</v>
      </c>
      <c r="L683" s="8">
        <f t="shared" si="32"/>
        <v>752</v>
      </c>
      <c r="M683" s="8">
        <f t="shared" si="30"/>
        <v>343</v>
      </c>
      <c r="N683" s="6" t="s">
        <v>26</v>
      </c>
    </row>
    <row r="684" spans="1:14" x14ac:dyDescent="0.2">
      <c r="A684" s="6" t="s">
        <v>589</v>
      </c>
      <c r="B684" s="6" t="s">
        <v>590</v>
      </c>
      <c r="C684" s="6" t="s">
        <v>20</v>
      </c>
      <c r="D684" s="7">
        <v>45351</v>
      </c>
      <c r="E684" s="7">
        <v>45359</v>
      </c>
      <c r="F684" s="7">
        <v>45394</v>
      </c>
      <c r="G684" s="9">
        <v>38000</v>
      </c>
      <c r="H684" s="9">
        <v>35849.06</v>
      </c>
      <c r="I684" s="9">
        <v>2150.94</v>
      </c>
      <c r="J684" s="7">
        <v>45803</v>
      </c>
      <c r="K684" s="8">
        <f t="shared" si="31"/>
        <v>8</v>
      </c>
      <c r="L684" s="8">
        <f t="shared" si="32"/>
        <v>35</v>
      </c>
      <c r="M684" s="8">
        <f t="shared" si="30"/>
        <v>409</v>
      </c>
      <c r="N684" s="6" t="s">
        <v>26</v>
      </c>
    </row>
    <row r="685" spans="1:14" x14ac:dyDescent="0.2">
      <c r="A685" s="6" t="s">
        <v>558</v>
      </c>
      <c r="B685" s="6" t="s">
        <v>591</v>
      </c>
      <c r="C685" s="6" t="s">
        <v>87</v>
      </c>
      <c r="D685" s="7"/>
      <c r="E685" s="7"/>
      <c r="F685" s="7">
        <v>45397</v>
      </c>
      <c r="G685" s="9">
        <v>215000</v>
      </c>
      <c r="H685" s="9">
        <v>190265.49</v>
      </c>
      <c r="I685" s="9">
        <v>24734.51</v>
      </c>
      <c r="J685" s="7"/>
      <c r="K685" s="8" t="str">
        <f t="shared" si="31"/>
        <v/>
      </c>
      <c r="L685" s="8" t="str">
        <f t="shared" si="32"/>
        <v/>
      </c>
      <c r="M685" s="8" t="str">
        <f t="shared" si="30"/>
        <v/>
      </c>
      <c r="N685" s="6" t="s">
        <v>21</v>
      </c>
    </row>
    <row r="686" spans="1:14" x14ac:dyDescent="0.2">
      <c r="A686" s="6" t="s">
        <v>558</v>
      </c>
      <c r="B686" s="6" t="s">
        <v>591</v>
      </c>
      <c r="C686" s="6" t="s">
        <v>87</v>
      </c>
      <c r="D686" s="7"/>
      <c r="E686" s="7"/>
      <c r="F686" s="7">
        <v>45399</v>
      </c>
      <c r="G686" s="9">
        <v>985000</v>
      </c>
      <c r="H686" s="9">
        <v>871681.42</v>
      </c>
      <c r="I686" s="9">
        <v>113318.58</v>
      </c>
      <c r="J686" s="7"/>
      <c r="K686" s="8" t="str">
        <f t="shared" si="31"/>
        <v/>
      </c>
      <c r="L686" s="8" t="str">
        <f t="shared" si="32"/>
        <v/>
      </c>
      <c r="M686" s="8" t="str">
        <f t="shared" si="30"/>
        <v/>
      </c>
      <c r="N686" s="6" t="s">
        <v>21</v>
      </c>
    </row>
    <row r="687" spans="1:14" x14ac:dyDescent="0.2">
      <c r="A687" s="6" t="s">
        <v>582</v>
      </c>
      <c r="B687" s="6" t="s">
        <v>592</v>
      </c>
      <c r="C687" s="6" t="s">
        <v>20</v>
      </c>
      <c r="D687" s="7">
        <v>44956</v>
      </c>
      <c r="E687" s="7">
        <v>45245</v>
      </c>
      <c r="F687" s="7">
        <v>45400</v>
      </c>
      <c r="G687" s="9">
        <v>30000</v>
      </c>
      <c r="H687" s="9">
        <v>26548.67</v>
      </c>
      <c r="I687" s="9">
        <v>3451.33</v>
      </c>
      <c r="J687" s="7">
        <v>45532</v>
      </c>
      <c r="K687" s="8">
        <f t="shared" si="31"/>
        <v>289</v>
      </c>
      <c r="L687" s="8">
        <f t="shared" si="32"/>
        <v>155</v>
      </c>
      <c r="M687" s="8">
        <f t="shared" si="30"/>
        <v>132</v>
      </c>
      <c r="N687" s="6" t="s">
        <v>26</v>
      </c>
    </row>
    <row r="688" spans="1:14" x14ac:dyDescent="0.2">
      <c r="A688" s="6" t="s">
        <v>593</v>
      </c>
      <c r="B688" s="6" t="s">
        <v>594</v>
      </c>
      <c r="C688" s="6" t="s">
        <v>33</v>
      </c>
      <c r="D688" s="7"/>
      <c r="E688" s="7"/>
      <c r="F688" s="7">
        <v>45401</v>
      </c>
      <c r="G688" s="9">
        <v>9000</v>
      </c>
      <c r="H688" s="9">
        <v>8256.8799999999992</v>
      </c>
      <c r="I688" s="9">
        <v>743.12</v>
      </c>
      <c r="J688" s="7"/>
      <c r="K688" s="8" t="str">
        <f t="shared" si="31"/>
        <v/>
      </c>
      <c r="L688" s="8" t="str">
        <f t="shared" si="32"/>
        <v/>
      </c>
      <c r="M688" s="8" t="str">
        <f t="shared" si="30"/>
        <v/>
      </c>
      <c r="N688" s="6" t="s">
        <v>21</v>
      </c>
    </row>
    <row r="689" spans="1:14" x14ac:dyDescent="0.2">
      <c r="A689" s="6" t="s">
        <v>334</v>
      </c>
      <c r="B689" s="6" t="s">
        <v>595</v>
      </c>
      <c r="C689" s="6" t="s">
        <v>20</v>
      </c>
      <c r="D689" s="7"/>
      <c r="E689" s="7"/>
      <c r="F689" s="7">
        <v>45401</v>
      </c>
      <c r="G689" s="9">
        <v>50000</v>
      </c>
      <c r="H689" s="9">
        <v>45871.56</v>
      </c>
      <c r="I689" s="9">
        <v>4128.4399999999996</v>
      </c>
      <c r="J689" s="7">
        <v>45441</v>
      </c>
      <c r="K689" s="8" t="str">
        <f t="shared" si="31"/>
        <v/>
      </c>
      <c r="L689" s="8" t="str">
        <f t="shared" si="32"/>
        <v/>
      </c>
      <c r="M689" s="8">
        <f t="shared" si="30"/>
        <v>40</v>
      </c>
      <c r="N689" s="6" t="s">
        <v>26</v>
      </c>
    </row>
    <row r="690" spans="1:14" x14ac:dyDescent="0.2">
      <c r="A690" s="6" t="s">
        <v>334</v>
      </c>
      <c r="B690" s="6" t="s">
        <v>595</v>
      </c>
      <c r="C690" s="6" t="s">
        <v>20</v>
      </c>
      <c r="D690" s="7"/>
      <c r="E690" s="7"/>
      <c r="F690" s="7">
        <v>45401</v>
      </c>
      <c r="G690" s="9">
        <v>70000</v>
      </c>
      <c r="H690" s="9">
        <v>64220.18</v>
      </c>
      <c r="I690" s="9">
        <v>5779.82</v>
      </c>
      <c r="J690" s="7">
        <v>45441</v>
      </c>
      <c r="K690" s="8" t="str">
        <f t="shared" si="31"/>
        <v/>
      </c>
      <c r="L690" s="8" t="str">
        <f t="shared" si="32"/>
        <v/>
      </c>
      <c r="M690" s="8">
        <f t="shared" si="30"/>
        <v>40</v>
      </c>
      <c r="N690" s="6" t="s">
        <v>26</v>
      </c>
    </row>
    <row r="691" spans="1:14" x14ac:dyDescent="0.2">
      <c r="A691" s="6" t="s">
        <v>334</v>
      </c>
      <c r="B691" s="6" t="s">
        <v>595</v>
      </c>
      <c r="C691" s="6" t="s">
        <v>20</v>
      </c>
      <c r="D691" s="7"/>
      <c r="E691" s="7"/>
      <c r="F691" s="7">
        <v>45401</v>
      </c>
      <c r="G691" s="9">
        <v>64000</v>
      </c>
      <c r="H691" s="9">
        <v>58715.6</v>
      </c>
      <c r="I691" s="9">
        <v>5284.4</v>
      </c>
      <c r="J691" s="7">
        <v>45441</v>
      </c>
      <c r="K691" s="8" t="str">
        <f t="shared" si="31"/>
        <v/>
      </c>
      <c r="L691" s="8" t="str">
        <f t="shared" si="32"/>
        <v/>
      </c>
      <c r="M691" s="8">
        <f t="shared" si="30"/>
        <v>40</v>
      </c>
      <c r="N691" s="6" t="s">
        <v>26</v>
      </c>
    </row>
    <row r="692" spans="1:14" x14ac:dyDescent="0.2">
      <c r="A692" s="6" t="s">
        <v>334</v>
      </c>
      <c r="B692" s="6" t="s">
        <v>595</v>
      </c>
      <c r="C692" s="6" t="s">
        <v>20</v>
      </c>
      <c r="D692" s="7"/>
      <c r="E692" s="7"/>
      <c r="F692" s="7">
        <v>45401</v>
      </c>
      <c r="G692" s="9">
        <v>42000</v>
      </c>
      <c r="H692" s="9">
        <v>38532.11</v>
      </c>
      <c r="I692" s="9">
        <v>3467.89</v>
      </c>
      <c r="J692" s="7">
        <v>45441</v>
      </c>
      <c r="K692" s="8" t="str">
        <f t="shared" si="31"/>
        <v/>
      </c>
      <c r="L692" s="8" t="str">
        <f t="shared" si="32"/>
        <v/>
      </c>
      <c r="M692" s="8">
        <f t="shared" si="30"/>
        <v>40</v>
      </c>
      <c r="N692" s="6" t="s">
        <v>26</v>
      </c>
    </row>
    <row r="693" spans="1:14" x14ac:dyDescent="0.2">
      <c r="A693" s="6" t="s">
        <v>334</v>
      </c>
      <c r="B693" s="6" t="s">
        <v>595</v>
      </c>
      <c r="C693" s="6" t="s">
        <v>20</v>
      </c>
      <c r="D693" s="7"/>
      <c r="E693" s="7"/>
      <c r="F693" s="7">
        <v>45401</v>
      </c>
      <c r="G693" s="9">
        <v>40000</v>
      </c>
      <c r="H693" s="9">
        <v>36697.25</v>
      </c>
      <c r="I693" s="9">
        <v>3302.75</v>
      </c>
      <c r="J693" s="7">
        <v>45441</v>
      </c>
      <c r="K693" s="8" t="str">
        <f t="shared" si="31"/>
        <v/>
      </c>
      <c r="L693" s="8" t="str">
        <f t="shared" si="32"/>
        <v/>
      </c>
      <c r="M693" s="8">
        <f t="shared" si="30"/>
        <v>40</v>
      </c>
      <c r="N693" s="6" t="s">
        <v>26</v>
      </c>
    </row>
    <row r="694" spans="1:14" x14ac:dyDescent="0.2">
      <c r="A694" s="6" t="s">
        <v>334</v>
      </c>
      <c r="B694" s="6" t="s">
        <v>595</v>
      </c>
      <c r="C694" s="6" t="s">
        <v>20</v>
      </c>
      <c r="D694" s="7"/>
      <c r="E694" s="7"/>
      <c r="F694" s="7">
        <v>45401</v>
      </c>
      <c r="G694" s="9">
        <v>20000</v>
      </c>
      <c r="H694" s="9">
        <v>18348.62</v>
      </c>
      <c r="I694" s="9">
        <v>1651.38</v>
      </c>
      <c r="J694" s="7">
        <v>45441</v>
      </c>
      <c r="K694" s="8" t="str">
        <f t="shared" si="31"/>
        <v/>
      </c>
      <c r="L694" s="8" t="str">
        <f t="shared" si="32"/>
        <v/>
      </c>
      <c r="M694" s="8">
        <f t="shared" si="30"/>
        <v>40</v>
      </c>
      <c r="N694" s="6" t="s">
        <v>26</v>
      </c>
    </row>
    <row r="695" spans="1:14" x14ac:dyDescent="0.2">
      <c r="A695" s="6" t="s">
        <v>334</v>
      </c>
      <c r="B695" s="6" t="s">
        <v>595</v>
      </c>
      <c r="C695" s="6" t="s">
        <v>20</v>
      </c>
      <c r="D695" s="7"/>
      <c r="E695" s="7"/>
      <c r="F695" s="7">
        <v>45401</v>
      </c>
      <c r="G695" s="9">
        <v>150000</v>
      </c>
      <c r="H695" s="9">
        <v>137614.68</v>
      </c>
      <c r="I695" s="9">
        <v>12385.32</v>
      </c>
      <c r="J695" s="7">
        <v>45441</v>
      </c>
      <c r="K695" s="8" t="str">
        <f t="shared" si="31"/>
        <v/>
      </c>
      <c r="L695" s="8" t="str">
        <f t="shared" si="32"/>
        <v/>
      </c>
      <c r="M695" s="8">
        <f t="shared" si="30"/>
        <v>40</v>
      </c>
      <c r="N695" s="6" t="s">
        <v>26</v>
      </c>
    </row>
    <row r="696" spans="1:14" x14ac:dyDescent="0.2">
      <c r="A696" s="6" t="s">
        <v>334</v>
      </c>
      <c r="B696" s="6" t="s">
        <v>595</v>
      </c>
      <c r="C696" s="6" t="s">
        <v>20</v>
      </c>
      <c r="D696" s="7"/>
      <c r="E696" s="7"/>
      <c r="F696" s="7">
        <v>45401</v>
      </c>
      <c r="G696" s="9">
        <v>36000</v>
      </c>
      <c r="H696" s="9">
        <v>33027.519999999997</v>
      </c>
      <c r="I696" s="9">
        <v>2972.48</v>
      </c>
      <c r="J696" s="7">
        <v>45441</v>
      </c>
      <c r="K696" s="8" t="str">
        <f t="shared" si="31"/>
        <v/>
      </c>
      <c r="L696" s="8" t="str">
        <f t="shared" si="32"/>
        <v/>
      </c>
      <c r="M696" s="8">
        <f t="shared" si="30"/>
        <v>40</v>
      </c>
      <c r="N696" s="6" t="s">
        <v>26</v>
      </c>
    </row>
    <row r="697" spans="1:14" x14ac:dyDescent="0.2">
      <c r="A697" s="6" t="s">
        <v>334</v>
      </c>
      <c r="B697" s="6" t="s">
        <v>595</v>
      </c>
      <c r="C697" s="6" t="s">
        <v>20</v>
      </c>
      <c r="D697" s="7"/>
      <c r="E697" s="7"/>
      <c r="F697" s="7">
        <v>45401</v>
      </c>
      <c r="G697" s="9">
        <v>48000</v>
      </c>
      <c r="H697" s="9">
        <v>44036.7</v>
      </c>
      <c r="I697" s="9">
        <v>3963.3</v>
      </c>
      <c r="J697" s="7">
        <v>45441</v>
      </c>
      <c r="K697" s="8" t="str">
        <f t="shared" si="31"/>
        <v/>
      </c>
      <c r="L697" s="8" t="str">
        <f t="shared" si="32"/>
        <v/>
      </c>
      <c r="M697" s="8">
        <f t="shared" si="30"/>
        <v>40</v>
      </c>
      <c r="N697" s="6" t="s">
        <v>26</v>
      </c>
    </row>
    <row r="698" spans="1:14" x14ac:dyDescent="0.2">
      <c r="A698" s="6" t="s">
        <v>596</v>
      </c>
      <c r="B698" s="6" t="s">
        <v>597</v>
      </c>
      <c r="C698" s="6" t="s">
        <v>20</v>
      </c>
      <c r="D698" s="7">
        <v>45298</v>
      </c>
      <c r="E698" s="7"/>
      <c r="F698" s="7">
        <v>45405</v>
      </c>
      <c r="G698" s="9">
        <v>34000</v>
      </c>
      <c r="H698" s="9">
        <v>31192.66</v>
      </c>
      <c r="I698" s="9">
        <v>2807.34</v>
      </c>
      <c r="J698" s="7">
        <v>45439</v>
      </c>
      <c r="K698" s="8">
        <f t="shared" si="31"/>
        <v>-45298</v>
      </c>
      <c r="L698" s="8">
        <f t="shared" si="32"/>
        <v>45405</v>
      </c>
      <c r="M698" s="8">
        <f t="shared" si="30"/>
        <v>34</v>
      </c>
      <c r="N698" s="6" t="s">
        <v>26</v>
      </c>
    </row>
    <row r="699" spans="1:14" x14ac:dyDescent="0.2">
      <c r="A699" s="6" t="s">
        <v>596</v>
      </c>
      <c r="B699" s="6" t="s">
        <v>597</v>
      </c>
      <c r="C699" s="6" t="s">
        <v>20</v>
      </c>
      <c r="D699" s="7">
        <v>45298</v>
      </c>
      <c r="E699" s="7"/>
      <c r="F699" s="7">
        <v>45405</v>
      </c>
      <c r="G699" s="9">
        <v>16000</v>
      </c>
      <c r="H699" s="9">
        <v>14678.9</v>
      </c>
      <c r="I699" s="9">
        <v>1321.1</v>
      </c>
      <c r="J699" s="7">
        <v>45439</v>
      </c>
      <c r="K699" s="8">
        <f t="shared" si="31"/>
        <v>-45298</v>
      </c>
      <c r="L699" s="8">
        <f t="shared" si="32"/>
        <v>45405</v>
      </c>
      <c r="M699" s="8">
        <f t="shared" si="30"/>
        <v>34</v>
      </c>
      <c r="N699" s="6" t="s">
        <v>26</v>
      </c>
    </row>
    <row r="700" spans="1:14" x14ac:dyDescent="0.2">
      <c r="A700" s="6" t="s">
        <v>364</v>
      </c>
      <c r="B700" s="6" t="s">
        <v>587</v>
      </c>
      <c r="C700" s="6" t="s">
        <v>87</v>
      </c>
      <c r="D700" s="7">
        <v>44501</v>
      </c>
      <c r="E700" s="7">
        <v>44508</v>
      </c>
      <c r="F700" s="7">
        <v>45405</v>
      </c>
      <c r="G700" s="9">
        <v>-63681.93</v>
      </c>
      <c r="H700" s="9">
        <v>-56355.69</v>
      </c>
      <c r="I700" s="9">
        <v>-7326.24</v>
      </c>
      <c r="J700" s="7">
        <v>45736</v>
      </c>
      <c r="K700" s="8">
        <f t="shared" si="31"/>
        <v>7</v>
      </c>
      <c r="L700" s="8">
        <f t="shared" si="32"/>
        <v>897</v>
      </c>
      <c r="M700" s="8">
        <f t="shared" si="30"/>
        <v>331</v>
      </c>
      <c r="N700" s="6" t="s">
        <v>26</v>
      </c>
    </row>
    <row r="701" spans="1:14" x14ac:dyDescent="0.2">
      <c r="A701" s="6" t="s">
        <v>364</v>
      </c>
      <c r="B701" s="6" t="s">
        <v>587</v>
      </c>
      <c r="C701" s="6" t="s">
        <v>87</v>
      </c>
      <c r="D701" s="7">
        <v>44501</v>
      </c>
      <c r="E701" s="7">
        <v>44508</v>
      </c>
      <c r="F701" s="7">
        <v>45405</v>
      </c>
      <c r="G701" s="9">
        <v>-63681.93</v>
      </c>
      <c r="H701" s="9">
        <v>-56355.69</v>
      </c>
      <c r="I701" s="9">
        <v>-7326.24</v>
      </c>
      <c r="J701" s="7">
        <v>45736</v>
      </c>
      <c r="K701" s="8">
        <f t="shared" si="31"/>
        <v>7</v>
      </c>
      <c r="L701" s="8">
        <f t="shared" si="32"/>
        <v>897</v>
      </c>
      <c r="M701" s="8">
        <f t="shared" si="30"/>
        <v>331</v>
      </c>
      <c r="N701" s="6" t="s">
        <v>26</v>
      </c>
    </row>
    <row r="702" spans="1:14" x14ac:dyDescent="0.2">
      <c r="A702" s="6" t="s">
        <v>364</v>
      </c>
      <c r="B702" s="6" t="s">
        <v>587</v>
      </c>
      <c r="C702" s="6" t="s">
        <v>87</v>
      </c>
      <c r="D702" s="7">
        <v>44501</v>
      </c>
      <c r="E702" s="7">
        <v>44508</v>
      </c>
      <c r="F702" s="7">
        <v>45405</v>
      </c>
      <c r="G702" s="9">
        <v>-69077.2</v>
      </c>
      <c r="H702" s="9">
        <v>-61130.27</v>
      </c>
      <c r="I702" s="9">
        <v>-7946.93</v>
      </c>
      <c r="J702" s="7">
        <v>45736</v>
      </c>
      <c r="K702" s="8">
        <f t="shared" si="31"/>
        <v>7</v>
      </c>
      <c r="L702" s="8">
        <f t="shared" si="32"/>
        <v>897</v>
      </c>
      <c r="M702" s="8">
        <f t="shared" si="30"/>
        <v>331</v>
      </c>
      <c r="N702" s="6" t="s">
        <v>26</v>
      </c>
    </row>
    <row r="703" spans="1:14" x14ac:dyDescent="0.2">
      <c r="A703" s="6" t="s">
        <v>364</v>
      </c>
      <c r="B703" s="6" t="s">
        <v>588</v>
      </c>
      <c r="C703" s="6" t="s">
        <v>87</v>
      </c>
      <c r="D703" s="7">
        <v>44625</v>
      </c>
      <c r="E703" s="7">
        <v>44641</v>
      </c>
      <c r="F703" s="7">
        <v>45405</v>
      </c>
      <c r="G703" s="9">
        <v>-94500</v>
      </c>
      <c r="H703" s="9">
        <v>-83628.320000000007</v>
      </c>
      <c r="I703" s="9">
        <v>-10871.68</v>
      </c>
      <c r="J703" s="7">
        <v>45736</v>
      </c>
      <c r="K703" s="8">
        <f t="shared" si="31"/>
        <v>16</v>
      </c>
      <c r="L703" s="8">
        <f t="shared" si="32"/>
        <v>764</v>
      </c>
      <c r="M703" s="8">
        <f t="shared" si="30"/>
        <v>331</v>
      </c>
      <c r="N703" s="6" t="s">
        <v>26</v>
      </c>
    </row>
    <row r="704" spans="1:14" x14ac:dyDescent="0.2">
      <c r="A704" s="6" t="s">
        <v>364</v>
      </c>
      <c r="B704" s="6" t="s">
        <v>588</v>
      </c>
      <c r="C704" s="6" t="s">
        <v>87</v>
      </c>
      <c r="D704" s="7"/>
      <c r="E704" s="7"/>
      <c r="F704" s="7">
        <v>45405</v>
      </c>
      <c r="G704" s="9">
        <v>-94500</v>
      </c>
      <c r="H704" s="9">
        <v>-83628.320000000007</v>
      </c>
      <c r="I704" s="9">
        <v>-10871.68</v>
      </c>
      <c r="J704" s="7">
        <v>45736</v>
      </c>
      <c r="K704" s="8" t="str">
        <f t="shared" si="31"/>
        <v/>
      </c>
      <c r="L704" s="8" t="str">
        <f t="shared" si="32"/>
        <v/>
      </c>
      <c r="M704" s="8">
        <f t="shared" si="30"/>
        <v>331</v>
      </c>
      <c r="N704" s="6" t="s">
        <v>26</v>
      </c>
    </row>
    <row r="705" spans="1:14" x14ac:dyDescent="0.2">
      <c r="A705" s="6" t="s">
        <v>162</v>
      </c>
      <c r="B705" s="6" t="s">
        <v>598</v>
      </c>
      <c r="C705" s="6" t="s">
        <v>20</v>
      </c>
      <c r="D705" s="7">
        <v>45337</v>
      </c>
      <c r="E705" s="7">
        <v>45342</v>
      </c>
      <c r="F705" s="7">
        <v>45406</v>
      </c>
      <c r="G705" s="9">
        <v>180000</v>
      </c>
      <c r="H705" s="9">
        <v>159292.04</v>
      </c>
      <c r="I705" s="9">
        <v>20707.96</v>
      </c>
      <c r="J705" s="7">
        <v>45582</v>
      </c>
      <c r="K705" s="8">
        <f t="shared" si="31"/>
        <v>5</v>
      </c>
      <c r="L705" s="8">
        <f t="shared" si="32"/>
        <v>64</v>
      </c>
      <c r="M705" s="8">
        <f t="shared" si="30"/>
        <v>176</v>
      </c>
      <c r="N705" s="6" t="s">
        <v>26</v>
      </c>
    </row>
    <row r="706" spans="1:14" x14ac:dyDescent="0.2">
      <c r="A706" s="6" t="s">
        <v>328</v>
      </c>
      <c r="B706" s="6" t="s">
        <v>599</v>
      </c>
      <c r="C706" s="6" t="s">
        <v>20</v>
      </c>
      <c r="D706" s="7">
        <v>45338</v>
      </c>
      <c r="E706" s="7">
        <v>45342</v>
      </c>
      <c r="F706" s="7">
        <v>45407</v>
      </c>
      <c r="G706" s="9">
        <v>18000</v>
      </c>
      <c r="H706" s="9">
        <v>15929.2</v>
      </c>
      <c r="I706" s="9">
        <v>2070.8000000000002</v>
      </c>
      <c r="J706" s="7">
        <v>45684</v>
      </c>
      <c r="K706" s="8">
        <f t="shared" si="31"/>
        <v>4</v>
      </c>
      <c r="L706" s="8">
        <f t="shared" si="32"/>
        <v>65</v>
      </c>
      <c r="M706" s="8">
        <f t="shared" ref="M706:M769" si="33">IF(OR($F706="", $J706=""),"", $J706-$F706)</f>
        <v>277</v>
      </c>
      <c r="N706" s="6" t="s">
        <v>26</v>
      </c>
    </row>
    <row r="707" spans="1:14" x14ac:dyDescent="0.2">
      <c r="A707" s="6" t="s">
        <v>328</v>
      </c>
      <c r="B707" s="6" t="s">
        <v>599</v>
      </c>
      <c r="C707" s="6" t="s">
        <v>20</v>
      </c>
      <c r="D707" s="7">
        <v>45338</v>
      </c>
      <c r="E707" s="7">
        <v>45342</v>
      </c>
      <c r="F707" s="7">
        <v>45407</v>
      </c>
      <c r="G707" s="9">
        <v>40000</v>
      </c>
      <c r="H707" s="9">
        <v>35398.230000000003</v>
      </c>
      <c r="I707" s="9">
        <v>4601.7700000000004</v>
      </c>
      <c r="J707" s="7">
        <v>45684</v>
      </c>
      <c r="K707" s="8">
        <f t="shared" ref="K707:K770" si="34">IF(OR($D707="", $F707=""),"", $E707-$D707)</f>
        <v>4</v>
      </c>
      <c r="L707" s="8">
        <f t="shared" ref="L707:L770" si="35">IF(OR($D707="", $F707=""),"", $F707-$E707)</f>
        <v>65</v>
      </c>
      <c r="M707" s="8">
        <f t="shared" si="33"/>
        <v>277</v>
      </c>
      <c r="N707" s="6" t="s">
        <v>26</v>
      </c>
    </row>
    <row r="708" spans="1:14" x14ac:dyDescent="0.2">
      <c r="A708" s="6" t="s">
        <v>600</v>
      </c>
      <c r="C708" s="6" t="s">
        <v>33</v>
      </c>
      <c r="D708" s="7"/>
      <c r="E708" s="7"/>
      <c r="F708" s="7">
        <v>45412</v>
      </c>
      <c r="G708" s="9">
        <v>1050000</v>
      </c>
      <c r="H708" s="9">
        <v>929203.54</v>
      </c>
      <c r="I708" s="9">
        <v>120796.46</v>
      </c>
      <c r="J708" s="7"/>
      <c r="K708" s="8" t="str">
        <f t="shared" si="34"/>
        <v/>
      </c>
      <c r="L708" s="8" t="str">
        <f t="shared" si="35"/>
        <v/>
      </c>
      <c r="M708" s="8" t="str">
        <f t="shared" si="33"/>
        <v/>
      </c>
      <c r="N708" s="6" t="s">
        <v>21</v>
      </c>
    </row>
    <row r="709" spans="1:14" x14ac:dyDescent="0.2">
      <c r="A709" s="6" t="s">
        <v>601</v>
      </c>
      <c r="B709" s="6" t="s">
        <v>602</v>
      </c>
      <c r="C709" s="6" t="s">
        <v>20</v>
      </c>
      <c r="D709" s="7">
        <v>44585</v>
      </c>
      <c r="E709" s="7"/>
      <c r="F709" s="7">
        <v>45422</v>
      </c>
      <c r="G709" s="9">
        <v>132000</v>
      </c>
      <c r="H709" s="9">
        <v>116814.16</v>
      </c>
      <c r="I709" s="9">
        <v>15185.84</v>
      </c>
      <c r="J709" s="7"/>
      <c r="K709" s="8">
        <f t="shared" si="34"/>
        <v>-44585</v>
      </c>
      <c r="L709" s="8">
        <f t="shared" si="35"/>
        <v>45422</v>
      </c>
      <c r="M709" s="8" t="str">
        <f t="shared" si="33"/>
        <v/>
      </c>
      <c r="N709" s="6" t="s">
        <v>21</v>
      </c>
    </row>
    <row r="710" spans="1:14" x14ac:dyDescent="0.2">
      <c r="A710" s="6" t="s">
        <v>165</v>
      </c>
      <c r="B710" s="6" t="s">
        <v>603</v>
      </c>
      <c r="C710" s="6" t="s">
        <v>20</v>
      </c>
      <c r="D710" s="7">
        <v>45297</v>
      </c>
      <c r="E710" s="7">
        <v>45299</v>
      </c>
      <c r="F710" s="7">
        <v>45425</v>
      </c>
      <c r="G710" s="9">
        <v>10000</v>
      </c>
      <c r="H710" s="9">
        <v>9174.31</v>
      </c>
      <c r="I710" s="9">
        <v>825.69</v>
      </c>
      <c r="J710" s="7">
        <v>45492</v>
      </c>
      <c r="K710" s="8">
        <f t="shared" si="34"/>
        <v>2</v>
      </c>
      <c r="L710" s="8">
        <f t="shared" si="35"/>
        <v>126</v>
      </c>
      <c r="M710" s="8">
        <f t="shared" si="33"/>
        <v>67</v>
      </c>
      <c r="N710" s="6" t="s">
        <v>26</v>
      </c>
    </row>
    <row r="711" spans="1:14" x14ac:dyDescent="0.2">
      <c r="A711" s="6" t="s">
        <v>165</v>
      </c>
      <c r="B711" s="6" t="s">
        <v>603</v>
      </c>
      <c r="C711" s="6" t="s">
        <v>20</v>
      </c>
      <c r="D711" s="7">
        <v>45297</v>
      </c>
      <c r="E711" s="7">
        <v>45299</v>
      </c>
      <c r="F711" s="7">
        <v>45425</v>
      </c>
      <c r="G711" s="9">
        <v>40000</v>
      </c>
      <c r="H711" s="9">
        <v>36697.25</v>
      </c>
      <c r="I711" s="9">
        <v>3302.75</v>
      </c>
      <c r="J711" s="7">
        <v>45492</v>
      </c>
      <c r="K711" s="8">
        <f t="shared" si="34"/>
        <v>2</v>
      </c>
      <c r="L711" s="8">
        <f t="shared" si="35"/>
        <v>126</v>
      </c>
      <c r="M711" s="8">
        <f t="shared" si="33"/>
        <v>67</v>
      </c>
      <c r="N711" s="6" t="s">
        <v>26</v>
      </c>
    </row>
    <row r="712" spans="1:14" x14ac:dyDescent="0.2">
      <c r="A712" s="6" t="s">
        <v>411</v>
      </c>
      <c r="B712" s="6" t="s">
        <v>413</v>
      </c>
      <c r="C712" s="6" t="s">
        <v>20</v>
      </c>
      <c r="D712" s="7">
        <v>45287</v>
      </c>
      <c r="E712" s="7">
        <v>45294</v>
      </c>
      <c r="F712" s="7">
        <v>45426</v>
      </c>
      <c r="G712" s="9">
        <v>331380</v>
      </c>
      <c r="H712" s="9">
        <v>304018.34999999998</v>
      </c>
      <c r="I712" s="9">
        <v>27361.65</v>
      </c>
      <c r="J712" s="7">
        <v>45531</v>
      </c>
      <c r="K712" s="8">
        <f t="shared" si="34"/>
        <v>7</v>
      </c>
      <c r="L712" s="8">
        <f t="shared" si="35"/>
        <v>132</v>
      </c>
      <c r="M712" s="8">
        <f t="shared" si="33"/>
        <v>105</v>
      </c>
      <c r="N712" s="6" t="s">
        <v>26</v>
      </c>
    </row>
    <row r="713" spans="1:14" x14ac:dyDescent="0.2">
      <c r="A713" s="6" t="s">
        <v>478</v>
      </c>
      <c r="B713" s="6" t="s">
        <v>604</v>
      </c>
      <c r="C713" s="6" t="s">
        <v>20</v>
      </c>
      <c r="D713" s="7">
        <v>45344</v>
      </c>
      <c r="E713" s="7">
        <v>45345</v>
      </c>
      <c r="F713" s="7">
        <v>45427</v>
      </c>
      <c r="G713" s="9">
        <v>35000</v>
      </c>
      <c r="H713" s="9">
        <v>30973.45</v>
      </c>
      <c r="I713" s="9">
        <v>4026.55</v>
      </c>
      <c r="J713" s="7">
        <v>45505</v>
      </c>
      <c r="K713" s="8">
        <f t="shared" si="34"/>
        <v>1</v>
      </c>
      <c r="L713" s="8">
        <f t="shared" si="35"/>
        <v>82</v>
      </c>
      <c r="M713" s="8">
        <f t="shared" si="33"/>
        <v>78</v>
      </c>
      <c r="N713" s="6" t="s">
        <v>26</v>
      </c>
    </row>
    <row r="714" spans="1:14" x14ac:dyDescent="0.2">
      <c r="A714" s="6" t="s">
        <v>211</v>
      </c>
      <c r="B714" s="6" t="s">
        <v>212</v>
      </c>
      <c r="C714" s="6" t="s">
        <v>20</v>
      </c>
      <c r="D714" s="7">
        <v>45220</v>
      </c>
      <c r="E714" s="7">
        <v>45220</v>
      </c>
      <c r="F714" s="7">
        <v>45428</v>
      </c>
      <c r="G714" s="9">
        <v>22599.99</v>
      </c>
      <c r="H714" s="9">
        <v>20000</v>
      </c>
      <c r="I714" s="9">
        <v>2599.9899999999998</v>
      </c>
      <c r="J714" s="7">
        <v>45470</v>
      </c>
      <c r="K714" s="8">
        <f t="shared" si="34"/>
        <v>0</v>
      </c>
      <c r="L714" s="8">
        <f t="shared" si="35"/>
        <v>208</v>
      </c>
      <c r="M714" s="8">
        <f t="shared" si="33"/>
        <v>42</v>
      </c>
      <c r="N714" s="6" t="s">
        <v>26</v>
      </c>
    </row>
    <row r="715" spans="1:14" x14ac:dyDescent="0.2">
      <c r="A715" s="6" t="s">
        <v>605</v>
      </c>
      <c r="B715" s="6" t="s">
        <v>606</v>
      </c>
      <c r="C715" s="6" t="s">
        <v>20</v>
      </c>
      <c r="D715" s="7">
        <v>45370</v>
      </c>
      <c r="E715" s="7">
        <v>45375</v>
      </c>
      <c r="F715" s="7">
        <v>45432</v>
      </c>
      <c r="G715" s="9">
        <v>71190</v>
      </c>
      <c r="H715" s="9">
        <v>63000</v>
      </c>
      <c r="I715" s="9">
        <v>8190</v>
      </c>
      <c r="J715" s="7">
        <v>45461</v>
      </c>
      <c r="K715" s="8">
        <f t="shared" si="34"/>
        <v>5</v>
      </c>
      <c r="L715" s="8">
        <f t="shared" si="35"/>
        <v>57</v>
      </c>
      <c r="M715" s="8">
        <f t="shared" si="33"/>
        <v>29</v>
      </c>
      <c r="N715" s="6" t="s">
        <v>26</v>
      </c>
    </row>
    <row r="716" spans="1:14" x14ac:dyDescent="0.2">
      <c r="A716" s="6" t="s">
        <v>109</v>
      </c>
      <c r="B716" s="6" t="s">
        <v>607</v>
      </c>
      <c r="C716" s="6" t="s">
        <v>20</v>
      </c>
      <c r="D716" s="7">
        <v>45426</v>
      </c>
      <c r="E716" s="7">
        <v>45428</v>
      </c>
      <c r="F716" s="7">
        <v>45433</v>
      </c>
      <c r="G716" s="9">
        <v>4578</v>
      </c>
      <c r="H716" s="9">
        <v>4200</v>
      </c>
      <c r="I716" s="9">
        <v>378</v>
      </c>
      <c r="J716" s="7">
        <v>45448</v>
      </c>
      <c r="K716" s="8">
        <f t="shared" si="34"/>
        <v>2</v>
      </c>
      <c r="L716" s="8">
        <f t="shared" si="35"/>
        <v>5</v>
      </c>
      <c r="M716" s="8">
        <f t="shared" si="33"/>
        <v>15</v>
      </c>
      <c r="N716" s="6" t="s">
        <v>26</v>
      </c>
    </row>
    <row r="717" spans="1:14" x14ac:dyDescent="0.2">
      <c r="A717" s="6" t="s">
        <v>109</v>
      </c>
      <c r="B717" s="6" t="s">
        <v>607</v>
      </c>
      <c r="C717" s="6" t="s">
        <v>20</v>
      </c>
      <c r="D717" s="7"/>
      <c r="E717" s="7">
        <v>45428</v>
      </c>
      <c r="F717" s="7">
        <v>45433</v>
      </c>
      <c r="G717" s="9">
        <v>4578</v>
      </c>
      <c r="H717" s="9">
        <v>4200</v>
      </c>
      <c r="I717" s="9">
        <v>378</v>
      </c>
      <c r="J717" s="7">
        <v>45448</v>
      </c>
      <c r="K717" s="8" t="str">
        <f t="shared" si="34"/>
        <v/>
      </c>
      <c r="L717" s="8" t="str">
        <f t="shared" si="35"/>
        <v/>
      </c>
      <c r="M717" s="8">
        <f t="shared" si="33"/>
        <v>15</v>
      </c>
      <c r="N717" s="6" t="s">
        <v>26</v>
      </c>
    </row>
    <row r="718" spans="1:14" x14ac:dyDescent="0.2">
      <c r="A718" s="6" t="s">
        <v>109</v>
      </c>
      <c r="B718" s="6" t="s">
        <v>607</v>
      </c>
      <c r="C718" s="6" t="s">
        <v>20</v>
      </c>
      <c r="D718" s="7"/>
      <c r="E718" s="7">
        <v>45428</v>
      </c>
      <c r="F718" s="7">
        <v>45442</v>
      </c>
      <c r="G718" s="9">
        <v>-4578</v>
      </c>
      <c r="H718" s="9">
        <v>-378</v>
      </c>
      <c r="I718" s="9">
        <v>-4200</v>
      </c>
      <c r="J718" s="7">
        <v>45448</v>
      </c>
      <c r="K718" s="8" t="str">
        <f t="shared" si="34"/>
        <v/>
      </c>
      <c r="L718" s="8" t="str">
        <f t="shared" si="35"/>
        <v/>
      </c>
      <c r="M718" s="8">
        <f t="shared" si="33"/>
        <v>6</v>
      </c>
      <c r="N718" s="6" t="s">
        <v>26</v>
      </c>
    </row>
    <row r="719" spans="1:14" x14ac:dyDescent="0.2">
      <c r="A719" s="6" t="s">
        <v>608</v>
      </c>
      <c r="B719" s="6" t="s">
        <v>609</v>
      </c>
      <c r="C719" s="6" t="s">
        <v>20</v>
      </c>
      <c r="D719" s="7"/>
      <c r="E719" s="7"/>
      <c r="F719" s="7">
        <v>45436</v>
      </c>
      <c r="G719" s="9">
        <v>70000</v>
      </c>
      <c r="H719" s="9">
        <v>61946.9</v>
      </c>
      <c r="I719" s="9">
        <v>8053.1</v>
      </c>
      <c r="J719" s="7">
        <v>45449</v>
      </c>
      <c r="K719" s="8" t="str">
        <f t="shared" si="34"/>
        <v/>
      </c>
      <c r="L719" s="8" t="str">
        <f t="shared" si="35"/>
        <v/>
      </c>
      <c r="M719" s="8">
        <f t="shared" si="33"/>
        <v>13</v>
      </c>
      <c r="N719" s="6" t="s">
        <v>26</v>
      </c>
    </row>
    <row r="720" spans="1:14" x14ac:dyDescent="0.2">
      <c r="A720" s="6" t="s">
        <v>213</v>
      </c>
      <c r="B720" s="6" t="s">
        <v>610</v>
      </c>
      <c r="C720" s="6" t="s">
        <v>20</v>
      </c>
      <c r="D720" s="7"/>
      <c r="E720" s="7"/>
      <c r="F720" s="7">
        <v>45440</v>
      </c>
      <c r="G720" s="9">
        <v>24000</v>
      </c>
      <c r="H720" s="9">
        <v>22641.51</v>
      </c>
      <c r="I720" s="9">
        <v>1358.49</v>
      </c>
      <c r="J720" s="7">
        <v>45471</v>
      </c>
      <c r="K720" s="8" t="str">
        <f t="shared" si="34"/>
        <v/>
      </c>
      <c r="L720" s="8" t="str">
        <f t="shared" si="35"/>
        <v/>
      </c>
      <c r="M720" s="8">
        <f t="shared" si="33"/>
        <v>31</v>
      </c>
      <c r="N720" s="6" t="s">
        <v>26</v>
      </c>
    </row>
    <row r="721" spans="1:14" x14ac:dyDescent="0.2">
      <c r="A721" s="6" t="s">
        <v>425</v>
      </c>
      <c r="B721" s="6" t="s">
        <v>611</v>
      </c>
      <c r="C721" s="6" t="s">
        <v>20</v>
      </c>
      <c r="D721" s="7"/>
      <c r="E721" s="7"/>
      <c r="F721" s="7">
        <v>45440</v>
      </c>
      <c r="G721" s="9">
        <v>556832</v>
      </c>
      <c r="H721" s="9">
        <v>510855.05</v>
      </c>
      <c r="I721" s="9">
        <v>45976.95</v>
      </c>
      <c r="J721" s="7">
        <v>45471</v>
      </c>
      <c r="K721" s="8" t="str">
        <f t="shared" si="34"/>
        <v/>
      </c>
      <c r="L721" s="8" t="str">
        <f t="shared" si="35"/>
        <v/>
      </c>
      <c r="M721" s="8">
        <f t="shared" si="33"/>
        <v>31</v>
      </c>
      <c r="N721" s="6" t="s">
        <v>26</v>
      </c>
    </row>
    <row r="722" spans="1:14" x14ac:dyDescent="0.2">
      <c r="A722" s="6" t="s">
        <v>115</v>
      </c>
      <c r="B722" s="6" t="s">
        <v>612</v>
      </c>
      <c r="C722" s="6" t="s">
        <v>20</v>
      </c>
      <c r="D722" s="7"/>
      <c r="E722" s="7"/>
      <c r="F722" s="7">
        <v>45441</v>
      </c>
      <c r="G722" s="9">
        <v>119400</v>
      </c>
      <c r="H722" s="9">
        <v>105663.72</v>
      </c>
      <c r="I722" s="9">
        <v>13736.28</v>
      </c>
      <c r="J722" s="7">
        <v>45506</v>
      </c>
      <c r="K722" s="8" t="str">
        <f t="shared" si="34"/>
        <v/>
      </c>
      <c r="L722" s="8" t="str">
        <f t="shared" si="35"/>
        <v/>
      </c>
      <c r="M722" s="8">
        <f t="shared" si="33"/>
        <v>65</v>
      </c>
      <c r="N722" s="6" t="s">
        <v>26</v>
      </c>
    </row>
    <row r="723" spans="1:14" x14ac:dyDescent="0.2">
      <c r="A723" s="6" t="s">
        <v>103</v>
      </c>
      <c r="B723" s="6" t="s">
        <v>104</v>
      </c>
      <c r="C723" s="6" t="s">
        <v>20</v>
      </c>
      <c r="D723" s="7"/>
      <c r="E723" s="7"/>
      <c r="F723" s="7">
        <v>45442</v>
      </c>
      <c r="G723" s="9">
        <v>-99000</v>
      </c>
      <c r="H723" s="9">
        <v>-87610.62</v>
      </c>
      <c r="I723" s="9">
        <v>-11389.38</v>
      </c>
      <c r="J723" s="7">
        <v>45657</v>
      </c>
      <c r="K723" s="8" t="str">
        <f t="shared" si="34"/>
        <v/>
      </c>
      <c r="L723" s="8" t="str">
        <f t="shared" si="35"/>
        <v/>
      </c>
      <c r="M723" s="8">
        <f t="shared" si="33"/>
        <v>215</v>
      </c>
      <c r="N723" s="6" t="s">
        <v>26</v>
      </c>
    </row>
    <row r="724" spans="1:14" x14ac:dyDescent="0.2">
      <c r="A724" s="6" t="s">
        <v>103</v>
      </c>
      <c r="B724" s="6" t="s">
        <v>613</v>
      </c>
      <c r="C724" s="6" t="s">
        <v>20</v>
      </c>
      <c r="D724" s="7"/>
      <c r="E724" s="7"/>
      <c r="F724" s="7">
        <v>45442</v>
      </c>
      <c r="G724" s="9">
        <v>99000</v>
      </c>
      <c r="H724" s="9">
        <v>87610.62</v>
      </c>
      <c r="I724" s="9">
        <v>11389.38</v>
      </c>
      <c r="J724" s="7">
        <v>45657</v>
      </c>
      <c r="K724" s="8" t="str">
        <f t="shared" si="34"/>
        <v/>
      </c>
      <c r="L724" s="8" t="str">
        <f t="shared" si="35"/>
        <v/>
      </c>
      <c r="M724" s="8">
        <f t="shared" si="33"/>
        <v>215</v>
      </c>
      <c r="N724" s="6" t="s">
        <v>26</v>
      </c>
    </row>
    <row r="725" spans="1:14" x14ac:dyDescent="0.2">
      <c r="A725" s="6" t="s">
        <v>478</v>
      </c>
      <c r="B725" s="6" t="s">
        <v>614</v>
      </c>
      <c r="C725" s="6" t="s">
        <v>20</v>
      </c>
      <c r="D725" s="7"/>
      <c r="E725" s="7"/>
      <c r="F725" s="7">
        <v>45442</v>
      </c>
      <c r="G725" s="9">
        <v>-35000</v>
      </c>
      <c r="H725" s="9">
        <v>-30973.45</v>
      </c>
      <c r="I725" s="9">
        <v>-4026.55</v>
      </c>
      <c r="J725" s="7">
        <v>45505</v>
      </c>
      <c r="K725" s="8" t="str">
        <f t="shared" si="34"/>
        <v/>
      </c>
      <c r="L725" s="8" t="str">
        <f t="shared" si="35"/>
        <v/>
      </c>
      <c r="M725" s="8">
        <f t="shared" si="33"/>
        <v>63</v>
      </c>
      <c r="N725" s="6" t="s">
        <v>26</v>
      </c>
    </row>
    <row r="726" spans="1:14" x14ac:dyDescent="0.2">
      <c r="A726" s="6" t="s">
        <v>478</v>
      </c>
      <c r="B726" s="6" t="s">
        <v>614</v>
      </c>
      <c r="C726" s="6" t="s">
        <v>20</v>
      </c>
      <c r="D726" s="7"/>
      <c r="E726" s="7"/>
      <c r="F726" s="7">
        <v>45442</v>
      </c>
      <c r="G726" s="9">
        <v>35000</v>
      </c>
      <c r="H726" s="9">
        <v>30973.45</v>
      </c>
      <c r="I726" s="9">
        <v>4026.55</v>
      </c>
      <c r="J726" s="7">
        <v>45505</v>
      </c>
      <c r="K726" s="8" t="str">
        <f t="shared" si="34"/>
        <v/>
      </c>
      <c r="L726" s="8" t="str">
        <f t="shared" si="35"/>
        <v/>
      </c>
      <c r="M726" s="8">
        <f t="shared" si="33"/>
        <v>63</v>
      </c>
      <c r="N726" s="6" t="s">
        <v>26</v>
      </c>
    </row>
    <row r="727" spans="1:14" x14ac:dyDescent="0.2">
      <c r="A727" s="6" t="s">
        <v>217</v>
      </c>
      <c r="B727" s="6" t="s">
        <v>615</v>
      </c>
      <c r="C727" s="6" t="s">
        <v>20</v>
      </c>
      <c r="D727" s="7"/>
      <c r="E727" s="7"/>
      <c r="F727" s="7">
        <v>45442</v>
      </c>
      <c r="G727" s="9">
        <v>54240</v>
      </c>
      <c r="H727" s="9">
        <v>48000</v>
      </c>
      <c r="I727" s="9">
        <v>6240</v>
      </c>
      <c r="J727" s="7">
        <v>45483</v>
      </c>
      <c r="K727" s="8" t="str">
        <f t="shared" si="34"/>
        <v/>
      </c>
      <c r="L727" s="8" t="str">
        <f t="shared" si="35"/>
        <v/>
      </c>
      <c r="M727" s="8">
        <f t="shared" si="33"/>
        <v>41</v>
      </c>
      <c r="N727" s="6" t="s">
        <v>26</v>
      </c>
    </row>
    <row r="728" spans="1:14" x14ac:dyDescent="0.2">
      <c r="A728" s="6" t="s">
        <v>616</v>
      </c>
      <c r="B728" s="6" t="s">
        <v>104</v>
      </c>
      <c r="C728" s="6" t="s">
        <v>20</v>
      </c>
      <c r="D728" s="7"/>
      <c r="E728" s="7"/>
      <c r="F728" s="7">
        <v>45443</v>
      </c>
      <c r="G728" s="9">
        <v>-59970</v>
      </c>
      <c r="H728" s="9">
        <v>-55018.35</v>
      </c>
      <c r="I728" s="9">
        <v>-4951.6499999999996</v>
      </c>
      <c r="J728" s="7">
        <v>45506</v>
      </c>
      <c r="K728" s="8" t="str">
        <f t="shared" si="34"/>
        <v/>
      </c>
      <c r="L728" s="8" t="str">
        <f t="shared" si="35"/>
        <v/>
      </c>
      <c r="M728" s="8">
        <f t="shared" si="33"/>
        <v>63</v>
      </c>
      <c r="N728" s="6" t="s">
        <v>26</v>
      </c>
    </row>
    <row r="729" spans="1:14" x14ac:dyDescent="0.2">
      <c r="A729" s="6" t="s">
        <v>616</v>
      </c>
      <c r="B729" s="6" t="s">
        <v>613</v>
      </c>
      <c r="C729" s="6" t="s">
        <v>20</v>
      </c>
      <c r="D729" s="7"/>
      <c r="E729" s="7"/>
      <c r="F729" s="7">
        <v>45443</v>
      </c>
      <c r="G729" s="9">
        <v>85000</v>
      </c>
      <c r="H729" s="9">
        <v>77981.649999999994</v>
      </c>
      <c r="I729" s="9">
        <v>7018.35</v>
      </c>
      <c r="J729" s="7">
        <v>45506</v>
      </c>
      <c r="K729" s="8" t="str">
        <f t="shared" si="34"/>
        <v/>
      </c>
      <c r="L729" s="8" t="str">
        <f t="shared" si="35"/>
        <v/>
      </c>
      <c r="M729" s="8">
        <f t="shared" si="33"/>
        <v>63</v>
      </c>
      <c r="N729" s="6" t="s">
        <v>26</v>
      </c>
    </row>
    <row r="730" spans="1:14" x14ac:dyDescent="0.2">
      <c r="A730" s="6" t="s">
        <v>42</v>
      </c>
      <c r="B730" s="6" t="s">
        <v>617</v>
      </c>
      <c r="C730" s="6" t="s">
        <v>20</v>
      </c>
      <c r="D730" s="7"/>
      <c r="E730" s="7"/>
      <c r="F730" s="7">
        <v>45446</v>
      </c>
      <c r="G730" s="9">
        <v>118000</v>
      </c>
      <c r="H730" s="9">
        <v>104424.78</v>
      </c>
      <c r="I730" s="9">
        <v>13575.22</v>
      </c>
      <c r="J730" s="7">
        <v>45461</v>
      </c>
      <c r="K730" s="8" t="str">
        <f t="shared" si="34"/>
        <v/>
      </c>
      <c r="L730" s="8" t="str">
        <f t="shared" si="35"/>
        <v/>
      </c>
      <c r="M730" s="8">
        <f t="shared" si="33"/>
        <v>15</v>
      </c>
      <c r="N730" s="6" t="s">
        <v>26</v>
      </c>
    </row>
    <row r="731" spans="1:14" x14ac:dyDescent="0.2">
      <c r="A731" s="6" t="s">
        <v>618</v>
      </c>
      <c r="B731" s="6" t="s">
        <v>619</v>
      </c>
      <c r="C731" s="6" t="s">
        <v>20</v>
      </c>
      <c r="D731" s="7"/>
      <c r="E731" s="7"/>
      <c r="F731" s="7">
        <v>45447</v>
      </c>
      <c r="G731" s="9">
        <v>267448.3</v>
      </c>
      <c r="H731" s="9">
        <v>245365.41</v>
      </c>
      <c r="I731" s="9">
        <v>22082.89</v>
      </c>
      <c r="J731" s="7">
        <v>45678</v>
      </c>
      <c r="K731" s="8" t="str">
        <f t="shared" si="34"/>
        <v/>
      </c>
      <c r="L731" s="8" t="str">
        <f t="shared" si="35"/>
        <v/>
      </c>
      <c r="M731" s="8">
        <f t="shared" si="33"/>
        <v>231</v>
      </c>
      <c r="N731" s="6" t="s">
        <v>26</v>
      </c>
    </row>
    <row r="732" spans="1:14" x14ac:dyDescent="0.2">
      <c r="A732" s="6" t="s">
        <v>620</v>
      </c>
      <c r="B732" s="6" t="s">
        <v>621</v>
      </c>
      <c r="C732" s="6" t="s">
        <v>20</v>
      </c>
      <c r="D732" s="7"/>
      <c r="E732" s="7"/>
      <c r="F732" s="7">
        <v>45448</v>
      </c>
      <c r="G732" s="9">
        <v>7000</v>
      </c>
      <c r="H732" s="9">
        <v>6422.02</v>
      </c>
      <c r="I732" s="9">
        <v>577.98</v>
      </c>
      <c r="J732" s="7">
        <v>45473</v>
      </c>
      <c r="K732" s="8" t="str">
        <f t="shared" si="34"/>
        <v/>
      </c>
      <c r="L732" s="8" t="str">
        <f t="shared" si="35"/>
        <v/>
      </c>
      <c r="M732" s="8">
        <f t="shared" si="33"/>
        <v>25</v>
      </c>
      <c r="N732" s="6" t="s">
        <v>26</v>
      </c>
    </row>
    <row r="733" spans="1:14" x14ac:dyDescent="0.2">
      <c r="A733" s="6" t="s">
        <v>620</v>
      </c>
      <c r="B733" s="6" t="s">
        <v>621</v>
      </c>
      <c r="C733" s="6" t="s">
        <v>20</v>
      </c>
      <c r="D733" s="7"/>
      <c r="E733" s="7"/>
      <c r="F733" s="7">
        <v>45448</v>
      </c>
      <c r="G733" s="9">
        <v>48600</v>
      </c>
      <c r="H733" s="9">
        <v>44587.16</v>
      </c>
      <c r="I733" s="9">
        <v>4012.84</v>
      </c>
      <c r="J733" s="7">
        <v>45473</v>
      </c>
      <c r="K733" s="8" t="str">
        <f t="shared" si="34"/>
        <v/>
      </c>
      <c r="L733" s="8" t="str">
        <f t="shared" si="35"/>
        <v/>
      </c>
      <c r="M733" s="8">
        <f t="shared" si="33"/>
        <v>25</v>
      </c>
      <c r="N733" s="6" t="s">
        <v>26</v>
      </c>
    </row>
    <row r="734" spans="1:14" x14ac:dyDescent="0.2">
      <c r="A734" s="6" t="s">
        <v>47</v>
      </c>
      <c r="B734" s="6" t="s">
        <v>622</v>
      </c>
      <c r="C734" s="6" t="s">
        <v>20</v>
      </c>
      <c r="D734" s="7"/>
      <c r="E734" s="7"/>
      <c r="F734" s="7">
        <v>45460</v>
      </c>
      <c r="G734" s="9">
        <v>498200</v>
      </c>
      <c r="H734" s="9">
        <v>457064.22</v>
      </c>
      <c r="I734" s="9">
        <v>41135.78</v>
      </c>
      <c r="J734" s="7">
        <v>45469</v>
      </c>
      <c r="K734" s="8" t="str">
        <f t="shared" si="34"/>
        <v/>
      </c>
      <c r="L734" s="8" t="str">
        <f t="shared" si="35"/>
        <v/>
      </c>
      <c r="M734" s="8">
        <f t="shared" si="33"/>
        <v>9</v>
      </c>
      <c r="N734" s="6" t="s">
        <v>26</v>
      </c>
    </row>
    <row r="735" spans="1:14" x14ac:dyDescent="0.2">
      <c r="A735" s="6" t="s">
        <v>299</v>
      </c>
      <c r="B735" s="6" t="s">
        <v>300</v>
      </c>
      <c r="C735" s="6" t="s">
        <v>20</v>
      </c>
      <c r="D735" s="7"/>
      <c r="E735" s="7"/>
      <c r="F735" s="7">
        <v>45462</v>
      </c>
      <c r="G735" s="9">
        <v>9990</v>
      </c>
      <c r="H735" s="9">
        <v>8840.7099999999991</v>
      </c>
      <c r="I735" s="9">
        <v>1149.29</v>
      </c>
      <c r="J735" s="7">
        <v>45504</v>
      </c>
      <c r="K735" s="8" t="str">
        <f t="shared" si="34"/>
        <v/>
      </c>
      <c r="L735" s="8" t="str">
        <f t="shared" si="35"/>
        <v/>
      </c>
      <c r="M735" s="8">
        <f t="shared" si="33"/>
        <v>42</v>
      </c>
      <c r="N735" s="6" t="s">
        <v>26</v>
      </c>
    </row>
    <row r="736" spans="1:14" x14ac:dyDescent="0.2">
      <c r="A736" s="6" t="s">
        <v>139</v>
      </c>
      <c r="B736" s="6" t="s">
        <v>623</v>
      </c>
      <c r="C736" s="6" t="s">
        <v>20</v>
      </c>
      <c r="D736" s="7"/>
      <c r="E736" s="7"/>
      <c r="F736" s="7">
        <v>45469</v>
      </c>
      <c r="G736" s="9">
        <v>33000</v>
      </c>
      <c r="H736" s="9">
        <v>29203.54</v>
      </c>
      <c r="I736" s="9">
        <v>3796.46</v>
      </c>
      <c r="J736" s="7">
        <v>45625</v>
      </c>
      <c r="K736" s="8" t="str">
        <f t="shared" si="34"/>
        <v/>
      </c>
      <c r="L736" s="8" t="str">
        <f t="shared" si="35"/>
        <v/>
      </c>
      <c r="M736" s="8">
        <f t="shared" si="33"/>
        <v>156</v>
      </c>
      <c r="N736" s="6" t="s">
        <v>26</v>
      </c>
    </row>
    <row r="737" spans="1:14" x14ac:dyDescent="0.2">
      <c r="A737" s="6" t="s">
        <v>624</v>
      </c>
      <c r="B737" s="6" t="s">
        <v>625</v>
      </c>
      <c r="C737" s="6" t="s">
        <v>20</v>
      </c>
      <c r="D737" s="7"/>
      <c r="E737" s="7"/>
      <c r="F737" s="7">
        <v>45469</v>
      </c>
      <c r="G737" s="9">
        <v>32000</v>
      </c>
      <c r="H737" s="9">
        <v>29357.8</v>
      </c>
      <c r="I737" s="9">
        <v>2642.2</v>
      </c>
      <c r="J737" s="7">
        <v>45532</v>
      </c>
      <c r="K737" s="8" t="str">
        <f t="shared" si="34"/>
        <v/>
      </c>
      <c r="L737" s="8" t="str">
        <f t="shared" si="35"/>
        <v/>
      </c>
      <c r="M737" s="8">
        <f t="shared" si="33"/>
        <v>63</v>
      </c>
      <c r="N737" s="6" t="s">
        <v>26</v>
      </c>
    </row>
    <row r="738" spans="1:14" x14ac:dyDescent="0.2">
      <c r="A738" s="6" t="s">
        <v>425</v>
      </c>
      <c r="B738" s="6" t="s">
        <v>626</v>
      </c>
      <c r="C738" s="6" t="s">
        <v>20</v>
      </c>
      <c r="D738" s="7"/>
      <c r="E738" s="7"/>
      <c r="F738" s="7">
        <v>45470</v>
      </c>
      <c r="G738" s="9">
        <v>337982</v>
      </c>
      <c r="H738" s="9">
        <v>310075.23</v>
      </c>
      <c r="I738" s="9">
        <v>27906.77</v>
      </c>
      <c r="J738" s="7">
        <v>45471</v>
      </c>
      <c r="K738" s="8" t="str">
        <f t="shared" si="34"/>
        <v/>
      </c>
      <c r="L738" s="8" t="str">
        <f t="shared" si="35"/>
        <v/>
      </c>
      <c r="M738" s="8">
        <f t="shared" si="33"/>
        <v>1</v>
      </c>
      <c r="N738" s="6" t="s">
        <v>26</v>
      </c>
    </row>
    <row r="739" spans="1:14" x14ac:dyDescent="0.2">
      <c r="A739" s="6" t="s">
        <v>109</v>
      </c>
      <c r="B739" s="6" t="s">
        <v>627</v>
      </c>
      <c r="C739" s="6" t="s">
        <v>20</v>
      </c>
      <c r="D739" s="7"/>
      <c r="E739" s="7"/>
      <c r="F739" s="7">
        <v>45474</v>
      </c>
      <c r="G739" s="9">
        <v>65000</v>
      </c>
      <c r="H739" s="9">
        <v>57522.12</v>
      </c>
      <c r="I739" s="9">
        <v>7477.88</v>
      </c>
      <c r="J739" s="7">
        <v>45476</v>
      </c>
      <c r="K739" s="8" t="str">
        <f t="shared" si="34"/>
        <v/>
      </c>
      <c r="L739" s="8" t="str">
        <f t="shared" si="35"/>
        <v/>
      </c>
      <c r="M739" s="8">
        <f t="shared" si="33"/>
        <v>2</v>
      </c>
      <c r="N739" s="6" t="s">
        <v>26</v>
      </c>
    </row>
    <row r="740" spans="1:14" x14ac:dyDescent="0.2">
      <c r="A740" s="6" t="s">
        <v>109</v>
      </c>
      <c r="B740" s="6" t="s">
        <v>628</v>
      </c>
      <c r="C740" s="6" t="s">
        <v>20</v>
      </c>
      <c r="D740" s="7"/>
      <c r="E740" s="7"/>
      <c r="F740" s="7">
        <v>45474</v>
      </c>
      <c r="G740" s="9">
        <v>93225</v>
      </c>
      <c r="H740" s="9">
        <v>82500</v>
      </c>
      <c r="I740" s="9">
        <v>10725</v>
      </c>
      <c r="J740" s="7">
        <v>45476</v>
      </c>
      <c r="K740" s="8" t="str">
        <f t="shared" si="34"/>
        <v/>
      </c>
      <c r="L740" s="8" t="str">
        <f t="shared" si="35"/>
        <v/>
      </c>
      <c r="M740" s="8">
        <f t="shared" si="33"/>
        <v>2</v>
      </c>
      <c r="N740" s="6" t="s">
        <v>26</v>
      </c>
    </row>
    <row r="741" spans="1:14" x14ac:dyDescent="0.2">
      <c r="A741" s="6" t="s">
        <v>94</v>
      </c>
      <c r="B741" s="6" t="s">
        <v>95</v>
      </c>
      <c r="C741" s="6" t="s">
        <v>20</v>
      </c>
      <c r="D741" s="7"/>
      <c r="E741" s="7"/>
      <c r="F741" s="7">
        <v>45477</v>
      </c>
      <c r="G741" s="9">
        <v>5000</v>
      </c>
      <c r="H741" s="9">
        <v>4424.78</v>
      </c>
      <c r="I741" s="9">
        <v>575.22</v>
      </c>
      <c r="J741" s="7">
        <v>45482</v>
      </c>
      <c r="K741" s="8" t="str">
        <f t="shared" si="34"/>
        <v/>
      </c>
      <c r="L741" s="8" t="str">
        <f t="shared" si="35"/>
        <v/>
      </c>
      <c r="M741" s="8">
        <f t="shared" si="33"/>
        <v>5</v>
      </c>
      <c r="N741" s="6" t="s">
        <v>26</v>
      </c>
    </row>
    <row r="742" spans="1:14" x14ac:dyDescent="0.2">
      <c r="A742" s="6" t="s">
        <v>94</v>
      </c>
      <c r="B742" s="6" t="s">
        <v>106</v>
      </c>
      <c r="C742" s="6" t="s">
        <v>20</v>
      </c>
      <c r="D742" s="7"/>
      <c r="E742" s="7"/>
      <c r="F742" s="7">
        <v>45477</v>
      </c>
      <c r="G742" s="9">
        <v>37008</v>
      </c>
      <c r="H742" s="9">
        <v>32750.44</v>
      </c>
      <c r="I742" s="9">
        <v>4257.5600000000004</v>
      </c>
      <c r="J742" s="7">
        <v>45482</v>
      </c>
      <c r="K742" s="8" t="str">
        <f t="shared" si="34"/>
        <v/>
      </c>
      <c r="L742" s="8" t="str">
        <f t="shared" si="35"/>
        <v/>
      </c>
      <c r="M742" s="8">
        <f t="shared" si="33"/>
        <v>5</v>
      </c>
      <c r="N742" s="6" t="s">
        <v>26</v>
      </c>
    </row>
    <row r="743" spans="1:14" x14ac:dyDescent="0.2">
      <c r="A743" s="6" t="s">
        <v>425</v>
      </c>
      <c r="B743" s="6" t="s">
        <v>629</v>
      </c>
      <c r="C743" s="6" t="s">
        <v>20</v>
      </c>
      <c r="D743" s="7"/>
      <c r="E743" s="7"/>
      <c r="F743" s="7">
        <v>45478</v>
      </c>
      <c r="G743" s="9">
        <v>268786</v>
      </c>
      <c r="H743" s="9">
        <v>246592.66</v>
      </c>
      <c r="I743" s="9">
        <v>22193.34</v>
      </c>
      <c r="J743" s="7">
        <v>45499</v>
      </c>
      <c r="K743" s="8" t="str">
        <f t="shared" si="34"/>
        <v/>
      </c>
      <c r="L743" s="8" t="str">
        <f t="shared" si="35"/>
        <v/>
      </c>
      <c r="M743" s="8">
        <f t="shared" si="33"/>
        <v>21</v>
      </c>
      <c r="N743" s="6" t="s">
        <v>26</v>
      </c>
    </row>
    <row r="744" spans="1:14" x14ac:dyDescent="0.2">
      <c r="A744" s="6" t="s">
        <v>425</v>
      </c>
      <c r="B744" s="6" t="s">
        <v>630</v>
      </c>
      <c r="C744" s="6" t="s">
        <v>20</v>
      </c>
      <c r="D744" s="7"/>
      <c r="E744" s="7"/>
      <c r="F744" s="7">
        <v>45482</v>
      </c>
      <c r="G744" s="9">
        <v>408679</v>
      </c>
      <c r="H744" s="9">
        <v>374934.86</v>
      </c>
      <c r="I744" s="9">
        <v>33744.14</v>
      </c>
      <c r="J744" s="7">
        <v>45499</v>
      </c>
      <c r="K744" s="8" t="str">
        <f t="shared" si="34"/>
        <v/>
      </c>
      <c r="L744" s="8" t="str">
        <f t="shared" si="35"/>
        <v/>
      </c>
      <c r="M744" s="8">
        <f t="shared" si="33"/>
        <v>17</v>
      </c>
      <c r="N744" s="6" t="s">
        <v>26</v>
      </c>
    </row>
    <row r="745" spans="1:14" x14ac:dyDescent="0.2">
      <c r="A745" s="6" t="s">
        <v>425</v>
      </c>
      <c r="B745" s="6" t="s">
        <v>631</v>
      </c>
      <c r="C745" s="6" t="s">
        <v>20</v>
      </c>
      <c r="D745" s="7"/>
      <c r="E745" s="7"/>
      <c r="F745" s="7">
        <v>45496</v>
      </c>
      <c r="G745" s="9">
        <v>59700</v>
      </c>
      <c r="H745" s="9">
        <v>54770.64</v>
      </c>
      <c r="I745" s="9">
        <v>4929.3599999999997</v>
      </c>
      <c r="J745" s="7">
        <v>45499</v>
      </c>
      <c r="K745" s="8" t="str">
        <f t="shared" si="34"/>
        <v/>
      </c>
      <c r="L745" s="8" t="str">
        <f t="shared" si="35"/>
        <v/>
      </c>
      <c r="M745" s="8">
        <f t="shared" si="33"/>
        <v>3</v>
      </c>
      <c r="N745" s="6" t="s">
        <v>26</v>
      </c>
    </row>
    <row r="746" spans="1:14" x14ac:dyDescent="0.2">
      <c r="A746" s="6" t="s">
        <v>425</v>
      </c>
      <c r="B746" s="6" t="s">
        <v>632</v>
      </c>
      <c r="C746" s="6" t="s">
        <v>20</v>
      </c>
      <c r="D746" s="7"/>
      <c r="E746" s="7"/>
      <c r="F746" s="7">
        <v>45485</v>
      </c>
      <c r="G746" s="9">
        <v>154384</v>
      </c>
      <c r="H746" s="9">
        <v>141636.70000000001</v>
      </c>
      <c r="I746" s="9">
        <v>12747.3</v>
      </c>
      <c r="J746" s="7">
        <v>45499</v>
      </c>
      <c r="K746" s="8" t="str">
        <f t="shared" si="34"/>
        <v/>
      </c>
      <c r="L746" s="8" t="str">
        <f t="shared" si="35"/>
        <v/>
      </c>
      <c r="M746" s="8">
        <f t="shared" si="33"/>
        <v>14</v>
      </c>
      <c r="N746" s="6" t="s">
        <v>26</v>
      </c>
    </row>
    <row r="747" spans="1:14" x14ac:dyDescent="0.2">
      <c r="A747" s="6" t="s">
        <v>425</v>
      </c>
      <c r="B747" s="6" t="s">
        <v>633</v>
      </c>
      <c r="C747" s="6" t="s">
        <v>20</v>
      </c>
      <c r="D747" s="7"/>
      <c r="E747" s="7"/>
      <c r="F747" s="7">
        <v>45485</v>
      </c>
      <c r="G747" s="9">
        <v>88404</v>
      </c>
      <c r="H747" s="9">
        <v>81104.59</v>
      </c>
      <c r="I747" s="9">
        <v>7299.41</v>
      </c>
      <c r="J747" s="7">
        <v>45499</v>
      </c>
      <c r="K747" s="8" t="str">
        <f t="shared" si="34"/>
        <v/>
      </c>
      <c r="L747" s="8" t="str">
        <f t="shared" si="35"/>
        <v/>
      </c>
      <c r="M747" s="8">
        <f t="shared" si="33"/>
        <v>14</v>
      </c>
      <c r="N747" s="6" t="s">
        <v>26</v>
      </c>
    </row>
    <row r="748" spans="1:14" x14ac:dyDescent="0.2">
      <c r="A748" s="6" t="s">
        <v>425</v>
      </c>
      <c r="B748" s="6" t="s">
        <v>634</v>
      </c>
      <c r="C748" s="6" t="s">
        <v>20</v>
      </c>
      <c r="D748" s="7"/>
      <c r="E748" s="7"/>
      <c r="F748" s="7">
        <v>45485</v>
      </c>
      <c r="G748" s="9">
        <v>50401</v>
      </c>
      <c r="H748" s="9">
        <v>46239.45</v>
      </c>
      <c r="I748" s="9">
        <v>4161.55</v>
      </c>
      <c r="J748" s="7">
        <v>45499</v>
      </c>
      <c r="K748" s="8" t="str">
        <f t="shared" si="34"/>
        <v/>
      </c>
      <c r="L748" s="8" t="str">
        <f t="shared" si="35"/>
        <v/>
      </c>
      <c r="M748" s="8">
        <f t="shared" si="33"/>
        <v>14</v>
      </c>
      <c r="N748" s="6" t="s">
        <v>26</v>
      </c>
    </row>
    <row r="749" spans="1:14" x14ac:dyDescent="0.2">
      <c r="A749" s="6" t="s">
        <v>425</v>
      </c>
      <c r="B749" s="6" t="s">
        <v>635</v>
      </c>
      <c r="C749" s="6" t="s">
        <v>20</v>
      </c>
      <c r="D749" s="7"/>
      <c r="E749" s="7"/>
      <c r="F749" s="7">
        <v>45485</v>
      </c>
      <c r="G749" s="9">
        <v>182936</v>
      </c>
      <c r="H749" s="9">
        <v>167831.19</v>
      </c>
      <c r="I749" s="9">
        <v>15104.81</v>
      </c>
      <c r="J749" s="7">
        <v>45499</v>
      </c>
      <c r="K749" s="8" t="str">
        <f t="shared" si="34"/>
        <v/>
      </c>
      <c r="L749" s="8" t="str">
        <f t="shared" si="35"/>
        <v/>
      </c>
      <c r="M749" s="8">
        <f t="shared" si="33"/>
        <v>14</v>
      </c>
      <c r="N749" s="6" t="s">
        <v>26</v>
      </c>
    </row>
    <row r="750" spans="1:14" x14ac:dyDescent="0.2">
      <c r="A750" s="6" t="s">
        <v>425</v>
      </c>
      <c r="B750" s="6" t="s">
        <v>636</v>
      </c>
      <c r="C750" s="6" t="s">
        <v>20</v>
      </c>
      <c r="D750" s="7"/>
      <c r="E750" s="7"/>
      <c r="F750" s="7">
        <v>45485</v>
      </c>
      <c r="G750" s="9">
        <v>258645</v>
      </c>
      <c r="H750" s="9">
        <v>237288.99</v>
      </c>
      <c r="I750" s="9">
        <v>21356.01</v>
      </c>
      <c r="J750" s="7">
        <v>45499</v>
      </c>
      <c r="K750" s="8" t="str">
        <f t="shared" si="34"/>
        <v/>
      </c>
      <c r="L750" s="8" t="str">
        <f t="shared" si="35"/>
        <v/>
      </c>
      <c r="M750" s="8">
        <f t="shared" si="33"/>
        <v>14</v>
      </c>
      <c r="N750" s="6" t="s">
        <v>26</v>
      </c>
    </row>
    <row r="751" spans="1:14" x14ac:dyDescent="0.2">
      <c r="A751" s="6" t="s">
        <v>637</v>
      </c>
      <c r="B751" s="6" t="s">
        <v>638</v>
      </c>
      <c r="C751" s="6" t="s">
        <v>20</v>
      </c>
      <c r="D751" s="7"/>
      <c r="E751" s="7"/>
      <c r="F751" s="7">
        <v>45488</v>
      </c>
      <c r="G751" s="9">
        <v>184800</v>
      </c>
      <c r="H751" s="9">
        <v>169541.28</v>
      </c>
      <c r="I751" s="9">
        <v>15258.72</v>
      </c>
      <c r="J751" s="7">
        <v>46017</v>
      </c>
      <c r="K751" s="8" t="str">
        <f t="shared" si="34"/>
        <v/>
      </c>
      <c r="L751" s="8" t="str">
        <f t="shared" si="35"/>
        <v/>
      </c>
      <c r="M751" s="8">
        <f t="shared" si="33"/>
        <v>529</v>
      </c>
      <c r="N751" s="6" t="s">
        <v>26</v>
      </c>
    </row>
    <row r="752" spans="1:14" x14ac:dyDescent="0.2">
      <c r="A752" s="6" t="s">
        <v>425</v>
      </c>
      <c r="B752" s="6" t="s">
        <v>639</v>
      </c>
      <c r="C752" s="6" t="s">
        <v>20</v>
      </c>
      <c r="D752" s="7"/>
      <c r="E752" s="7"/>
      <c r="F752" s="7">
        <v>45495</v>
      </c>
      <c r="G752" s="9">
        <v>218388</v>
      </c>
      <c r="H752" s="9">
        <v>200355.96</v>
      </c>
      <c r="I752" s="9">
        <v>18032.04</v>
      </c>
      <c r="J752" s="7">
        <v>45499</v>
      </c>
      <c r="K752" s="8" t="str">
        <f t="shared" si="34"/>
        <v/>
      </c>
      <c r="L752" s="8" t="str">
        <f t="shared" si="35"/>
        <v/>
      </c>
      <c r="M752" s="8">
        <f t="shared" si="33"/>
        <v>4</v>
      </c>
      <c r="N752" s="6" t="s">
        <v>26</v>
      </c>
    </row>
    <row r="753" spans="1:14" x14ac:dyDescent="0.2">
      <c r="A753" s="6" t="s">
        <v>425</v>
      </c>
      <c r="B753" s="6" t="s">
        <v>640</v>
      </c>
      <c r="C753" s="6" t="s">
        <v>20</v>
      </c>
      <c r="D753" s="7"/>
      <c r="E753" s="7"/>
      <c r="F753" s="7">
        <v>45496</v>
      </c>
      <c r="G753" s="9">
        <v>1080000</v>
      </c>
      <c r="H753" s="9">
        <v>990825.69</v>
      </c>
      <c r="I753" s="9">
        <v>89174.31</v>
      </c>
      <c r="J753" s="7">
        <v>45499</v>
      </c>
      <c r="K753" s="8" t="str">
        <f t="shared" si="34"/>
        <v/>
      </c>
      <c r="L753" s="8" t="str">
        <f t="shared" si="35"/>
        <v/>
      </c>
      <c r="M753" s="8">
        <f t="shared" si="33"/>
        <v>3</v>
      </c>
      <c r="N753" s="6" t="s">
        <v>26</v>
      </c>
    </row>
    <row r="754" spans="1:14" x14ac:dyDescent="0.2">
      <c r="A754" s="6" t="s">
        <v>238</v>
      </c>
      <c r="B754" s="6" t="s">
        <v>641</v>
      </c>
      <c r="C754" s="6" t="s">
        <v>20</v>
      </c>
      <c r="D754" s="7"/>
      <c r="E754" s="7"/>
      <c r="F754" s="7">
        <v>45496</v>
      </c>
      <c r="G754" s="9">
        <v>88500</v>
      </c>
      <c r="H754" s="9">
        <v>83490.570000000007</v>
      </c>
      <c r="I754" s="9">
        <v>5009.43</v>
      </c>
      <c r="J754" s="7">
        <v>45555</v>
      </c>
      <c r="K754" s="8" t="str">
        <f t="shared" si="34"/>
        <v/>
      </c>
      <c r="L754" s="8" t="str">
        <f t="shared" si="35"/>
        <v/>
      </c>
      <c r="M754" s="8">
        <f t="shared" si="33"/>
        <v>59</v>
      </c>
      <c r="N754" s="6" t="s">
        <v>26</v>
      </c>
    </row>
    <row r="755" spans="1:14" x14ac:dyDescent="0.2">
      <c r="A755" s="6" t="s">
        <v>425</v>
      </c>
      <c r="B755" s="6" t="s">
        <v>642</v>
      </c>
      <c r="C755" s="6" t="s">
        <v>20</v>
      </c>
      <c r="D755" s="7"/>
      <c r="E755" s="7"/>
      <c r="F755" s="7">
        <v>45497</v>
      </c>
      <c r="G755" s="9">
        <v>460000</v>
      </c>
      <c r="H755" s="9">
        <v>422018.35</v>
      </c>
      <c r="I755" s="9">
        <v>37981.65</v>
      </c>
      <c r="J755" s="7">
        <v>45499</v>
      </c>
      <c r="K755" s="8" t="str">
        <f t="shared" si="34"/>
        <v/>
      </c>
      <c r="L755" s="8" t="str">
        <f t="shared" si="35"/>
        <v/>
      </c>
      <c r="M755" s="8">
        <f t="shared" si="33"/>
        <v>2</v>
      </c>
      <c r="N755" s="6" t="s">
        <v>26</v>
      </c>
    </row>
    <row r="756" spans="1:14" x14ac:dyDescent="0.2">
      <c r="A756" s="6" t="s">
        <v>187</v>
      </c>
      <c r="B756" s="6" t="s">
        <v>643</v>
      </c>
      <c r="C756" s="6" t="s">
        <v>20</v>
      </c>
      <c r="D756" s="7"/>
      <c r="E756" s="7"/>
      <c r="F756" s="7">
        <v>45498</v>
      </c>
      <c r="G756" s="9">
        <v>36000</v>
      </c>
      <c r="H756" s="9">
        <v>33962.26</v>
      </c>
      <c r="I756" s="9">
        <v>2037.74</v>
      </c>
      <c r="J756" s="7">
        <v>45527</v>
      </c>
      <c r="K756" s="8" t="str">
        <f t="shared" si="34"/>
        <v/>
      </c>
      <c r="L756" s="8" t="str">
        <f t="shared" si="35"/>
        <v/>
      </c>
      <c r="M756" s="8">
        <f t="shared" si="33"/>
        <v>29</v>
      </c>
      <c r="N756" s="6" t="s">
        <v>26</v>
      </c>
    </row>
    <row r="757" spans="1:14" x14ac:dyDescent="0.2">
      <c r="A757" s="6" t="s">
        <v>187</v>
      </c>
      <c r="B757" s="6" t="s">
        <v>644</v>
      </c>
      <c r="C757" s="6" t="s">
        <v>20</v>
      </c>
      <c r="D757" s="7"/>
      <c r="E757" s="7"/>
      <c r="F757" s="7">
        <v>45499</v>
      </c>
      <c r="G757" s="9">
        <v>87000</v>
      </c>
      <c r="H757" s="9">
        <v>76991.149999999994</v>
      </c>
      <c r="I757" s="9">
        <v>10008.85</v>
      </c>
      <c r="J757" s="7">
        <v>45527</v>
      </c>
      <c r="K757" s="8" t="str">
        <f t="shared" si="34"/>
        <v/>
      </c>
      <c r="L757" s="8" t="str">
        <f t="shared" si="35"/>
        <v/>
      </c>
      <c r="M757" s="8">
        <f t="shared" si="33"/>
        <v>28</v>
      </c>
      <c r="N757" s="6" t="s">
        <v>26</v>
      </c>
    </row>
    <row r="758" spans="1:14" x14ac:dyDescent="0.2">
      <c r="A758" s="6" t="s">
        <v>187</v>
      </c>
      <c r="B758" s="6" t="s">
        <v>645</v>
      </c>
      <c r="C758" s="6" t="s">
        <v>20</v>
      </c>
      <c r="D758" s="7"/>
      <c r="E758" s="7"/>
      <c r="F758" s="7">
        <v>45498</v>
      </c>
      <c r="G758" s="9">
        <v>208000</v>
      </c>
      <c r="H758" s="9">
        <v>196226.42</v>
      </c>
      <c r="I758" s="9">
        <v>11773.58</v>
      </c>
      <c r="J758" s="7">
        <v>45527</v>
      </c>
      <c r="K758" s="8" t="str">
        <f t="shared" si="34"/>
        <v/>
      </c>
      <c r="L758" s="8" t="str">
        <f t="shared" si="35"/>
        <v/>
      </c>
      <c r="M758" s="8">
        <f t="shared" si="33"/>
        <v>29</v>
      </c>
      <c r="N758" s="6" t="s">
        <v>26</v>
      </c>
    </row>
    <row r="759" spans="1:14" x14ac:dyDescent="0.2">
      <c r="A759" s="6" t="s">
        <v>141</v>
      </c>
      <c r="B759" s="6" t="s">
        <v>494</v>
      </c>
      <c r="C759" s="6" t="s">
        <v>20</v>
      </c>
      <c r="D759" s="7"/>
      <c r="E759" s="7"/>
      <c r="F759" s="7">
        <v>45506</v>
      </c>
      <c r="G759" s="9">
        <v>34803.11</v>
      </c>
      <c r="H759" s="9">
        <v>31929.46</v>
      </c>
      <c r="I759" s="9">
        <v>2873.65</v>
      </c>
      <c r="J759" s="7">
        <v>45683</v>
      </c>
      <c r="K759" s="8" t="str">
        <f t="shared" si="34"/>
        <v/>
      </c>
      <c r="L759" s="8" t="str">
        <f t="shared" si="35"/>
        <v/>
      </c>
      <c r="M759" s="8">
        <f t="shared" si="33"/>
        <v>177</v>
      </c>
      <c r="N759" s="6" t="s">
        <v>26</v>
      </c>
    </row>
    <row r="760" spans="1:14" x14ac:dyDescent="0.2">
      <c r="A760" s="6" t="s">
        <v>440</v>
      </c>
      <c r="B760" s="6" t="s">
        <v>646</v>
      </c>
      <c r="C760" s="6" t="s">
        <v>20</v>
      </c>
      <c r="D760" s="7"/>
      <c r="E760" s="7"/>
      <c r="F760" s="7">
        <v>45506</v>
      </c>
      <c r="G760" s="9">
        <v>68000</v>
      </c>
      <c r="H760" s="9">
        <v>62385.32</v>
      </c>
      <c r="I760" s="9">
        <v>5614.68</v>
      </c>
      <c r="J760" s="7">
        <v>45561</v>
      </c>
      <c r="K760" s="8" t="str">
        <f t="shared" si="34"/>
        <v/>
      </c>
      <c r="L760" s="8" t="str">
        <f t="shared" si="35"/>
        <v/>
      </c>
      <c r="M760" s="8">
        <f t="shared" si="33"/>
        <v>55</v>
      </c>
      <c r="N760" s="6" t="s">
        <v>26</v>
      </c>
    </row>
    <row r="761" spans="1:14" x14ac:dyDescent="0.2">
      <c r="A761" s="6" t="s">
        <v>647</v>
      </c>
      <c r="B761" s="6" t="s">
        <v>648</v>
      </c>
      <c r="C761" s="6" t="s">
        <v>20</v>
      </c>
      <c r="D761" s="7">
        <v>45589</v>
      </c>
      <c r="E761" s="7">
        <v>45591</v>
      </c>
      <c r="F761" s="7">
        <v>45506</v>
      </c>
      <c r="G761" s="9">
        <v>56000</v>
      </c>
      <c r="H761" s="9">
        <v>49557.52</v>
      </c>
      <c r="I761" s="9">
        <v>6442.48</v>
      </c>
      <c r="J761" s="7">
        <v>45532</v>
      </c>
      <c r="K761" s="8">
        <f t="shared" si="34"/>
        <v>2</v>
      </c>
      <c r="L761" s="8">
        <f t="shared" si="35"/>
        <v>-85</v>
      </c>
      <c r="M761" s="8">
        <f t="shared" si="33"/>
        <v>26</v>
      </c>
      <c r="N761" s="6" t="s">
        <v>649</v>
      </c>
    </row>
    <row r="762" spans="1:14" x14ac:dyDescent="0.2">
      <c r="A762" s="6" t="s">
        <v>429</v>
      </c>
      <c r="B762" s="6" t="s">
        <v>650</v>
      </c>
      <c r="C762" s="6" t="s">
        <v>20</v>
      </c>
      <c r="D762" s="7"/>
      <c r="E762" s="7"/>
      <c r="F762" s="7">
        <v>45513</v>
      </c>
      <c r="G762" s="9">
        <v>20000</v>
      </c>
      <c r="H762" s="9">
        <v>17699.12</v>
      </c>
      <c r="I762" s="9">
        <v>2300.88</v>
      </c>
      <c r="J762" s="7">
        <v>45562</v>
      </c>
      <c r="K762" s="8" t="str">
        <f t="shared" si="34"/>
        <v/>
      </c>
      <c r="L762" s="8" t="str">
        <f t="shared" si="35"/>
        <v/>
      </c>
      <c r="M762" s="8">
        <f t="shared" si="33"/>
        <v>49</v>
      </c>
      <c r="N762" s="6" t="s">
        <v>26</v>
      </c>
    </row>
    <row r="763" spans="1:14" x14ac:dyDescent="0.2">
      <c r="A763" s="6" t="s">
        <v>425</v>
      </c>
      <c r="B763" s="6" t="s">
        <v>651</v>
      </c>
      <c r="C763" s="6" t="s">
        <v>652</v>
      </c>
      <c r="D763" s="7"/>
      <c r="E763" s="7"/>
      <c r="F763" s="7">
        <v>45516</v>
      </c>
      <c r="G763" s="9">
        <v>274200</v>
      </c>
      <c r="H763" s="9">
        <v>251559.63</v>
      </c>
      <c r="I763" s="9">
        <v>22640.37</v>
      </c>
      <c r="J763" s="7">
        <v>45526</v>
      </c>
      <c r="K763" s="8" t="str">
        <f t="shared" si="34"/>
        <v/>
      </c>
      <c r="L763" s="8" t="str">
        <f t="shared" si="35"/>
        <v/>
      </c>
      <c r="M763" s="8">
        <f t="shared" si="33"/>
        <v>10</v>
      </c>
      <c r="N763" s="6" t="s">
        <v>26</v>
      </c>
    </row>
    <row r="764" spans="1:14" x14ac:dyDescent="0.2">
      <c r="A764" s="6" t="s">
        <v>425</v>
      </c>
      <c r="B764" s="6" t="s">
        <v>651</v>
      </c>
      <c r="C764" s="6" t="s">
        <v>652</v>
      </c>
      <c r="D764" s="7"/>
      <c r="E764" s="7"/>
      <c r="F764" s="7">
        <v>45516</v>
      </c>
      <c r="G764" s="9">
        <v>300000</v>
      </c>
      <c r="H764" s="9">
        <v>275229.36</v>
      </c>
      <c r="I764" s="9">
        <v>24770.639999999999</v>
      </c>
      <c r="J764" s="7">
        <v>45526</v>
      </c>
      <c r="K764" s="8" t="str">
        <f t="shared" si="34"/>
        <v/>
      </c>
      <c r="L764" s="8" t="str">
        <f t="shared" si="35"/>
        <v/>
      </c>
      <c r="M764" s="8">
        <f t="shared" si="33"/>
        <v>10</v>
      </c>
      <c r="N764" s="6" t="s">
        <v>26</v>
      </c>
    </row>
    <row r="765" spans="1:14" x14ac:dyDescent="0.2">
      <c r="A765" s="6" t="s">
        <v>653</v>
      </c>
      <c r="B765" s="6" t="s">
        <v>654</v>
      </c>
      <c r="C765" s="6" t="s">
        <v>87</v>
      </c>
      <c r="D765" s="7"/>
      <c r="E765" s="7"/>
      <c r="F765" s="7">
        <v>45517</v>
      </c>
      <c r="G765" s="9">
        <v>25000</v>
      </c>
      <c r="H765" s="9">
        <v>22123.89</v>
      </c>
      <c r="I765" s="9">
        <v>2876.11</v>
      </c>
      <c r="J765" s="7"/>
      <c r="K765" s="8" t="str">
        <f t="shared" si="34"/>
        <v/>
      </c>
      <c r="L765" s="8" t="str">
        <f t="shared" si="35"/>
        <v/>
      </c>
      <c r="M765" s="8" t="str">
        <f t="shared" si="33"/>
        <v/>
      </c>
      <c r="N765" s="6" t="s">
        <v>21</v>
      </c>
    </row>
    <row r="766" spans="1:14" x14ac:dyDescent="0.2">
      <c r="A766" s="6" t="s">
        <v>71</v>
      </c>
      <c r="B766" s="6" t="s">
        <v>655</v>
      </c>
      <c r="C766" s="6" t="s">
        <v>20</v>
      </c>
      <c r="D766" s="7"/>
      <c r="E766" s="7"/>
      <c r="F766" s="7">
        <v>45520</v>
      </c>
      <c r="G766" s="9">
        <v>95000</v>
      </c>
      <c r="H766" s="9">
        <v>84070.8</v>
      </c>
      <c r="I766" s="9">
        <v>10929.2</v>
      </c>
      <c r="J766" s="7">
        <v>45533</v>
      </c>
      <c r="K766" s="8" t="str">
        <f t="shared" si="34"/>
        <v/>
      </c>
      <c r="L766" s="8" t="str">
        <f t="shared" si="35"/>
        <v/>
      </c>
      <c r="M766" s="8">
        <f t="shared" si="33"/>
        <v>13</v>
      </c>
      <c r="N766" s="6" t="s">
        <v>26</v>
      </c>
    </row>
    <row r="767" spans="1:14" x14ac:dyDescent="0.2">
      <c r="A767" s="6" t="s">
        <v>425</v>
      </c>
      <c r="B767" s="6" t="s">
        <v>656</v>
      </c>
      <c r="C767" s="6" t="s">
        <v>20</v>
      </c>
      <c r="D767" s="7"/>
      <c r="E767" s="7"/>
      <c r="F767" s="7">
        <v>45526</v>
      </c>
      <c r="G767" s="9">
        <v>224695</v>
      </c>
      <c r="H767" s="9">
        <v>206142.2</v>
      </c>
      <c r="I767" s="9">
        <v>18552.8</v>
      </c>
      <c r="J767" s="7">
        <v>45526</v>
      </c>
      <c r="K767" s="8" t="str">
        <f t="shared" si="34"/>
        <v/>
      </c>
      <c r="L767" s="8" t="str">
        <f t="shared" si="35"/>
        <v/>
      </c>
      <c r="M767" s="8">
        <f t="shared" si="33"/>
        <v>0</v>
      </c>
      <c r="N767" s="6" t="s">
        <v>26</v>
      </c>
    </row>
    <row r="768" spans="1:14" x14ac:dyDescent="0.2">
      <c r="A768" s="6" t="s">
        <v>429</v>
      </c>
      <c r="B768" s="6" t="s">
        <v>657</v>
      </c>
      <c r="C768" s="6" t="s">
        <v>20</v>
      </c>
      <c r="D768" s="7">
        <v>45282</v>
      </c>
      <c r="E768" s="7">
        <v>45293</v>
      </c>
      <c r="F768" s="7">
        <v>45527</v>
      </c>
      <c r="G768" s="9">
        <v>110000</v>
      </c>
      <c r="H768" s="9">
        <v>97345.13</v>
      </c>
      <c r="I768" s="9">
        <v>12654.87</v>
      </c>
      <c r="J768" s="7">
        <v>45562</v>
      </c>
      <c r="K768" s="8">
        <f t="shared" si="34"/>
        <v>11</v>
      </c>
      <c r="L768" s="8">
        <f t="shared" si="35"/>
        <v>234</v>
      </c>
      <c r="M768" s="8">
        <f t="shared" si="33"/>
        <v>35</v>
      </c>
      <c r="N768" s="6" t="s">
        <v>26</v>
      </c>
    </row>
    <row r="769" spans="1:14" x14ac:dyDescent="0.2">
      <c r="A769" s="6" t="s">
        <v>109</v>
      </c>
      <c r="B769" s="6" t="s">
        <v>658</v>
      </c>
      <c r="C769" s="6" t="s">
        <v>20</v>
      </c>
      <c r="D769" s="7"/>
      <c r="E769" s="7"/>
      <c r="F769" s="7">
        <v>45527</v>
      </c>
      <c r="G769" s="9">
        <v>565000</v>
      </c>
      <c r="H769" s="9">
        <v>500000</v>
      </c>
      <c r="I769" s="9">
        <v>65000</v>
      </c>
      <c r="J769" s="7">
        <v>45539</v>
      </c>
      <c r="K769" s="8" t="str">
        <f t="shared" si="34"/>
        <v/>
      </c>
      <c r="L769" s="8" t="str">
        <f t="shared" si="35"/>
        <v/>
      </c>
      <c r="M769" s="8">
        <f t="shared" si="33"/>
        <v>12</v>
      </c>
      <c r="N769" s="6" t="s">
        <v>26</v>
      </c>
    </row>
    <row r="770" spans="1:14" x14ac:dyDescent="0.2">
      <c r="A770" s="6" t="s">
        <v>405</v>
      </c>
      <c r="B770" s="6" t="s">
        <v>659</v>
      </c>
      <c r="C770" s="6" t="s">
        <v>20</v>
      </c>
      <c r="D770" s="7"/>
      <c r="E770" s="7"/>
      <c r="F770" s="7">
        <v>45531</v>
      </c>
      <c r="G770" s="9">
        <v>53000</v>
      </c>
      <c r="H770" s="9">
        <v>46902.65</v>
      </c>
      <c r="I770" s="9">
        <v>6097.35</v>
      </c>
      <c r="J770" s="7">
        <v>45589</v>
      </c>
      <c r="K770" s="8" t="str">
        <f t="shared" si="34"/>
        <v/>
      </c>
      <c r="L770" s="8" t="str">
        <f t="shared" si="35"/>
        <v/>
      </c>
      <c r="M770" s="8">
        <f t="shared" ref="M770:M833" si="36">IF(OR($F770="", $J770=""),"", $J770-$F770)</f>
        <v>58</v>
      </c>
      <c r="N770" s="6" t="s">
        <v>26</v>
      </c>
    </row>
    <row r="771" spans="1:14" x14ac:dyDescent="0.2">
      <c r="A771" s="6" t="s">
        <v>405</v>
      </c>
      <c r="B771" s="6" t="s">
        <v>659</v>
      </c>
      <c r="C771" s="6" t="s">
        <v>20</v>
      </c>
      <c r="D771" s="7">
        <v>45433</v>
      </c>
      <c r="E771" s="7">
        <v>45434</v>
      </c>
      <c r="F771" s="7">
        <v>45531</v>
      </c>
      <c r="G771" s="9">
        <v>48000</v>
      </c>
      <c r="H771" s="9">
        <v>42477.88</v>
      </c>
      <c r="I771" s="9">
        <v>5522.12</v>
      </c>
      <c r="J771" s="7">
        <v>45589</v>
      </c>
      <c r="K771" s="8">
        <f t="shared" ref="K771:K834" si="37">IF(OR($D771="", $F771=""),"", $E771-$D771)</f>
        <v>1</v>
      </c>
      <c r="L771" s="8">
        <f t="shared" ref="L771:L834" si="38">IF(OR($D771="", $F771=""),"", $F771-$E771)</f>
        <v>97</v>
      </c>
      <c r="M771" s="8">
        <f t="shared" si="36"/>
        <v>58</v>
      </c>
      <c r="N771" s="6" t="s">
        <v>26</v>
      </c>
    </row>
    <row r="772" spans="1:14" x14ac:dyDescent="0.2">
      <c r="A772" s="6" t="s">
        <v>647</v>
      </c>
      <c r="B772" s="6" t="s">
        <v>648</v>
      </c>
      <c r="C772" s="6" t="s">
        <v>20</v>
      </c>
      <c r="D772" s="7">
        <v>45589</v>
      </c>
      <c r="E772" s="7">
        <v>45591</v>
      </c>
      <c r="F772" s="7">
        <v>45532</v>
      </c>
      <c r="G772" s="9">
        <v>-56000</v>
      </c>
      <c r="H772" s="9">
        <v>-49557.52</v>
      </c>
      <c r="I772" s="9">
        <v>-6442.48</v>
      </c>
      <c r="J772" s="7">
        <v>45532</v>
      </c>
      <c r="K772" s="8">
        <f t="shared" si="37"/>
        <v>2</v>
      </c>
      <c r="L772" s="8">
        <f t="shared" si="38"/>
        <v>-59</v>
      </c>
      <c r="M772" s="8">
        <f t="shared" si="36"/>
        <v>0</v>
      </c>
      <c r="N772" s="6" t="s">
        <v>649</v>
      </c>
    </row>
    <row r="773" spans="1:14" x14ac:dyDescent="0.2">
      <c r="A773" s="6" t="s">
        <v>647</v>
      </c>
      <c r="B773" s="6" t="s">
        <v>648</v>
      </c>
      <c r="C773" s="6" t="s">
        <v>20</v>
      </c>
      <c r="D773" s="7">
        <v>45589</v>
      </c>
      <c r="E773" s="7">
        <v>45591</v>
      </c>
      <c r="F773" s="7">
        <v>45532</v>
      </c>
      <c r="G773" s="9">
        <v>10000</v>
      </c>
      <c r="H773" s="9">
        <v>8849.56</v>
      </c>
      <c r="I773" s="9">
        <v>1150.44</v>
      </c>
      <c r="J773" s="7">
        <v>45532</v>
      </c>
      <c r="K773" s="8">
        <f t="shared" si="37"/>
        <v>2</v>
      </c>
      <c r="L773" s="8">
        <f t="shared" si="38"/>
        <v>-59</v>
      </c>
      <c r="M773" s="8">
        <f t="shared" si="36"/>
        <v>0</v>
      </c>
      <c r="N773" s="6" t="s">
        <v>649</v>
      </c>
    </row>
    <row r="774" spans="1:14" x14ac:dyDescent="0.2">
      <c r="A774" s="6" t="s">
        <v>660</v>
      </c>
      <c r="B774" s="6" t="s">
        <v>661</v>
      </c>
      <c r="C774" s="6" t="s">
        <v>20</v>
      </c>
      <c r="D774" s="7"/>
      <c r="E774" s="7"/>
      <c r="F774" s="7">
        <v>45533</v>
      </c>
      <c r="G774" s="9">
        <v>417187.5</v>
      </c>
      <c r="H774" s="9">
        <v>382740.83</v>
      </c>
      <c r="I774" s="9">
        <v>34446.67</v>
      </c>
      <c r="J774" s="7">
        <v>45553</v>
      </c>
      <c r="K774" s="8" t="str">
        <f t="shared" si="37"/>
        <v/>
      </c>
      <c r="L774" s="8" t="str">
        <f t="shared" si="38"/>
        <v/>
      </c>
      <c r="M774" s="8">
        <f t="shared" si="36"/>
        <v>20</v>
      </c>
      <c r="N774" s="6" t="s">
        <v>26</v>
      </c>
    </row>
    <row r="775" spans="1:14" x14ac:dyDescent="0.2">
      <c r="A775" s="6" t="s">
        <v>618</v>
      </c>
      <c r="B775" s="6" t="s">
        <v>619</v>
      </c>
      <c r="C775" s="6" t="s">
        <v>20</v>
      </c>
      <c r="D775" s="7"/>
      <c r="E775" s="7"/>
      <c r="F775" s="7">
        <v>45533</v>
      </c>
      <c r="G775" s="9">
        <v>245365.4</v>
      </c>
      <c r="H775" s="9">
        <v>225105.87</v>
      </c>
      <c r="I775" s="9">
        <v>20259.53</v>
      </c>
      <c r="J775" s="7">
        <v>45678</v>
      </c>
      <c r="K775" s="8" t="str">
        <f t="shared" si="37"/>
        <v/>
      </c>
      <c r="L775" s="8" t="str">
        <f t="shared" si="38"/>
        <v/>
      </c>
      <c r="M775" s="8">
        <f t="shared" si="36"/>
        <v>145</v>
      </c>
      <c r="N775" s="6" t="s">
        <v>26</v>
      </c>
    </row>
    <row r="776" spans="1:14" x14ac:dyDescent="0.2">
      <c r="A776" s="6" t="s">
        <v>618</v>
      </c>
      <c r="B776" s="6" t="s">
        <v>619</v>
      </c>
      <c r="C776" s="6" t="s">
        <v>20</v>
      </c>
      <c r="D776" s="7"/>
      <c r="E776" s="7"/>
      <c r="F776" s="7">
        <v>45534</v>
      </c>
      <c r="G776" s="9">
        <v>-267448.3</v>
      </c>
      <c r="H776" s="9">
        <v>-245365.41</v>
      </c>
      <c r="I776" s="9">
        <v>-22082.89</v>
      </c>
      <c r="J776" s="7">
        <v>45678</v>
      </c>
      <c r="K776" s="8" t="str">
        <f t="shared" si="37"/>
        <v/>
      </c>
      <c r="L776" s="8" t="str">
        <f t="shared" si="38"/>
        <v/>
      </c>
      <c r="M776" s="8">
        <f t="shared" si="36"/>
        <v>144</v>
      </c>
      <c r="N776" s="6" t="s">
        <v>26</v>
      </c>
    </row>
    <row r="777" spans="1:14" x14ac:dyDescent="0.2">
      <c r="A777" s="6" t="s">
        <v>558</v>
      </c>
      <c r="C777" s="6" t="s">
        <v>33</v>
      </c>
      <c r="D777" s="7"/>
      <c r="E777" s="7"/>
      <c r="F777" s="7">
        <v>45535</v>
      </c>
      <c r="G777" s="9">
        <v>588000</v>
      </c>
      <c r="H777" s="9">
        <v>67646.02</v>
      </c>
      <c r="I777" s="9">
        <v>520353.98</v>
      </c>
      <c r="J777" s="7"/>
      <c r="K777" s="8" t="str">
        <f t="shared" si="37"/>
        <v/>
      </c>
      <c r="L777" s="8" t="str">
        <f t="shared" si="38"/>
        <v/>
      </c>
      <c r="M777" s="8" t="str">
        <f t="shared" si="36"/>
        <v/>
      </c>
      <c r="N777" s="6" t="s">
        <v>21</v>
      </c>
    </row>
    <row r="778" spans="1:14" x14ac:dyDescent="0.2">
      <c r="A778" s="6" t="s">
        <v>558</v>
      </c>
      <c r="C778" s="6" t="s">
        <v>33</v>
      </c>
      <c r="D778" s="7"/>
      <c r="E778" s="7"/>
      <c r="F778" s="7">
        <v>45535</v>
      </c>
      <c r="G778" s="9">
        <v>402000</v>
      </c>
      <c r="H778" s="9">
        <v>379245.28</v>
      </c>
      <c r="I778" s="9">
        <v>22754.720000000001</v>
      </c>
      <c r="J778" s="7"/>
      <c r="K778" s="8" t="str">
        <f t="shared" si="37"/>
        <v/>
      </c>
      <c r="L778" s="8" t="str">
        <f t="shared" si="38"/>
        <v/>
      </c>
      <c r="M778" s="8" t="str">
        <f t="shared" si="36"/>
        <v/>
      </c>
      <c r="N778" s="6" t="s">
        <v>21</v>
      </c>
    </row>
    <row r="779" spans="1:14" x14ac:dyDescent="0.2">
      <c r="A779" s="6" t="s">
        <v>558</v>
      </c>
      <c r="C779" s="6" t="s">
        <v>87</v>
      </c>
      <c r="D779" s="7"/>
      <c r="E779" s="7"/>
      <c r="F779" s="7">
        <v>45535</v>
      </c>
      <c r="G779" s="9">
        <v>345000</v>
      </c>
      <c r="H779" s="9">
        <v>305309.73</v>
      </c>
      <c r="I779" s="9">
        <v>39690.269999999997</v>
      </c>
      <c r="J779" s="7"/>
      <c r="K779" s="8" t="str">
        <f t="shared" si="37"/>
        <v/>
      </c>
      <c r="L779" s="8" t="str">
        <f t="shared" si="38"/>
        <v/>
      </c>
      <c r="M779" s="8" t="str">
        <f t="shared" si="36"/>
        <v/>
      </c>
      <c r="N779" s="6" t="s">
        <v>21</v>
      </c>
    </row>
    <row r="780" spans="1:14" x14ac:dyDescent="0.2">
      <c r="A780" s="6" t="s">
        <v>662</v>
      </c>
      <c r="B780" s="6" t="s">
        <v>663</v>
      </c>
      <c r="C780" s="6" t="s">
        <v>20</v>
      </c>
      <c r="D780" s="7"/>
      <c r="E780" s="7"/>
      <c r="F780" s="7">
        <v>45539</v>
      </c>
      <c r="G780" s="9">
        <v>452000</v>
      </c>
      <c r="H780" s="9">
        <v>400000</v>
      </c>
      <c r="I780" s="9">
        <v>52000</v>
      </c>
      <c r="J780" s="7">
        <v>45553</v>
      </c>
      <c r="K780" s="8" t="str">
        <f t="shared" si="37"/>
        <v/>
      </c>
      <c r="L780" s="8" t="str">
        <f t="shared" si="38"/>
        <v/>
      </c>
      <c r="M780" s="8">
        <f t="shared" si="36"/>
        <v>14</v>
      </c>
      <c r="N780" s="6" t="s">
        <v>26</v>
      </c>
    </row>
    <row r="781" spans="1:14" x14ac:dyDescent="0.2">
      <c r="A781" s="6" t="s">
        <v>223</v>
      </c>
      <c r="B781" s="6" t="s">
        <v>664</v>
      </c>
      <c r="C781" s="6" t="s">
        <v>20</v>
      </c>
      <c r="D781" s="7"/>
      <c r="E781" s="7"/>
      <c r="F781" s="7">
        <v>45539</v>
      </c>
      <c r="G781" s="9">
        <v>167814</v>
      </c>
      <c r="H781" s="9">
        <v>148507.96</v>
      </c>
      <c r="I781" s="9">
        <v>19306.04</v>
      </c>
      <c r="J781" s="7">
        <v>45577</v>
      </c>
      <c r="K781" s="8" t="str">
        <f t="shared" si="37"/>
        <v/>
      </c>
      <c r="L781" s="8" t="str">
        <f t="shared" si="38"/>
        <v/>
      </c>
      <c r="M781" s="8">
        <f t="shared" si="36"/>
        <v>38</v>
      </c>
      <c r="N781" s="6" t="s">
        <v>26</v>
      </c>
    </row>
    <row r="782" spans="1:14" x14ac:dyDescent="0.2">
      <c r="A782" s="6" t="s">
        <v>334</v>
      </c>
      <c r="B782" s="6" t="s">
        <v>665</v>
      </c>
      <c r="C782" s="6" t="s">
        <v>20</v>
      </c>
      <c r="D782" s="7"/>
      <c r="E782" s="7"/>
      <c r="F782" s="7">
        <v>45541</v>
      </c>
      <c r="G782" s="9">
        <v>98000</v>
      </c>
      <c r="H782" s="9">
        <v>89908.26</v>
      </c>
      <c r="I782" s="9">
        <v>8091.74</v>
      </c>
      <c r="J782" s="7">
        <v>45564</v>
      </c>
      <c r="K782" s="8" t="str">
        <f t="shared" si="37"/>
        <v/>
      </c>
      <c r="L782" s="8" t="str">
        <f t="shared" si="38"/>
        <v/>
      </c>
      <c r="M782" s="8">
        <f t="shared" si="36"/>
        <v>23</v>
      </c>
      <c r="N782" s="6" t="s">
        <v>26</v>
      </c>
    </row>
    <row r="783" spans="1:14" x14ac:dyDescent="0.2">
      <c r="A783" s="6" t="s">
        <v>666</v>
      </c>
      <c r="C783" s="6" t="s">
        <v>20</v>
      </c>
      <c r="D783" s="7"/>
      <c r="E783" s="7"/>
      <c r="F783" s="7">
        <v>45545</v>
      </c>
      <c r="G783" s="9">
        <v>20000</v>
      </c>
      <c r="H783" s="9">
        <v>17699.12</v>
      </c>
      <c r="I783" s="9">
        <v>2300.88</v>
      </c>
      <c r="J783" s="7"/>
      <c r="K783" s="8" t="str">
        <f t="shared" si="37"/>
        <v/>
      </c>
      <c r="L783" s="8" t="str">
        <f t="shared" si="38"/>
        <v/>
      </c>
      <c r="M783" s="8" t="str">
        <f t="shared" si="36"/>
        <v/>
      </c>
      <c r="N783" s="6" t="s">
        <v>21</v>
      </c>
    </row>
    <row r="784" spans="1:14" x14ac:dyDescent="0.2">
      <c r="A784" s="6" t="s">
        <v>109</v>
      </c>
      <c r="B784" s="6" t="s">
        <v>667</v>
      </c>
      <c r="C784" s="6" t="s">
        <v>20</v>
      </c>
      <c r="D784" s="7"/>
      <c r="E784" s="7"/>
      <c r="F784" s="7">
        <v>45546</v>
      </c>
      <c r="G784" s="9">
        <v>84922</v>
      </c>
      <c r="H784" s="9">
        <v>75152.210000000006</v>
      </c>
      <c r="I784" s="9">
        <v>9769.7900000000009</v>
      </c>
      <c r="J784" s="7">
        <v>45574</v>
      </c>
      <c r="K784" s="8" t="str">
        <f t="shared" si="37"/>
        <v/>
      </c>
      <c r="L784" s="8" t="str">
        <f t="shared" si="38"/>
        <v/>
      </c>
      <c r="M784" s="8">
        <f t="shared" si="36"/>
        <v>28</v>
      </c>
      <c r="N784" s="6" t="s">
        <v>26</v>
      </c>
    </row>
    <row r="785" spans="1:14" x14ac:dyDescent="0.2">
      <c r="A785" s="6" t="s">
        <v>668</v>
      </c>
      <c r="B785" s="6" t="s">
        <v>669</v>
      </c>
      <c r="C785" s="6" t="s">
        <v>20</v>
      </c>
      <c r="D785" s="7"/>
      <c r="E785" s="7"/>
      <c r="F785" s="7">
        <v>45546</v>
      </c>
      <c r="G785" s="9">
        <v>73104</v>
      </c>
      <c r="H785" s="9">
        <v>67067.89</v>
      </c>
      <c r="I785" s="9">
        <v>6036.11</v>
      </c>
      <c r="J785" s="7">
        <v>45659</v>
      </c>
      <c r="K785" s="8" t="str">
        <f t="shared" si="37"/>
        <v/>
      </c>
      <c r="L785" s="8" t="str">
        <f t="shared" si="38"/>
        <v/>
      </c>
      <c r="M785" s="8">
        <f t="shared" si="36"/>
        <v>113</v>
      </c>
      <c r="N785" s="6" t="s">
        <v>26</v>
      </c>
    </row>
    <row r="786" spans="1:14" x14ac:dyDescent="0.2">
      <c r="A786" s="6" t="s">
        <v>38</v>
      </c>
      <c r="B786" s="6" t="s">
        <v>39</v>
      </c>
      <c r="C786" s="6" t="s">
        <v>33</v>
      </c>
      <c r="D786" s="7"/>
      <c r="E786" s="7"/>
      <c r="F786" s="7">
        <v>45546</v>
      </c>
      <c r="G786" s="9">
        <v>124000</v>
      </c>
      <c r="H786" s="9">
        <v>109734.51</v>
      </c>
      <c r="I786" s="9">
        <v>14265.49</v>
      </c>
      <c r="J786" s="7">
        <v>45564</v>
      </c>
      <c r="K786" s="8" t="str">
        <f t="shared" si="37"/>
        <v/>
      </c>
      <c r="L786" s="8" t="str">
        <f t="shared" si="38"/>
        <v/>
      </c>
      <c r="M786" s="8">
        <f t="shared" si="36"/>
        <v>18</v>
      </c>
      <c r="N786" s="6" t="s">
        <v>26</v>
      </c>
    </row>
    <row r="787" spans="1:14" x14ac:dyDescent="0.2">
      <c r="A787" s="6" t="s">
        <v>670</v>
      </c>
      <c r="B787" s="6" t="s">
        <v>671</v>
      </c>
      <c r="C787" s="6" t="s">
        <v>20</v>
      </c>
      <c r="D787" s="7"/>
      <c r="E787" s="7"/>
      <c r="F787" s="7">
        <v>45547</v>
      </c>
      <c r="G787" s="9">
        <v>197457</v>
      </c>
      <c r="H787" s="9">
        <v>174740.71</v>
      </c>
      <c r="I787" s="9">
        <v>22716.29</v>
      </c>
      <c r="J787" s="7">
        <v>45660</v>
      </c>
      <c r="K787" s="8" t="str">
        <f t="shared" si="37"/>
        <v/>
      </c>
      <c r="L787" s="8" t="str">
        <f t="shared" si="38"/>
        <v/>
      </c>
      <c r="M787" s="8">
        <f t="shared" si="36"/>
        <v>113</v>
      </c>
      <c r="N787" s="6" t="s">
        <v>26</v>
      </c>
    </row>
    <row r="788" spans="1:14" x14ac:dyDescent="0.2">
      <c r="A788" s="6" t="s">
        <v>425</v>
      </c>
      <c r="B788" s="6" t="s">
        <v>672</v>
      </c>
      <c r="C788" s="6" t="s">
        <v>20</v>
      </c>
      <c r="D788" s="7"/>
      <c r="E788" s="7"/>
      <c r="F788" s="7">
        <v>45559</v>
      </c>
      <c r="G788" s="9">
        <v>576602</v>
      </c>
      <c r="H788" s="9">
        <v>528992.66</v>
      </c>
      <c r="I788" s="9">
        <v>47609.34</v>
      </c>
      <c r="J788" s="7">
        <v>45562</v>
      </c>
      <c r="K788" s="8" t="str">
        <f t="shared" si="37"/>
        <v/>
      </c>
      <c r="L788" s="8" t="str">
        <f t="shared" si="38"/>
        <v/>
      </c>
      <c r="M788" s="8">
        <f t="shared" si="36"/>
        <v>3</v>
      </c>
      <c r="N788" s="6" t="s">
        <v>26</v>
      </c>
    </row>
    <row r="789" spans="1:14" x14ac:dyDescent="0.2">
      <c r="A789" s="6" t="s">
        <v>425</v>
      </c>
      <c r="B789" s="6" t="s">
        <v>474</v>
      </c>
      <c r="C789" s="6" t="s">
        <v>20</v>
      </c>
      <c r="D789" s="7"/>
      <c r="E789" s="7"/>
      <c r="F789" s="7">
        <v>45559</v>
      </c>
      <c r="G789" s="9">
        <v>224693</v>
      </c>
      <c r="H789" s="9">
        <v>206140.37</v>
      </c>
      <c r="I789" s="9">
        <v>18552.63</v>
      </c>
      <c r="J789" s="7">
        <v>45562</v>
      </c>
      <c r="K789" s="8" t="str">
        <f t="shared" si="37"/>
        <v/>
      </c>
      <c r="L789" s="8" t="str">
        <f t="shared" si="38"/>
        <v/>
      </c>
      <c r="M789" s="8">
        <f t="shared" si="36"/>
        <v>3</v>
      </c>
      <c r="N789" s="6" t="s">
        <v>26</v>
      </c>
    </row>
    <row r="790" spans="1:14" x14ac:dyDescent="0.2">
      <c r="A790" s="6" t="s">
        <v>425</v>
      </c>
      <c r="B790" s="6" t="s">
        <v>474</v>
      </c>
      <c r="C790" s="6" t="s">
        <v>20</v>
      </c>
      <c r="D790" s="7"/>
      <c r="E790" s="7"/>
      <c r="F790" s="7">
        <v>45560</v>
      </c>
      <c r="G790" s="9">
        <v>-224695</v>
      </c>
      <c r="H790" s="9">
        <v>-206142.2</v>
      </c>
      <c r="I790" s="9">
        <v>-18552.8</v>
      </c>
      <c r="J790" s="7">
        <v>45562</v>
      </c>
      <c r="K790" s="8" t="str">
        <f t="shared" si="37"/>
        <v/>
      </c>
      <c r="L790" s="8" t="str">
        <f t="shared" si="38"/>
        <v/>
      </c>
      <c r="M790" s="8">
        <f t="shared" si="36"/>
        <v>2</v>
      </c>
      <c r="N790" s="6" t="s">
        <v>26</v>
      </c>
    </row>
    <row r="791" spans="1:14" x14ac:dyDescent="0.2">
      <c r="A791" s="6" t="s">
        <v>647</v>
      </c>
      <c r="B791" s="6" t="s">
        <v>648</v>
      </c>
      <c r="C791" s="6" t="s">
        <v>20</v>
      </c>
      <c r="D791" s="7"/>
      <c r="E791" s="7"/>
      <c r="F791" s="7">
        <v>45560</v>
      </c>
      <c r="G791" s="9">
        <v>10000</v>
      </c>
      <c r="H791" s="9">
        <v>8849.56</v>
      </c>
      <c r="I791" s="9">
        <v>1150.44</v>
      </c>
      <c r="J791" s="7">
        <v>45562</v>
      </c>
      <c r="K791" s="8" t="str">
        <f t="shared" si="37"/>
        <v/>
      </c>
      <c r="L791" s="8" t="str">
        <f t="shared" si="38"/>
        <v/>
      </c>
      <c r="M791" s="8">
        <f t="shared" si="36"/>
        <v>2</v>
      </c>
      <c r="N791" s="6" t="s">
        <v>26</v>
      </c>
    </row>
    <row r="792" spans="1:14" x14ac:dyDescent="0.2">
      <c r="A792" s="6" t="s">
        <v>673</v>
      </c>
      <c r="B792" s="6" t="s">
        <v>674</v>
      </c>
      <c r="C792" s="6" t="s">
        <v>20</v>
      </c>
      <c r="D792" s="7"/>
      <c r="E792" s="7"/>
      <c r="F792" s="7">
        <v>45562</v>
      </c>
      <c r="G792" s="9">
        <v>300000</v>
      </c>
      <c r="H792" s="9">
        <v>265486.73</v>
      </c>
      <c r="I792" s="9">
        <v>34513.269999999997</v>
      </c>
      <c r="J792" s="7"/>
      <c r="K792" s="8" t="str">
        <f t="shared" si="37"/>
        <v/>
      </c>
      <c r="L792" s="8" t="str">
        <f t="shared" si="38"/>
        <v/>
      </c>
      <c r="M792" s="8" t="str">
        <f t="shared" si="36"/>
        <v/>
      </c>
      <c r="N792" s="6" t="s">
        <v>21</v>
      </c>
    </row>
    <row r="793" spans="1:14" x14ac:dyDescent="0.2">
      <c r="A793" s="6" t="s">
        <v>675</v>
      </c>
      <c r="B793" s="6" t="s">
        <v>676</v>
      </c>
      <c r="C793" s="6" t="s">
        <v>20</v>
      </c>
      <c r="D793" s="7"/>
      <c r="E793" s="7"/>
      <c r="F793" s="7">
        <v>45565</v>
      </c>
      <c r="G793" s="9">
        <v>696000</v>
      </c>
      <c r="H793" s="9">
        <v>615929.19999999995</v>
      </c>
      <c r="I793" s="9">
        <v>80070.8</v>
      </c>
      <c r="J793" s="7">
        <v>45621</v>
      </c>
      <c r="K793" s="8" t="str">
        <f t="shared" si="37"/>
        <v/>
      </c>
      <c r="L793" s="8" t="str">
        <f t="shared" si="38"/>
        <v/>
      </c>
      <c r="M793" s="8">
        <f t="shared" si="36"/>
        <v>56</v>
      </c>
      <c r="N793" s="6" t="s">
        <v>26</v>
      </c>
    </row>
    <row r="794" spans="1:14" x14ac:dyDescent="0.2">
      <c r="A794" s="6" t="s">
        <v>558</v>
      </c>
      <c r="C794" s="6" t="s">
        <v>33</v>
      </c>
      <c r="D794" s="7"/>
      <c r="E794" s="7"/>
      <c r="F794" s="7">
        <v>45565</v>
      </c>
      <c r="G794" s="9">
        <v>195300</v>
      </c>
      <c r="H794" s="9">
        <v>184245.28</v>
      </c>
      <c r="I794" s="9">
        <v>11054.72</v>
      </c>
      <c r="J794" s="7"/>
      <c r="K794" s="8" t="str">
        <f t="shared" si="37"/>
        <v/>
      </c>
      <c r="L794" s="8" t="str">
        <f t="shared" si="38"/>
        <v/>
      </c>
      <c r="M794" s="8" t="str">
        <f t="shared" si="36"/>
        <v/>
      </c>
      <c r="N794" s="6" t="s">
        <v>21</v>
      </c>
    </row>
    <row r="795" spans="1:14" x14ac:dyDescent="0.2">
      <c r="A795" s="6" t="s">
        <v>558</v>
      </c>
      <c r="C795" s="6" t="s">
        <v>33</v>
      </c>
      <c r="D795" s="7"/>
      <c r="E795" s="7"/>
      <c r="F795" s="7">
        <v>45565</v>
      </c>
      <c r="G795" s="9">
        <v>335860</v>
      </c>
      <c r="H795" s="9">
        <v>316849.06</v>
      </c>
      <c r="I795" s="9">
        <v>19010.939999999999</v>
      </c>
      <c r="J795" s="7"/>
      <c r="K795" s="8" t="str">
        <f t="shared" si="37"/>
        <v/>
      </c>
      <c r="L795" s="8" t="str">
        <f t="shared" si="38"/>
        <v/>
      </c>
      <c r="M795" s="8" t="str">
        <f t="shared" si="36"/>
        <v/>
      </c>
      <c r="N795" s="6" t="s">
        <v>21</v>
      </c>
    </row>
    <row r="796" spans="1:14" x14ac:dyDescent="0.2">
      <c r="A796" s="6" t="s">
        <v>558</v>
      </c>
      <c r="C796" s="6" t="s">
        <v>33</v>
      </c>
      <c r="D796" s="7"/>
      <c r="E796" s="7"/>
      <c r="F796" s="7">
        <v>45565</v>
      </c>
      <c r="G796" s="9">
        <v>436000</v>
      </c>
      <c r="H796" s="9">
        <v>411320.75</v>
      </c>
      <c r="I796" s="9">
        <v>24679.25</v>
      </c>
      <c r="J796" s="7"/>
      <c r="K796" s="8" t="str">
        <f t="shared" si="37"/>
        <v/>
      </c>
      <c r="L796" s="8" t="str">
        <f t="shared" si="38"/>
        <v/>
      </c>
      <c r="M796" s="8" t="str">
        <f t="shared" si="36"/>
        <v/>
      </c>
      <c r="N796" s="6" t="s">
        <v>21</v>
      </c>
    </row>
    <row r="797" spans="1:14" x14ac:dyDescent="0.2">
      <c r="A797" s="6" t="s">
        <v>558</v>
      </c>
      <c r="C797" s="6" t="s">
        <v>33</v>
      </c>
      <c r="D797" s="7"/>
      <c r="E797" s="7"/>
      <c r="F797" s="7">
        <v>45565</v>
      </c>
      <c r="G797" s="9">
        <v>542840</v>
      </c>
      <c r="H797" s="9">
        <v>480389.38</v>
      </c>
      <c r="I797" s="9">
        <v>62450.62</v>
      </c>
      <c r="J797" s="7"/>
      <c r="K797" s="8" t="str">
        <f t="shared" si="37"/>
        <v/>
      </c>
      <c r="L797" s="8" t="str">
        <f t="shared" si="38"/>
        <v/>
      </c>
      <c r="M797" s="8" t="str">
        <f t="shared" si="36"/>
        <v/>
      </c>
      <c r="N797" s="6" t="s">
        <v>21</v>
      </c>
    </row>
    <row r="798" spans="1:14" x14ac:dyDescent="0.2">
      <c r="A798" s="6" t="s">
        <v>677</v>
      </c>
      <c r="C798" s="6" t="s">
        <v>87</v>
      </c>
      <c r="D798" s="7"/>
      <c r="E798" s="7"/>
      <c r="F798" s="7">
        <v>45565</v>
      </c>
      <c r="G798" s="9">
        <v>512000</v>
      </c>
      <c r="H798" s="9">
        <v>453097.35</v>
      </c>
      <c r="I798" s="9">
        <v>58902.65</v>
      </c>
      <c r="J798" s="7"/>
      <c r="K798" s="8" t="str">
        <f t="shared" si="37"/>
        <v/>
      </c>
      <c r="L798" s="8" t="str">
        <f t="shared" si="38"/>
        <v/>
      </c>
      <c r="M798" s="8" t="str">
        <f t="shared" si="36"/>
        <v/>
      </c>
      <c r="N798" s="6" t="s">
        <v>21</v>
      </c>
    </row>
    <row r="799" spans="1:14" x14ac:dyDescent="0.2">
      <c r="A799" s="6" t="s">
        <v>409</v>
      </c>
      <c r="B799" s="6" t="s">
        <v>678</v>
      </c>
      <c r="C799" s="6" t="s">
        <v>20</v>
      </c>
      <c r="D799" s="7"/>
      <c r="E799" s="7"/>
      <c r="F799" s="7">
        <v>45576</v>
      </c>
      <c r="G799" s="9">
        <v>698000</v>
      </c>
      <c r="H799" s="9">
        <v>617699.12</v>
      </c>
      <c r="I799" s="9">
        <v>80300.88</v>
      </c>
      <c r="J799" s="7">
        <v>45680</v>
      </c>
      <c r="K799" s="8" t="str">
        <f t="shared" si="37"/>
        <v/>
      </c>
      <c r="L799" s="8" t="str">
        <f t="shared" si="38"/>
        <v/>
      </c>
      <c r="M799" s="8">
        <f t="shared" si="36"/>
        <v>104</v>
      </c>
      <c r="N799" s="6" t="s">
        <v>26</v>
      </c>
    </row>
    <row r="800" spans="1:14" x14ac:dyDescent="0.2">
      <c r="A800" s="6" t="s">
        <v>277</v>
      </c>
      <c r="B800" s="6" t="s">
        <v>395</v>
      </c>
      <c r="C800" s="6" t="s">
        <v>20</v>
      </c>
      <c r="D800" s="7"/>
      <c r="E800" s="7"/>
      <c r="F800" s="7">
        <v>45577</v>
      </c>
      <c r="G800" s="9">
        <v>111870</v>
      </c>
      <c r="H800" s="9">
        <v>99000</v>
      </c>
      <c r="I800" s="9">
        <v>12870</v>
      </c>
      <c r="J800" s="7">
        <v>45764</v>
      </c>
      <c r="K800" s="8" t="str">
        <f t="shared" si="37"/>
        <v/>
      </c>
      <c r="L800" s="8" t="str">
        <f t="shared" si="38"/>
        <v/>
      </c>
      <c r="M800" s="8">
        <f t="shared" si="36"/>
        <v>187</v>
      </c>
      <c r="N800" s="6" t="s">
        <v>26</v>
      </c>
    </row>
    <row r="801" spans="1:14" x14ac:dyDescent="0.2">
      <c r="A801" s="6" t="s">
        <v>277</v>
      </c>
      <c r="B801" s="6" t="s">
        <v>278</v>
      </c>
      <c r="C801" s="6" t="s">
        <v>20</v>
      </c>
      <c r="D801" s="7"/>
      <c r="E801" s="7"/>
      <c r="F801" s="7">
        <v>45577</v>
      </c>
      <c r="G801" s="9">
        <v>213796</v>
      </c>
      <c r="H801" s="9">
        <v>189200</v>
      </c>
      <c r="I801" s="9">
        <v>24596</v>
      </c>
      <c r="J801" s="7">
        <v>45764</v>
      </c>
      <c r="K801" s="8" t="str">
        <f t="shared" si="37"/>
        <v/>
      </c>
      <c r="L801" s="8" t="str">
        <f t="shared" si="38"/>
        <v/>
      </c>
      <c r="M801" s="8">
        <f t="shared" si="36"/>
        <v>187</v>
      </c>
      <c r="N801" s="6" t="s">
        <v>26</v>
      </c>
    </row>
    <row r="802" spans="1:14" x14ac:dyDescent="0.2">
      <c r="A802" s="6" t="s">
        <v>679</v>
      </c>
      <c r="B802" s="6" t="s">
        <v>680</v>
      </c>
      <c r="C802" s="6" t="s">
        <v>33</v>
      </c>
      <c r="D802" s="7"/>
      <c r="E802" s="7"/>
      <c r="F802" s="7">
        <v>45580</v>
      </c>
      <c r="G802" s="9">
        <v>40000</v>
      </c>
      <c r="H802" s="9">
        <v>37735.85</v>
      </c>
      <c r="I802" s="9">
        <v>2264.15</v>
      </c>
      <c r="J802" s="7">
        <v>45635</v>
      </c>
      <c r="K802" s="8" t="str">
        <f t="shared" si="37"/>
        <v/>
      </c>
      <c r="L802" s="8" t="str">
        <f t="shared" si="38"/>
        <v/>
      </c>
      <c r="M802" s="8">
        <f t="shared" si="36"/>
        <v>55</v>
      </c>
      <c r="N802" s="6" t="s">
        <v>26</v>
      </c>
    </row>
    <row r="803" spans="1:14" x14ac:dyDescent="0.2">
      <c r="A803" s="6" t="s">
        <v>681</v>
      </c>
      <c r="C803" s="6" t="s">
        <v>355</v>
      </c>
      <c r="D803" s="7"/>
      <c r="E803" s="7"/>
      <c r="F803" s="7">
        <v>45580</v>
      </c>
      <c r="G803" s="9">
        <v>63377</v>
      </c>
      <c r="H803" s="9">
        <v>62749.5</v>
      </c>
      <c r="I803" s="9">
        <v>627.5</v>
      </c>
      <c r="J803" s="7">
        <v>45922</v>
      </c>
      <c r="K803" s="8" t="str">
        <f t="shared" si="37"/>
        <v/>
      </c>
      <c r="L803" s="8" t="str">
        <f t="shared" si="38"/>
        <v/>
      </c>
      <c r="M803" s="8">
        <f t="shared" si="36"/>
        <v>342</v>
      </c>
      <c r="N803" s="6" t="s">
        <v>26</v>
      </c>
    </row>
    <row r="804" spans="1:14" x14ac:dyDescent="0.2">
      <c r="A804" s="6" t="s">
        <v>682</v>
      </c>
      <c r="C804" s="6" t="s">
        <v>355</v>
      </c>
      <c r="D804" s="7"/>
      <c r="E804" s="7"/>
      <c r="F804" s="7">
        <v>45581</v>
      </c>
      <c r="G804" s="9">
        <v>60000</v>
      </c>
      <c r="H804" s="9">
        <v>59405.94</v>
      </c>
      <c r="I804" s="9">
        <v>594.05999999999995</v>
      </c>
      <c r="J804" s="7"/>
      <c r="K804" s="8" t="str">
        <f t="shared" si="37"/>
        <v/>
      </c>
      <c r="L804" s="8" t="str">
        <f t="shared" si="38"/>
        <v/>
      </c>
      <c r="M804" s="8" t="str">
        <f t="shared" si="36"/>
        <v/>
      </c>
      <c r="N804" s="6" t="s">
        <v>21</v>
      </c>
    </row>
    <row r="805" spans="1:14" x14ac:dyDescent="0.2">
      <c r="A805" s="6" t="s">
        <v>683</v>
      </c>
      <c r="B805" s="6" t="s">
        <v>684</v>
      </c>
      <c r="C805" s="6" t="s">
        <v>20</v>
      </c>
      <c r="D805" s="7"/>
      <c r="E805" s="7"/>
      <c r="F805" s="7">
        <v>45582</v>
      </c>
      <c r="G805" s="9">
        <v>671500</v>
      </c>
      <c r="H805" s="9">
        <v>616055.05000000005</v>
      </c>
      <c r="I805" s="9">
        <v>55444.95</v>
      </c>
      <c r="J805" s="7">
        <v>45589</v>
      </c>
      <c r="K805" s="8" t="str">
        <f t="shared" si="37"/>
        <v/>
      </c>
      <c r="L805" s="8" t="str">
        <f t="shared" si="38"/>
        <v/>
      </c>
      <c r="M805" s="8">
        <f t="shared" si="36"/>
        <v>7</v>
      </c>
      <c r="N805" s="6" t="s">
        <v>26</v>
      </c>
    </row>
    <row r="806" spans="1:14" x14ac:dyDescent="0.2">
      <c r="A806" s="6" t="s">
        <v>425</v>
      </c>
      <c r="B806" s="6" t="s">
        <v>672</v>
      </c>
      <c r="C806" s="6" t="s">
        <v>20</v>
      </c>
      <c r="D806" s="7"/>
      <c r="E806" s="7"/>
      <c r="F806" s="7">
        <v>45589</v>
      </c>
      <c r="G806" s="9">
        <v>576602</v>
      </c>
      <c r="H806" s="9">
        <v>528992.66</v>
      </c>
      <c r="I806" s="9">
        <v>47609.34</v>
      </c>
      <c r="J806" s="7">
        <v>45593</v>
      </c>
      <c r="K806" s="8" t="str">
        <f t="shared" si="37"/>
        <v/>
      </c>
      <c r="L806" s="8" t="str">
        <f t="shared" si="38"/>
        <v/>
      </c>
      <c r="M806" s="8">
        <f t="shared" si="36"/>
        <v>4</v>
      </c>
      <c r="N806" s="6" t="s">
        <v>26</v>
      </c>
    </row>
    <row r="807" spans="1:14" x14ac:dyDescent="0.2">
      <c r="A807" s="6" t="s">
        <v>425</v>
      </c>
      <c r="B807" s="6" t="s">
        <v>640</v>
      </c>
      <c r="C807" s="6" t="s">
        <v>20</v>
      </c>
      <c r="D807" s="7"/>
      <c r="E807" s="7"/>
      <c r="F807" s="7">
        <v>45589</v>
      </c>
      <c r="G807" s="9">
        <v>2463352</v>
      </c>
      <c r="H807" s="9">
        <v>2259955.96</v>
      </c>
      <c r="I807" s="9">
        <v>203396.04</v>
      </c>
      <c r="J807" s="7">
        <v>45593</v>
      </c>
      <c r="K807" s="8" t="str">
        <f t="shared" si="37"/>
        <v/>
      </c>
      <c r="L807" s="8" t="str">
        <f t="shared" si="38"/>
        <v/>
      </c>
      <c r="M807" s="8">
        <f t="shared" si="36"/>
        <v>4</v>
      </c>
      <c r="N807" s="6" t="s">
        <v>26</v>
      </c>
    </row>
    <row r="808" spans="1:14" x14ac:dyDescent="0.2">
      <c r="A808" s="6" t="s">
        <v>277</v>
      </c>
      <c r="B808" s="6" t="s">
        <v>395</v>
      </c>
      <c r="C808" s="6" t="s">
        <v>20</v>
      </c>
      <c r="D808" s="7"/>
      <c r="E808" s="7"/>
      <c r="F808" s="7">
        <v>45593</v>
      </c>
      <c r="G808" s="9">
        <v>-111870</v>
      </c>
      <c r="H808" s="9">
        <v>-99000</v>
      </c>
      <c r="I808" s="9">
        <v>-12870</v>
      </c>
      <c r="J808" s="7">
        <v>45764</v>
      </c>
      <c r="K808" s="8" t="str">
        <f t="shared" si="37"/>
        <v/>
      </c>
      <c r="L808" s="8" t="str">
        <f t="shared" si="38"/>
        <v/>
      </c>
      <c r="M808" s="8">
        <f t="shared" si="36"/>
        <v>171</v>
      </c>
      <c r="N808" s="6" t="s">
        <v>26</v>
      </c>
    </row>
    <row r="809" spans="1:14" x14ac:dyDescent="0.2">
      <c r="A809" s="6" t="s">
        <v>685</v>
      </c>
      <c r="B809" s="6" t="s">
        <v>686</v>
      </c>
      <c r="C809" s="6" t="s">
        <v>20</v>
      </c>
      <c r="D809" s="7"/>
      <c r="E809" s="7"/>
      <c r="F809" s="7">
        <v>45594</v>
      </c>
      <c r="G809" s="9">
        <v>1359510</v>
      </c>
      <c r="H809" s="9">
        <v>1203106.19</v>
      </c>
      <c r="I809" s="9">
        <v>156403.81</v>
      </c>
      <c r="J809" s="7">
        <v>45929</v>
      </c>
      <c r="K809" s="8" t="str">
        <f t="shared" si="37"/>
        <v/>
      </c>
      <c r="L809" s="8" t="str">
        <f t="shared" si="38"/>
        <v/>
      </c>
      <c r="M809" s="8">
        <f t="shared" si="36"/>
        <v>335</v>
      </c>
      <c r="N809" s="6" t="s">
        <v>26</v>
      </c>
    </row>
    <row r="810" spans="1:14" x14ac:dyDescent="0.2">
      <c r="A810" s="6" t="s">
        <v>47</v>
      </c>
      <c r="B810" s="6" t="s">
        <v>518</v>
      </c>
      <c r="C810" s="6" t="s">
        <v>20</v>
      </c>
      <c r="D810" s="7"/>
      <c r="E810" s="7"/>
      <c r="F810" s="7">
        <v>45594</v>
      </c>
      <c r="G810" s="9">
        <v>181759.02</v>
      </c>
      <c r="H810" s="9">
        <v>160848.69</v>
      </c>
      <c r="I810" s="9">
        <v>20910.330000000002</v>
      </c>
      <c r="J810" s="7">
        <v>45621</v>
      </c>
      <c r="K810" s="8" t="str">
        <f t="shared" si="37"/>
        <v/>
      </c>
      <c r="L810" s="8" t="str">
        <f t="shared" si="38"/>
        <v/>
      </c>
      <c r="M810" s="8">
        <f t="shared" si="36"/>
        <v>27</v>
      </c>
      <c r="N810" s="6" t="s">
        <v>26</v>
      </c>
    </row>
    <row r="811" spans="1:14" x14ac:dyDescent="0.2">
      <c r="A811" s="6" t="s">
        <v>47</v>
      </c>
      <c r="B811" s="6" t="s">
        <v>519</v>
      </c>
      <c r="C811" s="6" t="s">
        <v>20</v>
      </c>
      <c r="D811" s="7"/>
      <c r="E811" s="7"/>
      <c r="F811" s="7">
        <v>45594</v>
      </c>
      <c r="G811" s="9">
        <v>131280.51999999999</v>
      </c>
      <c r="H811" s="9">
        <v>116177.45</v>
      </c>
      <c r="I811" s="9">
        <v>15103.07</v>
      </c>
      <c r="J811" s="7">
        <v>45621</v>
      </c>
      <c r="K811" s="8" t="str">
        <f t="shared" si="37"/>
        <v/>
      </c>
      <c r="L811" s="8" t="str">
        <f t="shared" si="38"/>
        <v/>
      </c>
      <c r="M811" s="8">
        <f t="shared" si="36"/>
        <v>27</v>
      </c>
      <c r="N811" s="6" t="s">
        <v>26</v>
      </c>
    </row>
    <row r="812" spans="1:14" x14ac:dyDescent="0.2">
      <c r="A812" s="6" t="s">
        <v>618</v>
      </c>
      <c r="B812" s="6" t="s">
        <v>619</v>
      </c>
      <c r="C812" s="6" t="s">
        <v>20</v>
      </c>
      <c r="D812" s="7"/>
      <c r="E812" s="7"/>
      <c r="F812" s="7">
        <v>45594</v>
      </c>
      <c r="G812" s="9">
        <v>242883.62</v>
      </c>
      <c r="H812" s="9">
        <v>222829.01</v>
      </c>
      <c r="I812" s="9">
        <v>20054.61</v>
      </c>
      <c r="J812" s="7">
        <v>45678</v>
      </c>
      <c r="K812" s="8" t="str">
        <f t="shared" si="37"/>
        <v/>
      </c>
      <c r="L812" s="8" t="str">
        <f t="shared" si="38"/>
        <v/>
      </c>
      <c r="M812" s="8">
        <f t="shared" si="36"/>
        <v>84</v>
      </c>
      <c r="N812" s="6" t="s">
        <v>26</v>
      </c>
    </row>
    <row r="813" spans="1:14" x14ac:dyDescent="0.2">
      <c r="A813" s="6" t="s">
        <v>277</v>
      </c>
      <c r="B813" s="6" t="s">
        <v>278</v>
      </c>
      <c r="C813" s="6" t="s">
        <v>20</v>
      </c>
      <c r="D813" s="7"/>
      <c r="E813" s="7"/>
      <c r="F813" s="7">
        <v>45596</v>
      </c>
      <c r="G813" s="9">
        <v>-101700</v>
      </c>
      <c r="H813" s="9">
        <v>-90000</v>
      </c>
      <c r="I813" s="9">
        <v>-11700</v>
      </c>
      <c r="J813" s="7">
        <v>45764</v>
      </c>
      <c r="K813" s="8" t="str">
        <f t="shared" si="37"/>
        <v/>
      </c>
      <c r="L813" s="8" t="str">
        <f t="shared" si="38"/>
        <v/>
      </c>
      <c r="M813" s="8">
        <f t="shared" si="36"/>
        <v>168</v>
      </c>
      <c r="N813" s="6" t="s">
        <v>26</v>
      </c>
    </row>
    <row r="814" spans="1:14" x14ac:dyDescent="0.2">
      <c r="A814" s="6" t="s">
        <v>277</v>
      </c>
      <c r="B814" s="6" t="s">
        <v>278</v>
      </c>
      <c r="C814" s="6" t="s">
        <v>20</v>
      </c>
      <c r="D814" s="7"/>
      <c r="E814" s="7"/>
      <c r="F814" s="7">
        <v>45596</v>
      </c>
      <c r="G814" s="9">
        <v>-112096</v>
      </c>
      <c r="H814" s="9">
        <v>-99200</v>
      </c>
      <c r="I814" s="9">
        <v>-12896</v>
      </c>
      <c r="J814" s="7">
        <v>45764</v>
      </c>
      <c r="K814" s="8" t="str">
        <f t="shared" si="37"/>
        <v/>
      </c>
      <c r="L814" s="8" t="str">
        <f t="shared" si="38"/>
        <v/>
      </c>
      <c r="M814" s="8">
        <f t="shared" si="36"/>
        <v>168</v>
      </c>
      <c r="N814" s="6" t="s">
        <v>26</v>
      </c>
    </row>
    <row r="815" spans="1:14" x14ac:dyDescent="0.2">
      <c r="A815" s="6" t="s">
        <v>687</v>
      </c>
      <c r="B815" s="6" t="s">
        <v>688</v>
      </c>
      <c r="C815" s="6" t="s">
        <v>20</v>
      </c>
      <c r="D815" s="7"/>
      <c r="E815" s="7"/>
      <c r="F815" s="7">
        <v>45596</v>
      </c>
      <c r="G815" s="9">
        <v>115000</v>
      </c>
      <c r="H815" s="9">
        <v>101769.91</v>
      </c>
      <c r="I815" s="9">
        <v>13230.09</v>
      </c>
      <c r="J815" s="7">
        <v>45596</v>
      </c>
      <c r="K815" s="8" t="str">
        <f t="shared" si="37"/>
        <v/>
      </c>
      <c r="L815" s="8" t="str">
        <f t="shared" si="38"/>
        <v/>
      </c>
      <c r="M815" s="8">
        <f t="shared" si="36"/>
        <v>0</v>
      </c>
      <c r="N815" s="6" t="s">
        <v>26</v>
      </c>
    </row>
    <row r="816" spans="1:14" x14ac:dyDescent="0.2">
      <c r="A816" s="6" t="s">
        <v>558</v>
      </c>
      <c r="C816" s="6" t="s">
        <v>33</v>
      </c>
      <c r="D816" s="7"/>
      <c r="E816" s="7"/>
      <c r="F816" s="7">
        <v>45596</v>
      </c>
      <c r="G816" s="9">
        <v>502800</v>
      </c>
      <c r="H816" s="9">
        <v>474339.62</v>
      </c>
      <c r="I816" s="9">
        <v>28460.38</v>
      </c>
      <c r="J816" s="7"/>
      <c r="K816" s="8" t="str">
        <f t="shared" si="37"/>
        <v/>
      </c>
      <c r="L816" s="8" t="str">
        <f t="shared" si="38"/>
        <v/>
      </c>
      <c r="M816" s="8" t="str">
        <f t="shared" si="36"/>
        <v/>
      </c>
      <c r="N816" s="6" t="s">
        <v>21</v>
      </c>
    </row>
    <row r="817" spans="1:14" x14ac:dyDescent="0.2">
      <c r="A817" s="6" t="s">
        <v>558</v>
      </c>
      <c r="C817" s="6" t="s">
        <v>33</v>
      </c>
      <c r="D817" s="7"/>
      <c r="E817" s="7"/>
      <c r="F817" s="7">
        <v>45596</v>
      </c>
      <c r="G817" s="9">
        <v>638700</v>
      </c>
      <c r="H817" s="9">
        <v>602547.17000000004</v>
      </c>
      <c r="I817" s="9">
        <v>36152.83</v>
      </c>
      <c r="J817" s="7"/>
      <c r="K817" s="8" t="str">
        <f t="shared" si="37"/>
        <v/>
      </c>
      <c r="L817" s="8" t="str">
        <f t="shared" si="38"/>
        <v/>
      </c>
      <c r="M817" s="8" t="str">
        <f t="shared" si="36"/>
        <v/>
      </c>
      <c r="N817" s="6" t="s">
        <v>21</v>
      </c>
    </row>
    <row r="818" spans="1:14" x14ac:dyDescent="0.2">
      <c r="A818" s="6" t="s">
        <v>558</v>
      </c>
      <c r="C818" s="6" t="s">
        <v>33</v>
      </c>
      <c r="D818" s="7"/>
      <c r="E818" s="7"/>
      <c r="F818" s="7">
        <v>45596</v>
      </c>
      <c r="G818" s="9">
        <v>330000</v>
      </c>
      <c r="H818" s="9">
        <v>292035.40000000002</v>
      </c>
      <c r="I818" s="9">
        <v>37964.6</v>
      </c>
      <c r="J818" s="7"/>
      <c r="K818" s="8" t="str">
        <f t="shared" si="37"/>
        <v/>
      </c>
      <c r="L818" s="8" t="str">
        <f t="shared" si="38"/>
        <v/>
      </c>
      <c r="M818" s="8" t="str">
        <f t="shared" si="36"/>
        <v/>
      </c>
      <c r="N818" s="6" t="s">
        <v>21</v>
      </c>
    </row>
    <row r="819" spans="1:14" x14ac:dyDescent="0.2">
      <c r="A819" s="6" t="s">
        <v>558</v>
      </c>
      <c r="C819" s="6" t="s">
        <v>33</v>
      </c>
      <c r="D819" s="7"/>
      <c r="E819" s="7"/>
      <c r="F819" s="7">
        <v>45596</v>
      </c>
      <c r="G819" s="9">
        <v>558500</v>
      </c>
      <c r="H819" s="9">
        <v>494247.79</v>
      </c>
      <c r="I819" s="9">
        <v>64252.21</v>
      </c>
      <c r="J819" s="7"/>
      <c r="K819" s="8" t="str">
        <f t="shared" si="37"/>
        <v/>
      </c>
      <c r="L819" s="8" t="str">
        <f t="shared" si="38"/>
        <v/>
      </c>
      <c r="M819" s="8" t="str">
        <f t="shared" si="36"/>
        <v/>
      </c>
      <c r="N819" s="6" t="s">
        <v>21</v>
      </c>
    </row>
    <row r="820" spans="1:14" x14ac:dyDescent="0.2">
      <c r="A820" s="6" t="s">
        <v>425</v>
      </c>
      <c r="B820" s="6" t="s">
        <v>640</v>
      </c>
      <c r="C820" s="6" t="s">
        <v>20</v>
      </c>
      <c r="D820" s="7"/>
      <c r="E820" s="7"/>
      <c r="F820" s="7">
        <v>45600</v>
      </c>
      <c r="G820" s="9">
        <v>-2463352</v>
      </c>
      <c r="H820" s="9">
        <v>-2259955.96</v>
      </c>
      <c r="I820" s="9">
        <v>-203396.04</v>
      </c>
      <c r="J820" s="7">
        <v>45622</v>
      </c>
      <c r="K820" s="8" t="str">
        <f t="shared" si="37"/>
        <v/>
      </c>
      <c r="L820" s="8" t="str">
        <f t="shared" si="38"/>
        <v/>
      </c>
      <c r="M820" s="8">
        <f t="shared" si="36"/>
        <v>22</v>
      </c>
      <c r="N820" s="6" t="s">
        <v>26</v>
      </c>
    </row>
    <row r="821" spans="1:14" x14ac:dyDescent="0.2">
      <c r="A821" s="6" t="s">
        <v>425</v>
      </c>
      <c r="B821" s="6" t="s">
        <v>640</v>
      </c>
      <c r="C821" s="6" t="s">
        <v>20</v>
      </c>
      <c r="D821" s="7"/>
      <c r="E821" s="7"/>
      <c r="F821" s="7">
        <v>45600</v>
      </c>
      <c r="G821" s="9">
        <v>2400016</v>
      </c>
      <c r="H821" s="9">
        <v>2201849.54</v>
      </c>
      <c r="I821" s="9">
        <v>198166.46</v>
      </c>
      <c r="J821" s="7">
        <v>45622</v>
      </c>
      <c r="K821" s="8" t="str">
        <f t="shared" si="37"/>
        <v/>
      </c>
      <c r="L821" s="8" t="str">
        <f t="shared" si="38"/>
        <v/>
      </c>
      <c r="M821" s="8">
        <f t="shared" si="36"/>
        <v>22</v>
      </c>
      <c r="N821" s="6" t="s">
        <v>26</v>
      </c>
    </row>
    <row r="822" spans="1:14" x14ac:dyDescent="0.2">
      <c r="A822" s="6" t="s">
        <v>618</v>
      </c>
      <c r="B822" s="6" t="s">
        <v>619</v>
      </c>
      <c r="C822" s="6" t="s">
        <v>20</v>
      </c>
      <c r="D822" s="7"/>
      <c r="E822" s="7"/>
      <c r="F822" s="7">
        <v>45601</v>
      </c>
      <c r="G822" s="9">
        <v>-245365.4</v>
      </c>
      <c r="H822" s="9">
        <v>-225105.87</v>
      </c>
      <c r="I822" s="9">
        <v>-20259.53</v>
      </c>
      <c r="J822" s="7">
        <v>45678</v>
      </c>
      <c r="K822" s="8" t="str">
        <f t="shared" si="37"/>
        <v/>
      </c>
      <c r="L822" s="8" t="str">
        <f t="shared" si="38"/>
        <v/>
      </c>
      <c r="M822" s="8">
        <f t="shared" si="36"/>
        <v>77</v>
      </c>
      <c r="N822" s="6" t="s">
        <v>26</v>
      </c>
    </row>
    <row r="823" spans="1:14" x14ac:dyDescent="0.2">
      <c r="A823" s="6" t="s">
        <v>425</v>
      </c>
      <c r="B823" s="6" t="s">
        <v>672</v>
      </c>
      <c r="C823" s="6" t="s">
        <v>20</v>
      </c>
      <c r="D823" s="7"/>
      <c r="E823" s="7"/>
      <c r="F823" s="7">
        <v>45603</v>
      </c>
      <c r="G823" s="9">
        <v>-576602</v>
      </c>
      <c r="H823" s="9">
        <v>-528992.66</v>
      </c>
      <c r="I823" s="9">
        <v>-47609.34</v>
      </c>
      <c r="J823" s="7">
        <v>45622</v>
      </c>
      <c r="K823" s="8" t="str">
        <f t="shared" si="37"/>
        <v/>
      </c>
      <c r="L823" s="8" t="str">
        <f t="shared" si="38"/>
        <v/>
      </c>
      <c r="M823" s="8">
        <f t="shared" si="36"/>
        <v>19</v>
      </c>
      <c r="N823" s="6" t="s">
        <v>26</v>
      </c>
    </row>
    <row r="824" spans="1:14" x14ac:dyDescent="0.2">
      <c r="A824" s="6" t="s">
        <v>689</v>
      </c>
      <c r="B824" s="6" t="s">
        <v>690</v>
      </c>
      <c r="C824" s="6" t="s">
        <v>20</v>
      </c>
      <c r="D824" s="7"/>
      <c r="E824" s="7"/>
      <c r="F824" s="7">
        <v>45608</v>
      </c>
      <c r="G824" s="9">
        <v>89000</v>
      </c>
      <c r="H824" s="9">
        <v>81651.38</v>
      </c>
      <c r="I824" s="9">
        <v>7348.62</v>
      </c>
      <c r="J824" s="7"/>
      <c r="K824" s="8" t="str">
        <f t="shared" si="37"/>
        <v/>
      </c>
      <c r="L824" s="8" t="str">
        <f t="shared" si="38"/>
        <v/>
      </c>
      <c r="M824" s="8" t="str">
        <f t="shared" si="36"/>
        <v/>
      </c>
      <c r="N824" s="6" t="s">
        <v>21</v>
      </c>
    </row>
    <row r="825" spans="1:14" x14ac:dyDescent="0.2">
      <c r="A825" s="6" t="s">
        <v>425</v>
      </c>
      <c r="B825" s="6" t="s">
        <v>691</v>
      </c>
      <c r="C825" s="6" t="s">
        <v>20</v>
      </c>
      <c r="D825" s="7"/>
      <c r="E825" s="7"/>
      <c r="F825" s="7">
        <v>45609</v>
      </c>
      <c r="G825" s="9">
        <v>319500</v>
      </c>
      <c r="H825" s="9">
        <v>282743.36</v>
      </c>
      <c r="I825" s="9">
        <v>36756.639999999999</v>
      </c>
      <c r="J825" s="7">
        <v>45622</v>
      </c>
      <c r="K825" s="8" t="str">
        <f t="shared" si="37"/>
        <v/>
      </c>
      <c r="L825" s="8" t="str">
        <f t="shared" si="38"/>
        <v/>
      </c>
      <c r="M825" s="8">
        <f t="shared" si="36"/>
        <v>13</v>
      </c>
      <c r="N825" s="6" t="s">
        <v>26</v>
      </c>
    </row>
    <row r="826" spans="1:14" x14ac:dyDescent="0.2">
      <c r="A826" s="6" t="s">
        <v>81</v>
      </c>
      <c r="B826" s="6" t="s">
        <v>692</v>
      </c>
      <c r="C826" s="6" t="s">
        <v>20</v>
      </c>
      <c r="D826" s="7"/>
      <c r="E826" s="7"/>
      <c r="F826" s="7">
        <v>45611</v>
      </c>
      <c r="G826" s="9">
        <v>341000</v>
      </c>
      <c r="H826" s="9">
        <v>301769.90999999997</v>
      </c>
      <c r="I826" s="9">
        <v>39230.089999999997</v>
      </c>
      <c r="J826" s="7">
        <v>45624</v>
      </c>
      <c r="K826" s="8" t="str">
        <f t="shared" si="37"/>
        <v/>
      </c>
      <c r="L826" s="8" t="str">
        <f t="shared" si="38"/>
        <v/>
      </c>
      <c r="M826" s="8">
        <f t="shared" si="36"/>
        <v>13</v>
      </c>
      <c r="N826" s="6" t="s">
        <v>26</v>
      </c>
    </row>
    <row r="827" spans="1:14" x14ac:dyDescent="0.2">
      <c r="A827" s="6" t="s">
        <v>109</v>
      </c>
      <c r="B827" s="6" t="s">
        <v>693</v>
      </c>
      <c r="C827" s="6" t="s">
        <v>20</v>
      </c>
      <c r="D827" s="7"/>
      <c r="E827" s="7"/>
      <c r="F827" s="7">
        <v>45614</v>
      </c>
      <c r="G827" s="9">
        <v>78000</v>
      </c>
      <c r="H827" s="9">
        <v>69026.55</v>
      </c>
      <c r="I827" s="9">
        <v>8973.4500000000007</v>
      </c>
      <c r="J827" s="7">
        <v>45616</v>
      </c>
      <c r="K827" s="8" t="str">
        <f t="shared" si="37"/>
        <v/>
      </c>
      <c r="L827" s="8" t="str">
        <f t="shared" si="38"/>
        <v/>
      </c>
      <c r="M827" s="8">
        <f t="shared" si="36"/>
        <v>2</v>
      </c>
      <c r="N827" s="6" t="s">
        <v>26</v>
      </c>
    </row>
    <row r="828" spans="1:14" x14ac:dyDescent="0.2">
      <c r="A828" s="6" t="s">
        <v>694</v>
      </c>
      <c r="B828" s="6" t="s">
        <v>695</v>
      </c>
      <c r="C828" s="6" t="s">
        <v>20</v>
      </c>
      <c r="D828" s="7"/>
      <c r="E828" s="7"/>
      <c r="F828" s="7">
        <v>45616</v>
      </c>
      <c r="G828" s="9">
        <v>350000</v>
      </c>
      <c r="H828" s="9">
        <v>321100.92</v>
      </c>
      <c r="I828" s="9">
        <v>28899.08</v>
      </c>
      <c r="J828" s="7">
        <v>45626</v>
      </c>
      <c r="K828" s="8" t="str">
        <f t="shared" si="37"/>
        <v/>
      </c>
      <c r="L828" s="8" t="str">
        <f t="shared" si="38"/>
        <v/>
      </c>
      <c r="M828" s="8">
        <f t="shared" si="36"/>
        <v>10</v>
      </c>
      <c r="N828" s="6" t="s">
        <v>26</v>
      </c>
    </row>
    <row r="829" spans="1:14" x14ac:dyDescent="0.2">
      <c r="A829" s="6" t="s">
        <v>429</v>
      </c>
      <c r="B829" s="6" t="s">
        <v>696</v>
      </c>
      <c r="C829" s="6" t="s">
        <v>20</v>
      </c>
      <c r="D829" s="7"/>
      <c r="E829" s="7"/>
      <c r="F829" s="7">
        <v>45616</v>
      </c>
      <c r="G829" s="9">
        <v>20886</v>
      </c>
      <c r="H829" s="9">
        <v>18483.189999999999</v>
      </c>
      <c r="I829" s="9">
        <v>2402.81</v>
      </c>
      <c r="J829" s="7">
        <v>45682</v>
      </c>
      <c r="K829" s="8" t="str">
        <f t="shared" si="37"/>
        <v/>
      </c>
      <c r="L829" s="8" t="str">
        <f t="shared" si="38"/>
        <v/>
      </c>
      <c r="M829" s="8">
        <f t="shared" si="36"/>
        <v>66</v>
      </c>
      <c r="N829" s="6" t="s">
        <v>26</v>
      </c>
    </row>
    <row r="830" spans="1:14" x14ac:dyDescent="0.2">
      <c r="A830" s="6" t="s">
        <v>495</v>
      </c>
      <c r="B830" s="6" t="s">
        <v>496</v>
      </c>
      <c r="C830" s="6" t="s">
        <v>20</v>
      </c>
      <c r="D830" s="7"/>
      <c r="E830" s="7"/>
      <c r="F830" s="7">
        <v>45623</v>
      </c>
      <c r="G830" s="9">
        <v>23600</v>
      </c>
      <c r="H830" s="9">
        <v>20884.96</v>
      </c>
      <c r="I830" s="9">
        <v>2715.04</v>
      </c>
      <c r="J830" s="7"/>
      <c r="K830" s="8" t="str">
        <f t="shared" si="37"/>
        <v/>
      </c>
      <c r="L830" s="8" t="str">
        <f t="shared" si="38"/>
        <v/>
      </c>
      <c r="M830" s="8" t="str">
        <f t="shared" si="36"/>
        <v/>
      </c>
      <c r="N830" s="6" t="s">
        <v>21</v>
      </c>
    </row>
    <row r="831" spans="1:14" x14ac:dyDescent="0.2">
      <c r="A831" s="6" t="s">
        <v>618</v>
      </c>
      <c r="B831" s="6" t="s">
        <v>619</v>
      </c>
      <c r="C831" s="6" t="s">
        <v>20</v>
      </c>
      <c r="D831" s="7"/>
      <c r="E831" s="7"/>
      <c r="F831" s="7">
        <v>45623</v>
      </c>
      <c r="G831" s="9">
        <v>222478.75</v>
      </c>
      <c r="H831" s="9">
        <v>204108.94</v>
      </c>
      <c r="I831" s="9">
        <v>18369.810000000001</v>
      </c>
      <c r="J831" s="7">
        <v>45678</v>
      </c>
      <c r="K831" s="8" t="str">
        <f t="shared" si="37"/>
        <v/>
      </c>
      <c r="L831" s="8" t="str">
        <f t="shared" si="38"/>
        <v/>
      </c>
      <c r="M831" s="8">
        <f t="shared" si="36"/>
        <v>55</v>
      </c>
      <c r="N831" s="6" t="s">
        <v>26</v>
      </c>
    </row>
    <row r="832" spans="1:14" x14ac:dyDescent="0.2">
      <c r="A832" s="6" t="s">
        <v>618</v>
      </c>
      <c r="B832" s="6" t="s">
        <v>619</v>
      </c>
      <c r="C832" s="6" t="s">
        <v>20</v>
      </c>
      <c r="D832" s="7"/>
      <c r="E832" s="7"/>
      <c r="F832" s="7">
        <v>45624</v>
      </c>
      <c r="G832" s="9">
        <v>-242883.62</v>
      </c>
      <c r="H832" s="9">
        <v>-222829.01</v>
      </c>
      <c r="I832" s="9">
        <v>-20054.61</v>
      </c>
      <c r="J832" s="7">
        <v>45678</v>
      </c>
      <c r="K832" s="8" t="str">
        <f t="shared" si="37"/>
        <v/>
      </c>
      <c r="L832" s="8" t="str">
        <f t="shared" si="38"/>
        <v/>
      </c>
      <c r="M832" s="8">
        <f t="shared" si="36"/>
        <v>54</v>
      </c>
      <c r="N832" s="6" t="s">
        <v>26</v>
      </c>
    </row>
    <row r="833" spans="1:14" x14ac:dyDescent="0.2">
      <c r="A833" s="6" t="s">
        <v>697</v>
      </c>
      <c r="C833" s="6" t="s">
        <v>20</v>
      </c>
      <c r="D833" s="7"/>
      <c r="E833" s="7"/>
      <c r="F833" s="7">
        <v>45626</v>
      </c>
      <c r="G833" s="9">
        <v>338000</v>
      </c>
      <c r="H833" s="9">
        <v>299115.03999999998</v>
      </c>
      <c r="I833" s="9">
        <v>38884.959999999999</v>
      </c>
      <c r="J833" s="7"/>
      <c r="K833" s="8" t="str">
        <f t="shared" si="37"/>
        <v/>
      </c>
      <c r="L833" s="8" t="str">
        <f t="shared" si="38"/>
        <v/>
      </c>
      <c r="M833" s="8" t="str">
        <f t="shared" si="36"/>
        <v/>
      </c>
      <c r="N833" s="6" t="s">
        <v>21</v>
      </c>
    </row>
    <row r="834" spans="1:14" x14ac:dyDescent="0.2">
      <c r="A834" s="6" t="s">
        <v>697</v>
      </c>
      <c r="C834" s="6" t="s">
        <v>20</v>
      </c>
      <c r="D834" s="7"/>
      <c r="E834" s="7"/>
      <c r="F834" s="7">
        <v>45626</v>
      </c>
      <c r="G834" s="9">
        <v>182000</v>
      </c>
      <c r="H834" s="9">
        <v>171698.11</v>
      </c>
      <c r="I834" s="9">
        <v>10301.89</v>
      </c>
      <c r="J834" s="7"/>
      <c r="K834" s="8" t="str">
        <f t="shared" si="37"/>
        <v/>
      </c>
      <c r="L834" s="8" t="str">
        <f t="shared" si="38"/>
        <v/>
      </c>
      <c r="M834" s="8" t="str">
        <f t="shared" ref="M834:M897" si="39">IF(OR($F834="", $J834=""),"", $J834-$F834)</f>
        <v/>
      </c>
      <c r="N834" s="6" t="s">
        <v>21</v>
      </c>
    </row>
    <row r="835" spans="1:14" x14ac:dyDescent="0.2">
      <c r="A835" s="6" t="s">
        <v>558</v>
      </c>
      <c r="C835" s="6" t="s">
        <v>33</v>
      </c>
      <c r="D835" s="7"/>
      <c r="E835" s="7"/>
      <c r="F835" s="7">
        <v>45626</v>
      </c>
      <c r="G835" s="9">
        <v>260000</v>
      </c>
      <c r="H835" s="9">
        <v>245283.02</v>
      </c>
      <c r="I835" s="9">
        <v>14716.98</v>
      </c>
      <c r="J835" s="7"/>
      <c r="K835" s="8" t="str">
        <f t="shared" ref="K835:K898" si="40">IF(OR($D835="", $F835=""),"", $E835-$D835)</f>
        <v/>
      </c>
      <c r="L835" s="8" t="str">
        <f t="shared" ref="L835:L898" si="41">IF(OR($D835="", $F835=""),"", $F835-$E835)</f>
        <v/>
      </c>
      <c r="M835" s="8" t="str">
        <f t="shared" si="39"/>
        <v/>
      </c>
      <c r="N835" s="6" t="s">
        <v>21</v>
      </c>
    </row>
    <row r="836" spans="1:14" x14ac:dyDescent="0.2">
      <c r="A836" s="6" t="s">
        <v>558</v>
      </c>
      <c r="C836" s="6" t="s">
        <v>33</v>
      </c>
      <c r="D836" s="7"/>
      <c r="E836" s="7"/>
      <c r="F836" s="7">
        <v>45626</v>
      </c>
      <c r="G836" s="9">
        <v>263000</v>
      </c>
      <c r="H836" s="9">
        <v>232743.36</v>
      </c>
      <c r="I836" s="9">
        <v>30256.639999999999</v>
      </c>
      <c r="J836" s="7"/>
      <c r="K836" s="8" t="str">
        <f t="shared" si="40"/>
        <v/>
      </c>
      <c r="L836" s="8" t="str">
        <f t="shared" si="41"/>
        <v/>
      </c>
      <c r="M836" s="8" t="str">
        <f t="shared" si="39"/>
        <v/>
      </c>
      <c r="N836" s="6" t="s">
        <v>21</v>
      </c>
    </row>
    <row r="837" spans="1:14" x14ac:dyDescent="0.2">
      <c r="A837" s="6" t="s">
        <v>558</v>
      </c>
      <c r="C837" s="6" t="s">
        <v>355</v>
      </c>
      <c r="D837" s="7"/>
      <c r="E837" s="7"/>
      <c r="F837" s="7">
        <v>45626</v>
      </c>
      <c r="G837" s="9">
        <v>50000</v>
      </c>
      <c r="H837" s="9">
        <v>49504.95</v>
      </c>
      <c r="I837" s="9">
        <v>495.05</v>
      </c>
      <c r="J837" s="7"/>
      <c r="K837" s="8" t="str">
        <f t="shared" si="40"/>
        <v/>
      </c>
      <c r="L837" s="8" t="str">
        <f t="shared" si="41"/>
        <v/>
      </c>
      <c r="M837" s="8" t="str">
        <f t="shared" si="39"/>
        <v/>
      </c>
      <c r="N837" s="6" t="s">
        <v>21</v>
      </c>
    </row>
    <row r="838" spans="1:14" x14ac:dyDescent="0.2">
      <c r="A838" s="6" t="s">
        <v>698</v>
      </c>
      <c r="B838" s="6" t="s">
        <v>699</v>
      </c>
      <c r="C838" s="6" t="s">
        <v>20</v>
      </c>
      <c r="D838" s="7"/>
      <c r="E838" s="7"/>
      <c r="F838" s="7">
        <v>45628</v>
      </c>
      <c r="G838" s="9">
        <v>125000</v>
      </c>
      <c r="H838" s="9">
        <v>110619.47</v>
      </c>
      <c r="I838" s="9">
        <v>14380.53</v>
      </c>
      <c r="J838" s="7">
        <v>45649</v>
      </c>
      <c r="K838" s="8" t="str">
        <f t="shared" si="40"/>
        <v/>
      </c>
      <c r="L838" s="8" t="str">
        <f t="shared" si="41"/>
        <v/>
      </c>
      <c r="M838" s="8">
        <f t="shared" si="39"/>
        <v>21</v>
      </c>
      <c r="N838" s="6" t="s">
        <v>26</v>
      </c>
    </row>
    <row r="839" spans="1:14" x14ac:dyDescent="0.2">
      <c r="A839" s="6" t="s">
        <v>47</v>
      </c>
      <c r="B839" s="6" t="s">
        <v>518</v>
      </c>
      <c r="C839" s="6" t="s">
        <v>20</v>
      </c>
      <c r="D839" s="7"/>
      <c r="E839" s="7"/>
      <c r="F839" s="7">
        <v>45629</v>
      </c>
      <c r="G839" s="9">
        <v>169966.36</v>
      </c>
      <c r="H839" s="9">
        <v>150412.71</v>
      </c>
      <c r="I839" s="9">
        <v>19553.650000000001</v>
      </c>
      <c r="J839" s="7">
        <v>45670</v>
      </c>
      <c r="K839" s="8" t="str">
        <f t="shared" si="40"/>
        <v/>
      </c>
      <c r="L839" s="8" t="str">
        <f t="shared" si="41"/>
        <v/>
      </c>
      <c r="M839" s="8">
        <f t="shared" si="39"/>
        <v>41</v>
      </c>
      <c r="N839" s="6" t="s">
        <v>26</v>
      </c>
    </row>
    <row r="840" spans="1:14" x14ac:dyDescent="0.2">
      <c r="A840" s="6" t="s">
        <v>47</v>
      </c>
      <c r="B840" s="6" t="s">
        <v>518</v>
      </c>
      <c r="C840" s="6" t="s">
        <v>20</v>
      </c>
      <c r="D840" s="7"/>
      <c r="E840" s="7"/>
      <c r="F840" s="7">
        <v>45629</v>
      </c>
      <c r="G840" s="9">
        <v>9226.2199999999993</v>
      </c>
      <c r="H840" s="9">
        <v>8164.8</v>
      </c>
      <c r="I840" s="9">
        <v>1061.42</v>
      </c>
      <c r="J840" s="7">
        <v>45670</v>
      </c>
      <c r="K840" s="8" t="str">
        <f t="shared" si="40"/>
        <v/>
      </c>
      <c r="L840" s="8" t="str">
        <f t="shared" si="41"/>
        <v/>
      </c>
      <c r="M840" s="8">
        <f t="shared" si="39"/>
        <v>41</v>
      </c>
      <c r="N840" s="6" t="s">
        <v>26</v>
      </c>
    </row>
    <row r="841" spans="1:14" x14ac:dyDescent="0.2">
      <c r="A841" s="6" t="s">
        <v>47</v>
      </c>
      <c r="B841" s="6" t="s">
        <v>518</v>
      </c>
      <c r="C841" s="6" t="s">
        <v>20</v>
      </c>
      <c r="D841" s="7"/>
      <c r="E841" s="7"/>
      <c r="F841" s="7">
        <v>45629</v>
      </c>
      <c r="G841" s="9">
        <v>2566.44</v>
      </c>
      <c r="H841" s="9">
        <v>2271.19</v>
      </c>
      <c r="I841" s="9">
        <v>295.25</v>
      </c>
      <c r="J841" s="7">
        <v>45670</v>
      </c>
      <c r="K841" s="8" t="str">
        <f t="shared" si="40"/>
        <v/>
      </c>
      <c r="L841" s="8" t="str">
        <f t="shared" si="41"/>
        <v/>
      </c>
      <c r="M841" s="8">
        <f t="shared" si="39"/>
        <v>41</v>
      </c>
      <c r="N841" s="6" t="s">
        <v>26</v>
      </c>
    </row>
    <row r="842" spans="1:14" x14ac:dyDescent="0.2">
      <c r="A842" s="6" t="s">
        <v>47</v>
      </c>
      <c r="B842" s="6" t="s">
        <v>519</v>
      </c>
      <c r="C842" s="6" t="s">
        <v>20</v>
      </c>
      <c r="D842" s="7"/>
      <c r="E842" s="7"/>
      <c r="F842" s="7">
        <v>45630</v>
      </c>
      <c r="G842" s="9">
        <v>131199.99</v>
      </c>
      <c r="H842" s="9">
        <v>116106.19</v>
      </c>
      <c r="I842" s="9">
        <v>15093.8</v>
      </c>
      <c r="J842" s="7">
        <v>45670</v>
      </c>
      <c r="K842" s="8" t="str">
        <f t="shared" si="40"/>
        <v/>
      </c>
      <c r="L842" s="8" t="str">
        <f t="shared" si="41"/>
        <v/>
      </c>
      <c r="M842" s="8">
        <f t="shared" si="39"/>
        <v>40</v>
      </c>
      <c r="N842" s="6" t="s">
        <v>26</v>
      </c>
    </row>
    <row r="843" spans="1:14" x14ac:dyDescent="0.2">
      <c r="A843" s="6" t="s">
        <v>47</v>
      </c>
      <c r="B843" s="6" t="s">
        <v>519</v>
      </c>
      <c r="C843" s="6" t="s">
        <v>20</v>
      </c>
      <c r="D843" s="7"/>
      <c r="E843" s="7"/>
      <c r="F843" s="7">
        <v>45630</v>
      </c>
      <c r="G843" s="9">
        <v>80.53</v>
      </c>
      <c r="H843" s="9">
        <v>71.27</v>
      </c>
      <c r="I843" s="9">
        <v>9.26</v>
      </c>
      <c r="J843" s="7">
        <v>45670</v>
      </c>
      <c r="K843" s="8" t="str">
        <f t="shared" si="40"/>
        <v/>
      </c>
      <c r="L843" s="8" t="str">
        <f t="shared" si="41"/>
        <v/>
      </c>
      <c r="M843" s="8">
        <f t="shared" si="39"/>
        <v>40</v>
      </c>
      <c r="N843" s="6" t="s">
        <v>26</v>
      </c>
    </row>
    <row r="844" spans="1:14" x14ac:dyDescent="0.2">
      <c r="A844" s="6" t="s">
        <v>637</v>
      </c>
      <c r="B844" s="6" t="s">
        <v>638</v>
      </c>
      <c r="C844" s="6" t="s">
        <v>20</v>
      </c>
      <c r="D844" s="7"/>
      <c r="E844" s="7"/>
      <c r="F844" s="7">
        <v>45631</v>
      </c>
      <c r="G844" s="9">
        <v>120000</v>
      </c>
      <c r="H844" s="9">
        <v>110091.74</v>
      </c>
      <c r="I844" s="9">
        <v>9908.26</v>
      </c>
      <c r="J844" s="7">
        <v>46017</v>
      </c>
      <c r="K844" s="8" t="str">
        <f t="shared" si="40"/>
        <v/>
      </c>
      <c r="L844" s="8" t="str">
        <f t="shared" si="41"/>
        <v/>
      </c>
      <c r="M844" s="8">
        <f t="shared" si="39"/>
        <v>386</v>
      </c>
      <c r="N844" s="6" t="s">
        <v>26</v>
      </c>
    </row>
    <row r="845" spans="1:14" x14ac:dyDescent="0.2">
      <c r="A845" s="6" t="s">
        <v>637</v>
      </c>
      <c r="B845" s="6" t="s">
        <v>638</v>
      </c>
      <c r="C845" s="6" t="s">
        <v>20</v>
      </c>
      <c r="D845" s="7"/>
      <c r="E845" s="7"/>
      <c r="F845" s="7">
        <v>45631</v>
      </c>
      <c r="G845" s="9">
        <v>277200</v>
      </c>
      <c r="H845" s="9">
        <v>254311.93</v>
      </c>
      <c r="I845" s="9">
        <v>22888.07</v>
      </c>
      <c r="J845" s="7">
        <v>46017</v>
      </c>
      <c r="K845" s="8" t="str">
        <f t="shared" si="40"/>
        <v/>
      </c>
      <c r="L845" s="8" t="str">
        <f t="shared" si="41"/>
        <v/>
      </c>
      <c r="M845" s="8">
        <f t="shared" si="39"/>
        <v>386</v>
      </c>
      <c r="N845" s="6" t="s">
        <v>26</v>
      </c>
    </row>
    <row r="846" spans="1:14" x14ac:dyDescent="0.2">
      <c r="A846" s="6" t="s">
        <v>417</v>
      </c>
      <c r="B846" s="6" t="s">
        <v>700</v>
      </c>
      <c r="C846" s="6" t="s">
        <v>20</v>
      </c>
      <c r="D846" s="7"/>
      <c r="E846" s="7"/>
      <c r="F846" s="7">
        <v>45636</v>
      </c>
      <c r="G846" s="9">
        <v>829000</v>
      </c>
      <c r="H846" s="9">
        <v>760550.46</v>
      </c>
      <c r="I846" s="9">
        <v>68449.539999999994</v>
      </c>
      <c r="J846" s="7"/>
      <c r="K846" s="8" t="str">
        <f t="shared" si="40"/>
        <v/>
      </c>
      <c r="L846" s="8" t="str">
        <f t="shared" si="41"/>
        <v/>
      </c>
      <c r="M846" s="8" t="str">
        <f t="shared" si="39"/>
        <v/>
      </c>
      <c r="N846" s="6" t="s">
        <v>21</v>
      </c>
    </row>
    <row r="847" spans="1:14" x14ac:dyDescent="0.2">
      <c r="A847" s="6" t="s">
        <v>47</v>
      </c>
      <c r="B847" s="6" t="s">
        <v>518</v>
      </c>
      <c r="C847" s="6" t="s">
        <v>20</v>
      </c>
      <c r="D847" s="7"/>
      <c r="E847" s="7"/>
      <c r="F847" s="7">
        <v>45636</v>
      </c>
      <c r="G847" s="9">
        <v>-181759.02</v>
      </c>
      <c r="H847" s="9">
        <v>-160848.69</v>
      </c>
      <c r="I847" s="9">
        <v>-20910.330000000002</v>
      </c>
      <c r="J847" s="7">
        <v>45670</v>
      </c>
      <c r="K847" s="8" t="str">
        <f t="shared" si="40"/>
        <v/>
      </c>
      <c r="L847" s="8" t="str">
        <f t="shared" si="41"/>
        <v/>
      </c>
      <c r="M847" s="8">
        <f t="shared" si="39"/>
        <v>34</v>
      </c>
      <c r="N847" s="6" t="s">
        <v>26</v>
      </c>
    </row>
    <row r="848" spans="1:14" x14ac:dyDescent="0.2">
      <c r="A848" s="6" t="s">
        <v>47</v>
      </c>
      <c r="B848" s="6" t="s">
        <v>519</v>
      </c>
      <c r="C848" s="6" t="s">
        <v>20</v>
      </c>
      <c r="D848" s="7"/>
      <c r="E848" s="7"/>
      <c r="F848" s="7">
        <v>45636</v>
      </c>
      <c r="G848" s="9">
        <v>-131280.51999999999</v>
      </c>
      <c r="H848" s="9">
        <v>-116177.45</v>
      </c>
      <c r="I848" s="9">
        <v>-15103.07</v>
      </c>
      <c r="J848" s="7">
        <v>45670</v>
      </c>
      <c r="K848" s="8" t="str">
        <f t="shared" si="40"/>
        <v/>
      </c>
      <c r="L848" s="8" t="str">
        <f t="shared" si="41"/>
        <v/>
      </c>
      <c r="M848" s="8">
        <f t="shared" si="39"/>
        <v>34</v>
      </c>
      <c r="N848" s="6" t="s">
        <v>26</v>
      </c>
    </row>
    <row r="849" spans="1:14" x14ac:dyDescent="0.2">
      <c r="A849" s="6" t="s">
        <v>54</v>
      </c>
      <c r="B849" s="6" t="s">
        <v>701</v>
      </c>
      <c r="C849" s="6" t="s">
        <v>20</v>
      </c>
      <c r="D849" s="7"/>
      <c r="E849" s="7"/>
      <c r="F849" s="7">
        <v>45637</v>
      </c>
      <c r="G849" s="9">
        <v>353487</v>
      </c>
      <c r="H849" s="9">
        <v>324300</v>
      </c>
      <c r="I849" s="9">
        <v>29187</v>
      </c>
      <c r="J849" s="7"/>
      <c r="K849" s="8" t="str">
        <f t="shared" si="40"/>
        <v/>
      </c>
      <c r="L849" s="8" t="str">
        <f t="shared" si="41"/>
        <v/>
      </c>
      <c r="M849" s="8" t="str">
        <f t="shared" si="39"/>
        <v/>
      </c>
      <c r="N849" s="6" t="s">
        <v>21</v>
      </c>
    </row>
    <row r="850" spans="1:14" x14ac:dyDescent="0.2">
      <c r="A850" s="6" t="s">
        <v>417</v>
      </c>
      <c r="B850" s="6" t="s">
        <v>701</v>
      </c>
      <c r="C850" s="6" t="s">
        <v>20</v>
      </c>
      <c r="D850" s="7"/>
      <c r="E850" s="7"/>
      <c r="F850" s="7">
        <v>45638</v>
      </c>
      <c r="G850" s="9">
        <v>2001567</v>
      </c>
      <c r="H850" s="9">
        <v>1836300</v>
      </c>
      <c r="I850" s="9">
        <v>165267</v>
      </c>
      <c r="J850" s="7"/>
      <c r="K850" s="8" t="str">
        <f t="shared" si="40"/>
        <v/>
      </c>
      <c r="L850" s="8" t="str">
        <f t="shared" si="41"/>
        <v/>
      </c>
      <c r="M850" s="8" t="str">
        <f t="shared" si="39"/>
        <v/>
      </c>
      <c r="N850" s="6" t="s">
        <v>21</v>
      </c>
    </row>
    <row r="851" spans="1:14" x14ac:dyDescent="0.2">
      <c r="A851" s="6" t="s">
        <v>463</v>
      </c>
      <c r="B851" s="6" t="s">
        <v>702</v>
      </c>
      <c r="C851" s="6" t="s">
        <v>20</v>
      </c>
      <c r="D851" s="7"/>
      <c r="E851" s="7"/>
      <c r="F851" s="7">
        <v>45643</v>
      </c>
      <c r="G851" s="9">
        <v>1570000</v>
      </c>
      <c r="H851" s="9">
        <v>1389380.53</v>
      </c>
      <c r="I851" s="9">
        <v>180619.47</v>
      </c>
      <c r="J851" s="7">
        <v>45803</v>
      </c>
      <c r="K851" s="8" t="str">
        <f t="shared" si="40"/>
        <v/>
      </c>
      <c r="L851" s="8" t="str">
        <f t="shared" si="41"/>
        <v/>
      </c>
      <c r="M851" s="8">
        <f t="shared" si="39"/>
        <v>160</v>
      </c>
      <c r="N851" s="6" t="s">
        <v>26</v>
      </c>
    </row>
    <row r="852" spans="1:14" x14ac:dyDescent="0.2">
      <c r="A852" s="6" t="s">
        <v>417</v>
      </c>
      <c r="B852" s="6" t="s">
        <v>701</v>
      </c>
      <c r="C852" s="6" t="s">
        <v>20</v>
      </c>
      <c r="D852" s="7"/>
      <c r="E852" s="7"/>
      <c r="F852" s="7">
        <v>45644</v>
      </c>
      <c r="G852" s="9">
        <v>46.51</v>
      </c>
      <c r="H852" s="9">
        <v>42.67</v>
      </c>
      <c r="I852" s="9">
        <v>3.84</v>
      </c>
      <c r="J852" s="7"/>
      <c r="K852" s="8" t="str">
        <f t="shared" si="40"/>
        <v/>
      </c>
      <c r="L852" s="8" t="str">
        <f t="shared" si="41"/>
        <v/>
      </c>
      <c r="M852" s="8" t="str">
        <f t="shared" si="39"/>
        <v/>
      </c>
      <c r="N852" s="6" t="s">
        <v>21</v>
      </c>
    </row>
    <row r="853" spans="1:14" x14ac:dyDescent="0.2">
      <c r="A853" s="6" t="s">
        <v>510</v>
      </c>
      <c r="B853" s="6" t="s">
        <v>703</v>
      </c>
      <c r="C853" s="6" t="s">
        <v>20</v>
      </c>
      <c r="D853" s="7"/>
      <c r="E853" s="7"/>
      <c r="F853" s="7">
        <v>45646</v>
      </c>
      <c r="G853" s="9">
        <v>36309.24</v>
      </c>
      <c r="H853" s="9">
        <v>34254</v>
      </c>
      <c r="I853" s="9">
        <v>2055.2399999999998</v>
      </c>
      <c r="J853" s="7">
        <v>45869</v>
      </c>
      <c r="K853" s="8" t="str">
        <f t="shared" si="40"/>
        <v/>
      </c>
      <c r="L853" s="8" t="str">
        <f t="shared" si="41"/>
        <v/>
      </c>
      <c r="M853" s="8">
        <f t="shared" si="39"/>
        <v>223</v>
      </c>
      <c r="N853" s="6" t="s">
        <v>26</v>
      </c>
    </row>
    <row r="854" spans="1:14" x14ac:dyDescent="0.2">
      <c r="A854" s="6" t="s">
        <v>343</v>
      </c>
      <c r="B854" s="6" t="s">
        <v>704</v>
      </c>
      <c r="C854" s="6" t="s">
        <v>20</v>
      </c>
      <c r="D854" s="7"/>
      <c r="E854" s="7"/>
      <c r="F854" s="7">
        <v>45649</v>
      </c>
      <c r="G854" s="9">
        <v>100000</v>
      </c>
      <c r="H854" s="9">
        <v>88495.58</v>
      </c>
      <c r="I854" s="9">
        <v>11504.42</v>
      </c>
      <c r="J854" s="7">
        <v>45657</v>
      </c>
      <c r="K854" s="8" t="str">
        <f t="shared" si="40"/>
        <v/>
      </c>
      <c r="L854" s="8" t="str">
        <f t="shared" si="41"/>
        <v/>
      </c>
      <c r="M854" s="8">
        <f t="shared" si="39"/>
        <v>8</v>
      </c>
      <c r="N854" s="6" t="s">
        <v>26</v>
      </c>
    </row>
    <row r="855" spans="1:14" x14ac:dyDescent="0.2">
      <c r="A855" s="6" t="s">
        <v>425</v>
      </c>
      <c r="B855" s="6" t="s">
        <v>705</v>
      </c>
      <c r="C855" s="6" t="s">
        <v>652</v>
      </c>
      <c r="D855" s="7"/>
      <c r="E855" s="7"/>
      <c r="F855" s="7">
        <v>45652</v>
      </c>
      <c r="G855" s="9">
        <v>210000</v>
      </c>
      <c r="H855" s="9">
        <v>192660.55</v>
      </c>
      <c r="I855" s="9">
        <v>17339.45</v>
      </c>
      <c r="J855" s="7">
        <v>45652</v>
      </c>
      <c r="K855" s="8" t="str">
        <f t="shared" si="40"/>
        <v/>
      </c>
      <c r="L855" s="8" t="str">
        <f t="shared" si="41"/>
        <v/>
      </c>
      <c r="M855" s="8">
        <f t="shared" si="39"/>
        <v>0</v>
      </c>
      <c r="N855" s="6" t="s">
        <v>26</v>
      </c>
    </row>
    <row r="856" spans="1:14" x14ac:dyDescent="0.2">
      <c r="A856" s="6" t="s">
        <v>706</v>
      </c>
      <c r="B856" s="6" t="s">
        <v>707</v>
      </c>
      <c r="C856" s="6" t="s">
        <v>20</v>
      </c>
      <c r="D856" s="7"/>
      <c r="E856" s="7"/>
      <c r="F856" s="7">
        <v>45652</v>
      </c>
      <c r="G856" s="9">
        <v>3000</v>
      </c>
      <c r="H856" s="9">
        <v>2654.87</v>
      </c>
      <c r="I856" s="9">
        <v>345.13</v>
      </c>
      <c r="J856" s="7"/>
      <c r="K856" s="8" t="str">
        <f t="shared" si="40"/>
        <v/>
      </c>
      <c r="L856" s="8" t="str">
        <f t="shared" si="41"/>
        <v/>
      </c>
      <c r="M856" s="8" t="str">
        <f t="shared" si="39"/>
        <v/>
      </c>
      <c r="N856" s="6" t="s">
        <v>21</v>
      </c>
    </row>
    <row r="857" spans="1:14" x14ac:dyDescent="0.2">
      <c r="A857" s="6" t="s">
        <v>364</v>
      </c>
      <c r="C857" s="6" t="s">
        <v>87</v>
      </c>
      <c r="D857" s="7"/>
      <c r="E857" s="7"/>
      <c r="F857" s="7">
        <v>45653</v>
      </c>
      <c r="G857" s="9">
        <v>198581.91</v>
      </c>
      <c r="H857" s="9">
        <v>175736.2</v>
      </c>
      <c r="I857" s="9">
        <v>22845.71</v>
      </c>
      <c r="J857" s="7">
        <v>45736</v>
      </c>
      <c r="K857" s="8" t="str">
        <f t="shared" si="40"/>
        <v/>
      </c>
      <c r="L857" s="8" t="str">
        <f t="shared" si="41"/>
        <v/>
      </c>
      <c r="M857" s="8">
        <f t="shared" si="39"/>
        <v>83</v>
      </c>
      <c r="N857" s="6" t="s">
        <v>26</v>
      </c>
    </row>
    <row r="858" spans="1:14" x14ac:dyDescent="0.2">
      <c r="A858" s="6" t="s">
        <v>364</v>
      </c>
      <c r="C858" s="6" t="s">
        <v>87</v>
      </c>
      <c r="D858" s="7"/>
      <c r="E858" s="7"/>
      <c r="F858" s="7">
        <v>45653</v>
      </c>
      <c r="G858" s="9">
        <v>-233625.78</v>
      </c>
      <c r="H858" s="9">
        <v>-206748.48</v>
      </c>
      <c r="I858" s="9">
        <v>-26877.3</v>
      </c>
      <c r="J858" s="7">
        <v>45736</v>
      </c>
      <c r="K858" s="8" t="str">
        <f t="shared" si="40"/>
        <v/>
      </c>
      <c r="L858" s="8" t="str">
        <f t="shared" si="41"/>
        <v/>
      </c>
      <c r="M858" s="8">
        <f t="shared" si="39"/>
        <v>83</v>
      </c>
      <c r="N858" s="6" t="s">
        <v>26</v>
      </c>
    </row>
    <row r="859" spans="1:14" x14ac:dyDescent="0.2">
      <c r="A859" s="6" t="s">
        <v>425</v>
      </c>
      <c r="B859" s="6" t="s">
        <v>708</v>
      </c>
      <c r="C859" s="6" t="s">
        <v>20</v>
      </c>
      <c r="D859" s="7"/>
      <c r="E859" s="7"/>
      <c r="F859" s="7">
        <v>45655</v>
      </c>
      <c r="G859" s="9">
        <v>1668594</v>
      </c>
      <c r="H859" s="9">
        <v>1530820.18</v>
      </c>
      <c r="I859" s="9">
        <v>137773.82</v>
      </c>
      <c r="J859" s="7">
        <v>45655</v>
      </c>
      <c r="K859" s="8" t="str">
        <f t="shared" si="40"/>
        <v/>
      </c>
      <c r="L859" s="8" t="str">
        <f t="shared" si="41"/>
        <v/>
      </c>
      <c r="M859" s="8">
        <f t="shared" si="39"/>
        <v>0</v>
      </c>
      <c r="N859" s="6" t="s">
        <v>26</v>
      </c>
    </row>
    <row r="860" spans="1:14" x14ac:dyDescent="0.2">
      <c r="A860" s="6" t="s">
        <v>425</v>
      </c>
      <c r="B860" s="6" t="s">
        <v>642</v>
      </c>
      <c r="C860" s="6" t="s">
        <v>20</v>
      </c>
      <c r="D860" s="7"/>
      <c r="E860" s="7"/>
      <c r="F860" s="7">
        <v>45656</v>
      </c>
      <c r="G860" s="9">
        <v>849216</v>
      </c>
      <c r="H860" s="9">
        <v>779097.25</v>
      </c>
      <c r="I860" s="9">
        <v>70118.75</v>
      </c>
      <c r="J860" s="7">
        <v>45656</v>
      </c>
      <c r="K860" s="8" t="str">
        <f t="shared" si="40"/>
        <v/>
      </c>
      <c r="L860" s="8" t="str">
        <f t="shared" si="41"/>
        <v/>
      </c>
      <c r="M860" s="8">
        <f t="shared" si="39"/>
        <v>0</v>
      </c>
      <c r="N860" s="6" t="s">
        <v>26</v>
      </c>
    </row>
    <row r="861" spans="1:14" x14ac:dyDescent="0.2">
      <c r="A861" s="6" t="s">
        <v>425</v>
      </c>
      <c r="B861" s="6" t="s">
        <v>709</v>
      </c>
      <c r="C861" s="6" t="s">
        <v>20</v>
      </c>
      <c r="D861" s="7"/>
      <c r="E861" s="7"/>
      <c r="F861" s="7">
        <v>45656</v>
      </c>
      <c r="G861" s="9">
        <v>137895</v>
      </c>
      <c r="H861" s="9">
        <v>126509.17</v>
      </c>
      <c r="I861" s="9">
        <v>11385.83</v>
      </c>
      <c r="J861" s="7">
        <v>45656</v>
      </c>
      <c r="K861" s="8" t="str">
        <f t="shared" si="40"/>
        <v/>
      </c>
      <c r="L861" s="8" t="str">
        <f t="shared" si="41"/>
        <v/>
      </c>
      <c r="M861" s="8">
        <f t="shared" si="39"/>
        <v>0</v>
      </c>
      <c r="N861" s="6" t="s">
        <v>26</v>
      </c>
    </row>
    <row r="862" spans="1:14" x14ac:dyDescent="0.2">
      <c r="A862" s="6" t="s">
        <v>677</v>
      </c>
      <c r="C862" s="6" t="s">
        <v>87</v>
      </c>
      <c r="D862" s="7"/>
      <c r="E862" s="7"/>
      <c r="F862" s="7">
        <v>45656</v>
      </c>
      <c r="G862" s="9">
        <v>1080000</v>
      </c>
      <c r="H862" s="9">
        <v>955752.21</v>
      </c>
      <c r="I862" s="9">
        <v>124247.79</v>
      </c>
      <c r="J862" s="7"/>
      <c r="K862" s="8" t="str">
        <f t="shared" si="40"/>
        <v/>
      </c>
      <c r="L862" s="8" t="str">
        <f t="shared" si="41"/>
        <v/>
      </c>
      <c r="M862" s="8" t="str">
        <f t="shared" si="39"/>
        <v/>
      </c>
      <c r="N862" s="6" t="s">
        <v>21</v>
      </c>
    </row>
    <row r="863" spans="1:14" x14ac:dyDescent="0.2">
      <c r="A863" s="6" t="s">
        <v>677</v>
      </c>
      <c r="C863" s="6" t="s">
        <v>87</v>
      </c>
      <c r="D863" s="7"/>
      <c r="E863" s="7"/>
      <c r="F863" s="7">
        <v>45656</v>
      </c>
      <c r="G863" s="9">
        <v>1358000</v>
      </c>
      <c r="H863" s="9">
        <v>1201769.9099999999</v>
      </c>
      <c r="I863" s="9">
        <v>156230.09</v>
      </c>
      <c r="J863" s="7"/>
      <c r="K863" s="8" t="str">
        <f t="shared" si="40"/>
        <v/>
      </c>
      <c r="L863" s="8" t="str">
        <f t="shared" si="41"/>
        <v/>
      </c>
      <c r="M863" s="8" t="str">
        <f t="shared" si="39"/>
        <v/>
      </c>
      <c r="N863" s="6" t="s">
        <v>21</v>
      </c>
    </row>
    <row r="864" spans="1:14" x14ac:dyDescent="0.2">
      <c r="A864" s="6" t="s">
        <v>558</v>
      </c>
      <c r="C864" s="6" t="s">
        <v>33</v>
      </c>
      <c r="D864" s="7"/>
      <c r="E864" s="7"/>
      <c r="F864" s="7">
        <v>45656</v>
      </c>
      <c r="G864" s="9">
        <v>1352800</v>
      </c>
      <c r="H864" s="9">
        <v>1276226.42</v>
      </c>
      <c r="I864" s="9">
        <v>76573.58</v>
      </c>
      <c r="J864" s="7"/>
      <c r="K864" s="8" t="str">
        <f t="shared" si="40"/>
        <v/>
      </c>
      <c r="L864" s="8" t="str">
        <f t="shared" si="41"/>
        <v/>
      </c>
      <c r="M864" s="8" t="str">
        <f t="shared" si="39"/>
        <v/>
      </c>
      <c r="N864" s="6" t="s">
        <v>21</v>
      </c>
    </row>
    <row r="865" spans="1:14" x14ac:dyDescent="0.2">
      <c r="A865" s="6" t="s">
        <v>558</v>
      </c>
      <c r="C865" s="6" t="s">
        <v>33</v>
      </c>
      <c r="D865" s="7"/>
      <c r="E865" s="7"/>
      <c r="F865" s="7">
        <v>45656</v>
      </c>
      <c r="G865" s="9">
        <v>1086300</v>
      </c>
      <c r="H865" s="9">
        <v>961327.43</v>
      </c>
      <c r="I865" s="9">
        <v>124972.57</v>
      </c>
      <c r="J865" s="7"/>
      <c r="K865" s="8" t="str">
        <f t="shared" si="40"/>
        <v/>
      </c>
      <c r="L865" s="8" t="str">
        <f t="shared" si="41"/>
        <v/>
      </c>
      <c r="M865" s="8" t="str">
        <f t="shared" si="39"/>
        <v/>
      </c>
      <c r="N865" s="6" t="s">
        <v>21</v>
      </c>
    </row>
    <row r="866" spans="1:14" x14ac:dyDescent="0.2">
      <c r="A866" s="6" t="s">
        <v>558</v>
      </c>
      <c r="C866" s="6" t="s">
        <v>33</v>
      </c>
      <c r="D866" s="7"/>
      <c r="E866" s="7"/>
      <c r="F866" s="7">
        <v>45656</v>
      </c>
      <c r="G866" s="9">
        <v>875000</v>
      </c>
      <c r="H866" s="9">
        <v>825471.7</v>
      </c>
      <c r="I866" s="9">
        <v>49528.3</v>
      </c>
      <c r="J866" s="7"/>
      <c r="K866" s="8" t="str">
        <f t="shared" si="40"/>
        <v/>
      </c>
      <c r="L866" s="8" t="str">
        <f t="shared" si="41"/>
        <v/>
      </c>
      <c r="M866" s="8" t="str">
        <f t="shared" si="39"/>
        <v/>
      </c>
      <c r="N866" s="6" t="s">
        <v>21</v>
      </c>
    </row>
    <row r="867" spans="1:14" x14ac:dyDescent="0.2">
      <c r="A867" s="6" t="s">
        <v>558</v>
      </c>
      <c r="C867" s="6" t="s">
        <v>33</v>
      </c>
      <c r="D867" s="7"/>
      <c r="E867" s="7"/>
      <c r="F867" s="7">
        <v>45656</v>
      </c>
      <c r="G867" s="9">
        <v>1685000</v>
      </c>
      <c r="H867" s="9">
        <v>1491150.44</v>
      </c>
      <c r="I867" s="9">
        <v>193849.56</v>
      </c>
      <c r="J867" s="7"/>
      <c r="K867" s="8" t="str">
        <f t="shared" si="40"/>
        <v/>
      </c>
      <c r="L867" s="8" t="str">
        <f t="shared" si="41"/>
        <v/>
      </c>
      <c r="M867" s="8" t="str">
        <f t="shared" si="39"/>
        <v/>
      </c>
      <c r="N867" s="6" t="s">
        <v>21</v>
      </c>
    </row>
    <row r="868" spans="1:14" x14ac:dyDescent="0.2">
      <c r="A868" s="6" t="s">
        <v>558</v>
      </c>
      <c r="C868" s="6" t="s">
        <v>33</v>
      </c>
      <c r="D868" s="7"/>
      <c r="E868" s="7"/>
      <c r="F868" s="7">
        <v>45657</v>
      </c>
      <c r="G868" s="9">
        <v>988000</v>
      </c>
      <c r="H868" s="9">
        <v>874336.28</v>
      </c>
      <c r="I868" s="9">
        <v>113663.72</v>
      </c>
      <c r="J868" s="7"/>
      <c r="K868" s="8" t="str">
        <f t="shared" si="40"/>
        <v/>
      </c>
      <c r="L868" s="8" t="str">
        <f t="shared" si="41"/>
        <v/>
      </c>
      <c r="M868" s="8" t="str">
        <f t="shared" si="39"/>
        <v/>
      </c>
      <c r="N868" s="6" t="s">
        <v>21</v>
      </c>
    </row>
    <row r="869" spans="1:14" x14ac:dyDescent="0.2">
      <c r="A869" s="6" t="s">
        <v>558</v>
      </c>
      <c r="C869" s="6" t="s">
        <v>33</v>
      </c>
      <c r="D869" s="7"/>
      <c r="E869" s="7"/>
      <c r="F869" s="7">
        <v>45657</v>
      </c>
      <c r="G869" s="9">
        <v>512000</v>
      </c>
      <c r="H869" s="9">
        <v>483018.87</v>
      </c>
      <c r="I869" s="9">
        <v>28981.13</v>
      </c>
      <c r="J869" s="7"/>
      <c r="K869" s="8" t="str">
        <f t="shared" si="40"/>
        <v/>
      </c>
      <c r="L869" s="8" t="str">
        <f t="shared" si="41"/>
        <v/>
      </c>
      <c r="M869" s="8" t="str">
        <f t="shared" si="39"/>
        <v/>
      </c>
      <c r="N869" s="6" t="s">
        <v>21</v>
      </c>
    </row>
    <row r="870" spans="1:14" x14ac:dyDescent="0.2">
      <c r="A870" s="6" t="s">
        <v>600</v>
      </c>
      <c r="C870" s="6" t="s">
        <v>20</v>
      </c>
      <c r="D870" s="7"/>
      <c r="E870" s="7"/>
      <c r="F870" s="7">
        <v>45657</v>
      </c>
      <c r="G870" s="9">
        <v>1120000</v>
      </c>
      <c r="H870" s="9">
        <v>991150.44</v>
      </c>
      <c r="I870" s="9">
        <v>128849.56</v>
      </c>
      <c r="J870" s="7"/>
      <c r="K870" s="8" t="str">
        <f t="shared" si="40"/>
        <v/>
      </c>
      <c r="L870" s="8" t="str">
        <f t="shared" si="41"/>
        <v/>
      </c>
      <c r="M870" s="8" t="str">
        <f t="shared" si="39"/>
        <v/>
      </c>
      <c r="N870" s="6" t="s">
        <v>21</v>
      </c>
    </row>
    <row r="871" spans="1:14" x14ac:dyDescent="0.2">
      <c r="A871" s="6" t="s">
        <v>600</v>
      </c>
      <c r="C871" s="6" t="s">
        <v>20</v>
      </c>
      <c r="D871" s="7"/>
      <c r="E871" s="7"/>
      <c r="F871" s="7">
        <v>45657</v>
      </c>
      <c r="G871" s="9">
        <v>1405000</v>
      </c>
      <c r="H871" s="9">
        <v>1243362.83</v>
      </c>
      <c r="I871" s="9">
        <v>161637.17000000001</v>
      </c>
      <c r="J871" s="7"/>
      <c r="K871" s="8" t="str">
        <f t="shared" si="40"/>
        <v/>
      </c>
      <c r="L871" s="8" t="str">
        <f t="shared" si="41"/>
        <v/>
      </c>
      <c r="M871" s="8" t="str">
        <f t="shared" si="39"/>
        <v/>
      </c>
      <c r="N871" s="6" t="s">
        <v>21</v>
      </c>
    </row>
    <row r="872" spans="1:14" x14ac:dyDescent="0.2">
      <c r="A872" s="6" t="s">
        <v>710</v>
      </c>
      <c r="C872" s="6" t="s">
        <v>20</v>
      </c>
      <c r="D872" s="7"/>
      <c r="E872" s="7"/>
      <c r="F872" s="7">
        <v>45657</v>
      </c>
      <c r="G872" s="9">
        <v>6000</v>
      </c>
      <c r="H872" s="9">
        <v>5504.59</v>
      </c>
      <c r="I872" s="9">
        <v>495.41</v>
      </c>
      <c r="J872" s="7"/>
      <c r="K872" s="8" t="str">
        <f t="shared" si="40"/>
        <v/>
      </c>
      <c r="L872" s="8" t="str">
        <f t="shared" si="41"/>
        <v/>
      </c>
      <c r="M872" s="8" t="str">
        <f t="shared" si="39"/>
        <v/>
      </c>
      <c r="N872" s="6" t="s">
        <v>21</v>
      </c>
    </row>
    <row r="873" spans="1:14" x14ac:dyDescent="0.2">
      <c r="A873" s="6" t="s">
        <v>697</v>
      </c>
      <c r="C873" s="6" t="s">
        <v>20</v>
      </c>
      <c r="D873" s="7"/>
      <c r="E873" s="7"/>
      <c r="F873" s="7">
        <v>45657</v>
      </c>
      <c r="G873" s="9">
        <v>220000</v>
      </c>
      <c r="H873" s="9">
        <v>194690.27</v>
      </c>
      <c r="I873" s="9">
        <v>25309.73</v>
      </c>
      <c r="J873" s="7"/>
      <c r="K873" s="8" t="str">
        <f t="shared" si="40"/>
        <v/>
      </c>
      <c r="L873" s="8" t="str">
        <f t="shared" si="41"/>
        <v/>
      </c>
      <c r="M873" s="8" t="str">
        <f t="shared" si="39"/>
        <v/>
      </c>
      <c r="N873" s="6" t="s">
        <v>21</v>
      </c>
    </row>
    <row r="874" spans="1:14" x14ac:dyDescent="0.2">
      <c r="A874" s="6" t="s">
        <v>711</v>
      </c>
      <c r="B874" s="6" t="s">
        <v>712</v>
      </c>
      <c r="C874" s="6" t="s">
        <v>20</v>
      </c>
      <c r="D874" s="7"/>
      <c r="E874" s="7"/>
      <c r="F874" s="7">
        <v>45659</v>
      </c>
      <c r="G874" s="9">
        <v>235000</v>
      </c>
      <c r="H874" s="9">
        <v>207964.6</v>
      </c>
      <c r="I874" s="9">
        <v>27035.4</v>
      </c>
      <c r="J874" s="7"/>
      <c r="K874" s="8" t="str">
        <f t="shared" si="40"/>
        <v/>
      </c>
      <c r="L874" s="8" t="str">
        <f t="shared" si="41"/>
        <v/>
      </c>
      <c r="M874" s="8" t="str">
        <f t="shared" si="39"/>
        <v/>
      </c>
      <c r="N874" s="6" t="s">
        <v>21</v>
      </c>
    </row>
    <row r="875" spans="1:14" x14ac:dyDescent="0.2">
      <c r="A875" s="6" t="s">
        <v>27</v>
      </c>
      <c r="B875" s="6" t="s">
        <v>398</v>
      </c>
      <c r="C875" s="6" t="s">
        <v>20</v>
      </c>
      <c r="D875" s="7"/>
      <c r="E875" s="7"/>
      <c r="F875" s="7">
        <v>45663</v>
      </c>
      <c r="G875" s="9">
        <v>64084</v>
      </c>
      <c r="H875" s="9">
        <v>56711.5</v>
      </c>
      <c r="I875" s="9">
        <v>7372.5</v>
      </c>
      <c r="J875" s="7">
        <v>45743</v>
      </c>
      <c r="K875" s="8" t="str">
        <f t="shared" si="40"/>
        <v/>
      </c>
      <c r="L875" s="8" t="str">
        <f t="shared" si="41"/>
        <v/>
      </c>
      <c r="M875" s="8">
        <f t="shared" si="39"/>
        <v>80</v>
      </c>
      <c r="N875" s="6" t="s">
        <v>26</v>
      </c>
    </row>
    <row r="876" spans="1:14" x14ac:dyDescent="0.2">
      <c r="A876" s="6" t="s">
        <v>343</v>
      </c>
      <c r="B876" s="6" t="s">
        <v>713</v>
      </c>
      <c r="C876" s="6" t="s">
        <v>20</v>
      </c>
      <c r="D876" s="7"/>
      <c r="E876" s="7"/>
      <c r="F876" s="7">
        <v>45663</v>
      </c>
      <c r="G876" s="9">
        <v>20000</v>
      </c>
      <c r="H876" s="9">
        <v>18348.62</v>
      </c>
      <c r="I876" s="9">
        <v>1651.38</v>
      </c>
      <c r="J876" s="7">
        <v>45706</v>
      </c>
      <c r="K876" s="8" t="str">
        <f t="shared" si="40"/>
        <v/>
      </c>
      <c r="L876" s="8" t="str">
        <f t="shared" si="41"/>
        <v/>
      </c>
      <c r="M876" s="8">
        <f t="shared" si="39"/>
        <v>43</v>
      </c>
      <c r="N876" s="6" t="s">
        <v>26</v>
      </c>
    </row>
    <row r="877" spans="1:14" x14ac:dyDescent="0.2">
      <c r="A877" s="6" t="s">
        <v>47</v>
      </c>
      <c r="B877" s="6" t="s">
        <v>714</v>
      </c>
      <c r="C877" s="6" t="s">
        <v>20</v>
      </c>
      <c r="D877" s="7"/>
      <c r="E877" s="7"/>
      <c r="F877" s="7">
        <v>45665</v>
      </c>
      <c r="G877" s="9">
        <v>320000</v>
      </c>
      <c r="H877" s="9">
        <v>283185.84000000003</v>
      </c>
      <c r="I877" s="9">
        <v>36814.160000000003</v>
      </c>
      <c r="J877" s="7">
        <v>45670</v>
      </c>
      <c r="K877" s="8" t="str">
        <f t="shared" si="40"/>
        <v/>
      </c>
      <c r="L877" s="8" t="str">
        <f t="shared" si="41"/>
        <v/>
      </c>
      <c r="M877" s="8">
        <f t="shared" si="39"/>
        <v>5</v>
      </c>
      <c r="N877" s="6" t="s">
        <v>26</v>
      </c>
    </row>
    <row r="878" spans="1:14" x14ac:dyDescent="0.2">
      <c r="A878" s="6" t="s">
        <v>47</v>
      </c>
      <c r="B878" s="6" t="s">
        <v>715</v>
      </c>
      <c r="C878" s="6" t="s">
        <v>20</v>
      </c>
      <c r="D878" s="7"/>
      <c r="E878" s="7"/>
      <c r="F878" s="7">
        <v>45665</v>
      </c>
      <c r="G878" s="9">
        <v>48000</v>
      </c>
      <c r="H878" s="9">
        <v>42477.88</v>
      </c>
      <c r="I878" s="9">
        <v>5522.12</v>
      </c>
      <c r="J878" s="7">
        <v>45670</v>
      </c>
      <c r="K878" s="8" t="str">
        <f t="shared" si="40"/>
        <v/>
      </c>
      <c r="L878" s="8" t="str">
        <f t="shared" si="41"/>
        <v/>
      </c>
      <c r="M878" s="8">
        <f t="shared" si="39"/>
        <v>5</v>
      </c>
      <c r="N878" s="6" t="s">
        <v>26</v>
      </c>
    </row>
    <row r="879" spans="1:14" x14ac:dyDescent="0.2">
      <c r="A879" s="6" t="s">
        <v>47</v>
      </c>
      <c r="B879" s="6" t="s">
        <v>716</v>
      </c>
      <c r="C879" s="6" t="s">
        <v>20</v>
      </c>
      <c r="D879" s="7"/>
      <c r="E879" s="7"/>
      <c r="F879" s="7">
        <v>45665</v>
      </c>
      <c r="G879" s="9">
        <v>160000</v>
      </c>
      <c r="H879" s="9">
        <v>141592.92000000001</v>
      </c>
      <c r="I879" s="9">
        <v>18407.080000000002</v>
      </c>
      <c r="J879" s="7">
        <v>45670</v>
      </c>
      <c r="K879" s="8" t="str">
        <f t="shared" si="40"/>
        <v/>
      </c>
      <c r="L879" s="8" t="str">
        <f t="shared" si="41"/>
        <v/>
      </c>
      <c r="M879" s="8">
        <f t="shared" si="39"/>
        <v>5</v>
      </c>
      <c r="N879" s="6" t="s">
        <v>26</v>
      </c>
    </row>
    <row r="880" spans="1:14" x14ac:dyDescent="0.2">
      <c r="A880" s="6" t="s">
        <v>717</v>
      </c>
      <c r="C880" s="6" t="s">
        <v>20</v>
      </c>
      <c r="D880" s="7"/>
      <c r="E880" s="7"/>
      <c r="F880" s="7">
        <v>45667</v>
      </c>
      <c r="G880" s="9">
        <v>12000</v>
      </c>
      <c r="H880" s="9">
        <v>12000</v>
      </c>
      <c r="I880" s="9"/>
      <c r="J880" s="7"/>
      <c r="K880" s="8" t="str">
        <f t="shared" si="40"/>
        <v/>
      </c>
      <c r="L880" s="8" t="str">
        <f t="shared" si="41"/>
        <v/>
      </c>
      <c r="M880" s="8" t="str">
        <f t="shared" si="39"/>
        <v/>
      </c>
      <c r="N880" s="6" t="s">
        <v>21</v>
      </c>
    </row>
    <row r="881" spans="1:14" x14ac:dyDescent="0.2">
      <c r="A881" s="6" t="s">
        <v>303</v>
      </c>
      <c r="B881" s="6" t="s">
        <v>718</v>
      </c>
      <c r="C881" s="6" t="s">
        <v>20</v>
      </c>
      <c r="D881" s="7"/>
      <c r="E881" s="7"/>
      <c r="F881" s="7">
        <v>45669</v>
      </c>
      <c r="G881" s="9">
        <v>229793</v>
      </c>
      <c r="H881" s="9">
        <v>203356.64</v>
      </c>
      <c r="I881" s="9">
        <v>26436.36</v>
      </c>
      <c r="J881" s="7">
        <v>45693</v>
      </c>
      <c r="K881" s="8" t="str">
        <f t="shared" si="40"/>
        <v/>
      </c>
      <c r="L881" s="8" t="str">
        <f t="shared" si="41"/>
        <v/>
      </c>
      <c r="M881" s="8">
        <f t="shared" si="39"/>
        <v>24</v>
      </c>
      <c r="N881" s="6" t="s">
        <v>26</v>
      </c>
    </row>
    <row r="882" spans="1:14" x14ac:dyDescent="0.2">
      <c r="A882" s="6" t="s">
        <v>719</v>
      </c>
      <c r="B882" s="6" t="s">
        <v>720</v>
      </c>
      <c r="C882" s="6" t="s">
        <v>20</v>
      </c>
      <c r="D882" s="7"/>
      <c r="E882" s="7"/>
      <c r="F882" s="7">
        <v>45671</v>
      </c>
      <c r="G882" s="9">
        <v>29606</v>
      </c>
      <c r="H882" s="9">
        <v>26200</v>
      </c>
      <c r="I882" s="9">
        <v>3406</v>
      </c>
      <c r="J882" s="7">
        <v>45684</v>
      </c>
      <c r="K882" s="8" t="str">
        <f t="shared" si="40"/>
        <v/>
      </c>
      <c r="L882" s="8" t="str">
        <f t="shared" si="41"/>
        <v/>
      </c>
      <c r="M882" s="8">
        <f t="shared" si="39"/>
        <v>13</v>
      </c>
      <c r="N882" s="6" t="s">
        <v>26</v>
      </c>
    </row>
    <row r="883" spans="1:14" x14ac:dyDescent="0.2">
      <c r="A883" s="6" t="s">
        <v>425</v>
      </c>
      <c r="B883" s="6" t="s">
        <v>705</v>
      </c>
      <c r="C883" s="6" t="s">
        <v>652</v>
      </c>
      <c r="D883" s="7"/>
      <c r="E883" s="7"/>
      <c r="F883" s="7">
        <v>45678</v>
      </c>
      <c r="G883" s="9">
        <v>210000</v>
      </c>
      <c r="H883" s="9">
        <v>192660.55</v>
      </c>
      <c r="I883" s="9">
        <v>17339.45</v>
      </c>
      <c r="J883" s="7">
        <v>45682</v>
      </c>
      <c r="K883" s="8" t="str">
        <f t="shared" si="40"/>
        <v/>
      </c>
      <c r="L883" s="8" t="str">
        <f t="shared" si="41"/>
        <v/>
      </c>
      <c r="M883" s="8">
        <f t="shared" si="39"/>
        <v>4</v>
      </c>
      <c r="N883" s="6" t="s">
        <v>26</v>
      </c>
    </row>
    <row r="884" spans="1:14" x14ac:dyDescent="0.2">
      <c r="A884" s="6" t="s">
        <v>647</v>
      </c>
      <c r="B884" s="6" t="s">
        <v>648</v>
      </c>
      <c r="C884" s="6" t="s">
        <v>20</v>
      </c>
      <c r="D884" s="7"/>
      <c r="E884" s="7"/>
      <c r="F884" s="7">
        <v>45680</v>
      </c>
      <c r="G884" s="9">
        <v>36000</v>
      </c>
      <c r="H884" s="9">
        <v>31858.41</v>
      </c>
      <c r="I884" s="9">
        <v>4141.59</v>
      </c>
      <c r="J884" s="7">
        <v>45776</v>
      </c>
      <c r="K884" s="8" t="str">
        <f t="shared" si="40"/>
        <v/>
      </c>
      <c r="L884" s="8" t="str">
        <f t="shared" si="41"/>
        <v/>
      </c>
      <c r="M884" s="8">
        <f t="shared" si="39"/>
        <v>96</v>
      </c>
      <c r="N884" s="6" t="s">
        <v>26</v>
      </c>
    </row>
    <row r="885" spans="1:14" x14ac:dyDescent="0.2">
      <c r="A885" s="6" t="s">
        <v>109</v>
      </c>
      <c r="B885" s="6" t="s">
        <v>658</v>
      </c>
      <c r="C885" s="6" t="s">
        <v>20</v>
      </c>
      <c r="D885" s="7"/>
      <c r="E885" s="7"/>
      <c r="F885" s="7">
        <v>45680</v>
      </c>
      <c r="G885" s="9">
        <v>327700</v>
      </c>
      <c r="H885" s="9">
        <v>290000</v>
      </c>
      <c r="I885" s="9">
        <v>37700</v>
      </c>
      <c r="J885" s="7">
        <v>45749</v>
      </c>
      <c r="K885" s="8" t="str">
        <f t="shared" si="40"/>
        <v/>
      </c>
      <c r="L885" s="8" t="str">
        <f t="shared" si="41"/>
        <v/>
      </c>
      <c r="M885" s="8">
        <f t="shared" si="39"/>
        <v>69</v>
      </c>
      <c r="N885" s="6" t="s">
        <v>26</v>
      </c>
    </row>
    <row r="886" spans="1:14" x14ac:dyDescent="0.2">
      <c r="A886" s="6" t="s">
        <v>47</v>
      </c>
      <c r="B886" s="6" t="s">
        <v>715</v>
      </c>
      <c r="C886" s="6" t="s">
        <v>20</v>
      </c>
      <c r="D886" s="7"/>
      <c r="E886" s="7"/>
      <c r="F886" s="7">
        <v>45705</v>
      </c>
      <c r="G886" s="9">
        <v>50000</v>
      </c>
      <c r="H886" s="9">
        <v>44247.79</v>
      </c>
      <c r="I886" s="9">
        <v>5752.21</v>
      </c>
      <c r="J886" s="7">
        <v>45715</v>
      </c>
      <c r="K886" s="8" t="str">
        <f t="shared" si="40"/>
        <v/>
      </c>
      <c r="L886" s="8" t="str">
        <f t="shared" si="41"/>
        <v/>
      </c>
      <c r="M886" s="8">
        <f t="shared" si="39"/>
        <v>10</v>
      </c>
      <c r="N886" s="6" t="s">
        <v>26</v>
      </c>
    </row>
    <row r="887" spans="1:14" x14ac:dyDescent="0.2">
      <c r="A887" s="6" t="s">
        <v>47</v>
      </c>
      <c r="B887" s="6" t="s">
        <v>714</v>
      </c>
      <c r="C887" s="6" t="s">
        <v>20</v>
      </c>
      <c r="D887" s="7"/>
      <c r="E887" s="7"/>
      <c r="F887" s="7">
        <v>45705</v>
      </c>
      <c r="G887" s="9">
        <v>300000</v>
      </c>
      <c r="H887" s="9">
        <v>265486.73</v>
      </c>
      <c r="I887" s="9">
        <v>34513.269999999997</v>
      </c>
      <c r="J887" s="7">
        <v>45715</v>
      </c>
      <c r="K887" s="8" t="str">
        <f t="shared" si="40"/>
        <v/>
      </c>
      <c r="L887" s="8" t="str">
        <f t="shared" si="41"/>
        <v/>
      </c>
      <c r="M887" s="8">
        <f t="shared" si="39"/>
        <v>10</v>
      </c>
      <c r="N887" s="6" t="s">
        <v>26</v>
      </c>
    </row>
    <row r="888" spans="1:14" x14ac:dyDescent="0.2">
      <c r="A888" s="6" t="s">
        <v>47</v>
      </c>
      <c r="B888" s="6" t="s">
        <v>716</v>
      </c>
      <c r="C888" s="6" t="s">
        <v>20</v>
      </c>
      <c r="D888" s="7"/>
      <c r="E888" s="7"/>
      <c r="F888" s="7">
        <v>45705</v>
      </c>
      <c r="G888" s="9">
        <v>200000</v>
      </c>
      <c r="H888" s="9">
        <v>176991.15</v>
      </c>
      <c r="I888" s="9">
        <v>23008.85</v>
      </c>
      <c r="J888" s="7">
        <v>45715</v>
      </c>
      <c r="K888" s="8" t="str">
        <f t="shared" si="40"/>
        <v/>
      </c>
      <c r="L888" s="8" t="str">
        <f t="shared" si="41"/>
        <v/>
      </c>
      <c r="M888" s="8">
        <f t="shared" si="39"/>
        <v>10</v>
      </c>
      <c r="N888" s="6" t="s">
        <v>26</v>
      </c>
    </row>
    <row r="889" spans="1:14" x14ac:dyDescent="0.2">
      <c r="A889" s="6" t="s">
        <v>721</v>
      </c>
      <c r="B889" s="6" t="s">
        <v>722</v>
      </c>
      <c r="C889" s="6" t="s">
        <v>20</v>
      </c>
      <c r="D889" s="7"/>
      <c r="E889" s="7"/>
      <c r="F889" s="7">
        <v>45707</v>
      </c>
      <c r="G889" s="9">
        <v>8000</v>
      </c>
      <c r="H889" s="9">
        <v>7339.45</v>
      </c>
      <c r="I889" s="9">
        <v>660.55</v>
      </c>
      <c r="J889" s="7"/>
      <c r="K889" s="8" t="str">
        <f t="shared" si="40"/>
        <v/>
      </c>
      <c r="L889" s="8" t="str">
        <f t="shared" si="41"/>
        <v/>
      </c>
      <c r="M889" s="8" t="str">
        <f t="shared" si="39"/>
        <v/>
      </c>
      <c r="N889" s="6" t="s">
        <v>21</v>
      </c>
    </row>
    <row r="890" spans="1:14" x14ac:dyDescent="0.2">
      <c r="A890" s="6" t="s">
        <v>723</v>
      </c>
      <c r="B890" s="6" t="s">
        <v>724</v>
      </c>
      <c r="C890" s="6" t="s">
        <v>20</v>
      </c>
      <c r="D890" s="7"/>
      <c r="E890" s="7"/>
      <c r="F890" s="7">
        <v>45709</v>
      </c>
      <c r="G890" s="9">
        <v>70000</v>
      </c>
      <c r="H890" s="9">
        <v>64220.18</v>
      </c>
      <c r="I890" s="9">
        <v>5779.82</v>
      </c>
      <c r="J890" s="7">
        <v>45740</v>
      </c>
      <c r="K890" s="8" t="str">
        <f t="shared" si="40"/>
        <v/>
      </c>
      <c r="L890" s="8" t="str">
        <f t="shared" si="41"/>
        <v/>
      </c>
      <c r="M890" s="8">
        <f t="shared" si="39"/>
        <v>31</v>
      </c>
      <c r="N890" s="6" t="s">
        <v>26</v>
      </c>
    </row>
    <row r="891" spans="1:14" x14ac:dyDescent="0.2">
      <c r="A891" s="6" t="s">
        <v>723</v>
      </c>
      <c r="B891" s="6" t="s">
        <v>725</v>
      </c>
      <c r="C891" s="6" t="s">
        <v>20</v>
      </c>
      <c r="D891" s="7"/>
      <c r="E891" s="7"/>
      <c r="F891" s="7">
        <v>45709</v>
      </c>
      <c r="G891" s="9">
        <v>8000</v>
      </c>
      <c r="H891" s="9">
        <v>7339.45</v>
      </c>
      <c r="I891" s="9">
        <v>660.55</v>
      </c>
      <c r="J891" s="7">
        <v>45740</v>
      </c>
      <c r="K891" s="8" t="str">
        <f t="shared" si="40"/>
        <v/>
      </c>
      <c r="L891" s="8" t="str">
        <f t="shared" si="41"/>
        <v/>
      </c>
      <c r="M891" s="8">
        <f t="shared" si="39"/>
        <v>31</v>
      </c>
      <c r="N891" s="6" t="s">
        <v>26</v>
      </c>
    </row>
    <row r="892" spans="1:14" x14ac:dyDescent="0.2">
      <c r="A892" s="6" t="s">
        <v>726</v>
      </c>
      <c r="C892" s="6" t="s">
        <v>20</v>
      </c>
      <c r="D892" s="7"/>
      <c r="E892" s="7"/>
      <c r="F892" s="7">
        <v>45712</v>
      </c>
      <c r="G892" s="9">
        <v>40000</v>
      </c>
      <c r="H892" s="9">
        <v>35398.230000000003</v>
      </c>
      <c r="I892" s="9">
        <v>4601.7700000000004</v>
      </c>
      <c r="J892" s="7"/>
      <c r="K892" s="8" t="str">
        <f t="shared" si="40"/>
        <v/>
      </c>
      <c r="L892" s="8" t="str">
        <f t="shared" si="41"/>
        <v/>
      </c>
      <c r="M892" s="8" t="str">
        <f t="shared" si="39"/>
        <v/>
      </c>
      <c r="N892" s="6" t="s">
        <v>21</v>
      </c>
    </row>
    <row r="893" spans="1:14" x14ac:dyDescent="0.2">
      <c r="A893" s="6" t="s">
        <v>726</v>
      </c>
      <c r="C893" s="6" t="s">
        <v>20</v>
      </c>
      <c r="D893" s="7"/>
      <c r="E893" s="7"/>
      <c r="F893" s="7">
        <v>45712</v>
      </c>
      <c r="G893" s="9">
        <v>40000</v>
      </c>
      <c r="H893" s="9">
        <v>35398.230000000003</v>
      </c>
      <c r="I893" s="9">
        <v>4601.7700000000004</v>
      </c>
      <c r="J893" s="7"/>
      <c r="K893" s="8" t="str">
        <f t="shared" si="40"/>
        <v/>
      </c>
      <c r="L893" s="8" t="str">
        <f t="shared" si="41"/>
        <v/>
      </c>
      <c r="M893" s="8" t="str">
        <f t="shared" si="39"/>
        <v/>
      </c>
      <c r="N893" s="6" t="s">
        <v>21</v>
      </c>
    </row>
    <row r="894" spans="1:14" x14ac:dyDescent="0.2">
      <c r="A894" s="6" t="s">
        <v>727</v>
      </c>
      <c r="B894" s="6" t="s">
        <v>728</v>
      </c>
      <c r="C894" s="6" t="s">
        <v>20</v>
      </c>
      <c r="D894" s="7"/>
      <c r="E894" s="7"/>
      <c r="F894" s="7">
        <v>45713</v>
      </c>
      <c r="G894" s="9">
        <v>281267</v>
      </c>
      <c r="H894" s="9">
        <v>258043.12</v>
      </c>
      <c r="I894" s="9">
        <v>23223.88</v>
      </c>
      <c r="J894" s="7">
        <v>45833</v>
      </c>
      <c r="K894" s="8" t="str">
        <f t="shared" si="40"/>
        <v/>
      </c>
      <c r="L894" s="8" t="str">
        <f t="shared" si="41"/>
        <v/>
      </c>
      <c r="M894" s="8">
        <f t="shared" si="39"/>
        <v>120</v>
      </c>
      <c r="N894" s="6" t="s">
        <v>26</v>
      </c>
    </row>
    <row r="895" spans="1:14" x14ac:dyDescent="0.2">
      <c r="A895" s="6" t="s">
        <v>47</v>
      </c>
      <c r="B895" s="6" t="s">
        <v>520</v>
      </c>
      <c r="C895" s="6" t="s">
        <v>20</v>
      </c>
      <c r="D895" s="7"/>
      <c r="E895" s="7"/>
      <c r="F895" s="7">
        <v>45715</v>
      </c>
      <c r="G895" s="9">
        <v>318782.74</v>
      </c>
      <c r="H895" s="9">
        <v>282108.62</v>
      </c>
      <c r="I895" s="9">
        <v>36674.120000000003</v>
      </c>
      <c r="J895" s="7">
        <v>45715</v>
      </c>
      <c r="K895" s="8" t="str">
        <f t="shared" si="40"/>
        <v/>
      </c>
      <c r="L895" s="8" t="str">
        <f t="shared" si="41"/>
        <v/>
      </c>
      <c r="M895" s="8">
        <f t="shared" si="39"/>
        <v>0</v>
      </c>
      <c r="N895" s="6" t="s">
        <v>26</v>
      </c>
    </row>
    <row r="896" spans="1:14" x14ac:dyDescent="0.2">
      <c r="A896" s="6" t="s">
        <v>697</v>
      </c>
      <c r="C896" s="6" t="s">
        <v>20</v>
      </c>
      <c r="D896" s="7"/>
      <c r="E896" s="7"/>
      <c r="F896" s="7">
        <v>45716</v>
      </c>
      <c r="G896" s="9">
        <v>130623.85</v>
      </c>
      <c r="H896" s="9">
        <v>115596.33</v>
      </c>
      <c r="I896" s="9">
        <v>15027.52</v>
      </c>
      <c r="J896" s="7"/>
      <c r="K896" s="8" t="str">
        <f t="shared" si="40"/>
        <v/>
      </c>
      <c r="L896" s="8" t="str">
        <f t="shared" si="41"/>
        <v/>
      </c>
      <c r="M896" s="8" t="str">
        <f t="shared" si="39"/>
        <v/>
      </c>
      <c r="N896" s="6" t="s">
        <v>21</v>
      </c>
    </row>
    <row r="897" spans="1:14" x14ac:dyDescent="0.2">
      <c r="A897" s="6" t="s">
        <v>558</v>
      </c>
      <c r="C897" s="6" t="s">
        <v>33</v>
      </c>
      <c r="D897" s="7"/>
      <c r="E897" s="7"/>
      <c r="F897" s="7">
        <v>45716</v>
      </c>
      <c r="G897" s="9">
        <v>543964.96</v>
      </c>
      <c r="H897" s="9">
        <v>513174.49</v>
      </c>
      <c r="I897" s="9">
        <v>30790.47</v>
      </c>
      <c r="J897" s="7"/>
      <c r="K897" s="8" t="str">
        <f t="shared" si="40"/>
        <v/>
      </c>
      <c r="L897" s="8" t="str">
        <f t="shared" si="41"/>
        <v/>
      </c>
      <c r="M897" s="8" t="str">
        <f t="shared" si="39"/>
        <v/>
      </c>
      <c r="N897" s="6" t="s">
        <v>21</v>
      </c>
    </row>
    <row r="898" spans="1:14" x14ac:dyDescent="0.2">
      <c r="A898" s="6" t="s">
        <v>558</v>
      </c>
      <c r="C898" s="6" t="s">
        <v>33</v>
      </c>
      <c r="D898" s="7"/>
      <c r="E898" s="7"/>
      <c r="F898" s="7">
        <v>45716</v>
      </c>
      <c r="G898" s="9">
        <v>1178753.76</v>
      </c>
      <c r="H898" s="9">
        <v>1043144.92</v>
      </c>
      <c r="I898" s="9">
        <v>135608.84</v>
      </c>
      <c r="J898" s="7"/>
      <c r="K898" s="8" t="str">
        <f t="shared" si="40"/>
        <v/>
      </c>
      <c r="L898" s="8" t="str">
        <f t="shared" si="41"/>
        <v/>
      </c>
      <c r="M898" s="8" t="str">
        <f t="shared" ref="M898:M961" si="42">IF(OR($F898="", $J898=""),"", $J898-$F898)</f>
        <v/>
      </c>
      <c r="N898" s="6" t="s">
        <v>21</v>
      </c>
    </row>
    <row r="899" spans="1:14" x14ac:dyDescent="0.2">
      <c r="A899" s="6" t="s">
        <v>308</v>
      </c>
      <c r="B899" s="6" t="s">
        <v>729</v>
      </c>
      <c r="C899" s="6" t="s">
        <v>20</v>
      </c>
      <c r="D899" s="7"/>
      <c r="E899" s="7"/>
      <c r="F899" s="7">
        <v>45716</v>
      </c>
      <c r="G899" s="9">
        <v>98000</v>
      </c>
      <c r="H899" s="9">
        <v>86725.66</v>
      </c>
      <c r="I899" s="9">
        <v>11274.34</v>
      </c>
      <c r="J899" s="7">
        <v>45755</v>
      </c>
      <c r="K899" s="8" t="str">
        <f t="shared" ref="K899:K962" si="43">IF(OR($D899="", $F899=""),"", $E899-$D899)</f>
        <v/>
      </c>
      <c r="L899" s="8" t="str">
        <f t="shared" ref="L899:L962" si="44">IF(OR($D899="", $F899=""),"", $F899-$E899)</f>
        <v/>
      </c>
      <c r="M899" s="8">
        <f t="shared" si="42"/>
        <v>39</v>
      </c>
      <c r="N899" s="6" t="s">
        <v>26</v>
      </c>
    </row>
    <row r="900" spans="1:14" x14ac:dyDescent="0.2">
      <c r="A900" s="6" t="s">
        <v>308</v>
      </c>
      <c r="B900" s="6" t="s">
        <v>729</v>
      </c>
      <c r="C900" s="6" t="s">
        <v>20</v>
      </c>
      <c r="D900" s="7"/>
      <c r="E900" s="7"/>
      <c r="F900" s="7">
        <v>45716</v>
      </c>
      <c r="G900" s="9">
        <v>-98000</v>
      </c>
      <c r="H900" s="9">
        <v>-86725.66</v>
      </c>
      <c r="I900" s="9">
        <v>-11274.34</v>
      </c>
      <c r="J900" s="7">
        <v>45755</v>
      </c>
      <c r="K900" s="8" t="str">
        <f t="shared" si="43"/>
        <v/>
      </c>
      <c r="L900" s="8" t="str">
        <f t="shared" si="44"/>
        <v/>
      </c>
      <c r="M900" s="8">
        <f t="shared" si="42"/>
        <v>39</v>
      </c>
      <c r="N900" s="6" t="s">
        <v>26</v>
      </c>
    </row>
    <row r="901" spans="1:14" x14ac:dyDescent="0.2">
      <c r="A901" s="6" t="s">
        <v>308</v>
      </c>
      <c r="B901" s="6" t="s">
        <v>729</v>
      </c>
      <c r="C901" s="6" t="s">
        <v>20</v>
      </c>
      <c r="D901" s="7"/>
      <c r="E901" s="7"/>
      <c r="F901" s="7">
        <v>45716</v>
      </c>
      <c r="G901" s="9">
        <v>98000</v>
      </c>
      <c r="H901" s="9">
        <v>86725.66</v>
      </c>
      <c r="I901" s="9">
        <v>11274.34</v>
      </c>
      <c r="J901" s="7">
        <v>45755</v>
      </c>
      <c r="K901" s="8" t="str">
        <f t="shared" si="43"/>
        <v/>
      </c>
      <c r="L901" s="8" t="str">
        <f t="shared" si="44"/>
        <v/>
      </c>
      <c r="M901" s="8">
        <f t="shared" si="42"/>
        <v>39</v>
      </c>
      <c r="N901" s="6" t="s">
        <v>26</v>
      </c>
    </row>
    <row r="902" spans="1:14" x14ac:dyDescent="0.2">
      <c r="A902" s="6" t="s">
        <v>69</v>
      </c>
      <c r="B902" s="6" t="s">
        <v>70</v>
      </c>
      <c r="C902" s="6" t="s">
        <v>20</v>
      </c>
      <c r="D902" s="7"/>
      <c r="E902" s="7"/>
      <c r="F902" s="7">
        <v>45721</v>
      </c>
      <c r="G902" s="9">
        <v>-20700</v>
      </c>
      <c r="H902" s="9">
        <v>-2381.42</v>
      </c>
      <c r="I902" s="9">
        <v>-18318.580000000002</v>
      </c>
      <c r="J902" s="7"/>
      <c r="K902" s="8" t="str">
        <f t="shared" si="43"/>
        <v/>
      </c>
      <c r="L902" s="8" t="str">
        <f t="shared" si="44"/>
        <v/>
      </c>
      <c r="M902" s="8" t="str">
        <f t="shared" si="42"/>
        <v/>
      </c>
      <c r="N902" s="6" t="s">
        <v>21</v>
      </c>
    </row>
    <row r="903" spans="1:14" x14ac:dyDescent="0.2">
      <c r="A903" s="6" t="s">
        <v>308</v>
      </c>
      <c r="B903" s="6" t="s">
        <v>730</v>
      </c>
      <c r="C903" s="6" t="s">
        <v>20</v>
      </c>
      <c r="D903" s="7"/>
      <c r="E903" s="7"/>
      <c r="F903" s="7">
        <v>45722</v>
      </c>
      <c r="G903" s="9">
        <v>32400</v>
      </c>
      <c r="H903" s="9">
        <v>3727.43</v>
      </c>
      <c r="I903" s="9">
        <v>28672.57</v>
      </c>
      <c r="J903" s="7">
        <v>45755</v>
      </c>
      <c r="K903" s="8" t="str">
        <f t="shared" si="43"/>
        <v/>
      </c>
      <c r="L903" s="8" t="str">
        <f t="shared" si="44"/>
        <v/>
      </c>
      <c r="M903" s="8">
        <f t="shared" si="42"/>
        <v>33</v>
      </c>
      <c r="N903" s="6" t="s">
        <v>26</v>
      </c>
    </row>
    <row r="904" spans="1:14" x14ac:dyDescent="0.2">
      <c r="A904" s="6" t="s">
        <v>723</v>
      </c>
      <c r="B904" s="6" t="s">
        <v>724</v>
      </c>
      <c r="C904" s="6" t="s">
        <v>20</v>
      </c>
      <c r="D904" s="7"/>
      <c r="E904" s="7"/>
      <c r="F904" s="7">
        <v>45728</v>
      </c>
      <c r="G904" s="9">
        <v>-70000</v>
      </c>
      <c r="H904" s="9">
        <v>-64220.18</v>
      </c>
      <c r="I904" s="9">
        <v>-5779.82</v>
      </c>
      <c r="J904" s="7">
        <v>45740</v>
      </c>
      <c r="K904" s="8" t="str">
        <f t="shared" si="43"/>
        <v/>
      </c>
      <c r="L904" s="8" t="str">
        <f t="shared" si="44"/>
        <v/>
      </c>
      <c r="M904" s="8">
        <f t="shared" si="42"/>
        <v>12</v>
      </c>
      <c r="N904" s="6" t="s">
        <v>26</v>
      </c>
    </row>
    <row r="905" spans="1:14" x14ac:dyDescent="0.2">
      <c r="A905" s="6" t="s">
        <v>723</v>
      </c>
      <c r="B905" s="6" t="s">
        <v>725</v>
      </c>
      <c r="C905" s="6" t="s">
        <v>20</v>
      </c>
      <c r="D905" s="7"/>
      <c r="E905" s="7"/>
      <c r="F905" s="7">
        <v>45728</v>
      </c>
      <c r="G905" s="9">
        <v>-8000</v>
      </c>
      <c r="H905" s="9">
        <v>-7339.45</v>
      </c>
      <c r="I905" s="9">
        <v>-660.55</v>
      </c>
      <c r="J905" s="7">
        <v>45740</v>
      </c>
      <c r="K905" s="8" t="str">
        <f t="shared" si="43"/>
        <v/>
      </c>
      <c r="L905" s="8" t="str">
        <f t="shared" si="44"/>
        <v/>
      </c>
      <c r="M905" s="8">
        <f t="shared" si="42"/>
        <v>12</v>
      </c>
      <c r="N905" s="6" t="s">
        <v>26</v>
      </c>
    </row>
    <row r="906" spans="1:14" x14ac:dyDescent="0.2">
      <c r="A906" s="6" t="s">
        <v>723</v>
      </c>
      <c r="B906" s="6" t="s">
        <v>724</v>
      </c>
      <c r="C906" s="6" t="s">
        <v>20</v>
      </c>
      <c r="D906" s="7"/>
      <c r="E906" s="7"/>
      <c r="F906" s="7">
        <v>45728</v>
      </c>
      <c r="G906" s="9">
        <v>70000</v>
      </c>
      <c r="H906" s="9">
        <v>64220.18</v>
      </c>
      <c r="I906" s="9">
        <v>5779.82</v>
      </c>
      <c r="J906" s="7">
        <v>45740</v>
      </c>
      <c r="K906" s="8" t="str">
        <f t="shared" si="43"/>
        <v/>
      </c>
      <c r="L906" s="8" t="str">
        <f t="shared" si="44"/>
        <v/>
      </c>
      <c r="M906" s="8">
        <f t="shared" si="42"/>
        <v>12</v>
      </c>
      <c r="N906" s="6" t="s">
        <v>26</v>
      </c>
    </row>
    <row r="907" spans="1:14" x14ac:dyDescent="0.2">
      <c r="A907" s="6" t="s">
        <v>723</v>
      </c>
      <c r="B907" s="6" t="s">
        <v>725</v>
      </c>
      <c r="C907" s="6" t="s">
        <v>20</v>
      </c>
      <c r="D907" s="7"/>
      <c r="E907" s="7"/>
      <c r="F907" s="7">
        <v>45728</v>
      </c>
      <c r="G907" s="9">
        <v>8000</v>
      </c>
      <c r="H907" s="9">
        <v>7339.45</v>
      </c>
      <c r="I907" s="9">
        <v>660.55</v>
      </c>
      <c r="J907" s="7">
        <v>45740</v>
      </c>
      <c r="K907" s="8" t="str">
        <f t="shared" si="43"/>
        <v/>
      </c>
      <c r="L907" s="8" t="str">
        <f t="shared" si="44"/>
        <v/>
      </c>
      <c r="M907" s="8">
        <f t="shared" si="42"/>
        <v>12</v>
      </c>
      <c r="N907" s="6" t="s">
        <v>26</v>
      </c>
    </row>
    <row r="908" spans="1:14" x14ac:dyDescent="0.2">
      <c r="A908" s="6" t="s">
        <v>731</v>
      </c>
      <c r="B908" s="6" t="s">
        <v>732</v>
      </c>
      <c r="C908" s="6" t="s">
        <v>20</v>
      </c>
      <c r="D908" s="7"/>
      <c r="E908" s="7"/>
      <c r="F908" s="7">
        <v>45728</v>
      </c>
      <c r="G908" s="9">
        <v>423534.2</v>
      </c>
      <c r="H908" s="9">
        <v>388563.49</v>
      </c>
      <c r="I908" s="9">
        <v>34970.71</v>
      </c>
      <c r="J908" s="7">
        <v>45745</v>
      </c>
      <c r="K908" s="8" t="str">
        <f t="shared" si="43"/>
        <v/>
      </c>
      <c r="L908" s="8" t="str">
        <f t="shared" si="44"/>
        <v/>
      </c>
      <c r="M908" s="8">
        <f t="shared" si="42"/>
        <v>17</v>
      </c>
      <c r="N908" s="6" t="s">
        <v>26</v>
      </c>
    </row>
    <row r="909" spans="1:14" x14ac:dyDescent="0.2">
      <c r="A909" s="6" t="s">
        <v>364</v>
      </c>
      <c r="B909" s="6" t="s">
        <v>733</v>
      </c>
      <c r="C909" s="6" t="s">
        <v>87</v>
      </c>
      <c r="D909" s="7"/>
      <c r="E909" s="7"/>
      <c r="F909" s="7">
        <v>45729</v>
      </c>
      <c r="G909" s="9">
        <v>-198581.91</v>
      </c>
      <c r="H909" s="9">
        <v>-175736.2</v>
      </c>
      <c r="I909" s="9">
        <v>-22845.71</v>
      </c>
      <c r="J909" s="7">
        <v>45736</v>
      </c>
      <c r="K909" s="8" t="str">
        <f t="shared" si="43"/>
        <v/>
      </c>
      <c r="L909" s="8" t="str">
        <f t="shared" si="44"/>
        <v/>
      </c>
      <c r="M909" s="8">
        <f t="shared" si="42"/>
        <v>7</v>
      </c>
      <c r="N909" s="6" t="s">
        <v>26</v>
      </c>
    </row>
    <row r="910" spans="1:14" x14ac:dyDescent="0.2">
      <c r="A910" s="6" t="s">
        <v>364</v>
      </c>
      <c r="B910" s="6" t="s">
        <v>733</v>
      </c>
      <c r="C910" s="6" t="s">
        <v>87</v>
      </c>
      <c r="D910" s="7"/>
      <c r="E910" s="7"/>
      <c r="F910" s="7">
        <v>45729</v>
      </c>
      <c r="G910" s="9">
        <v>198581.92</v>
      </c>
      <c r="H910" s="9">
        <v>175736.21</v>
      </c>
      <c r="I910" s="9">
        <v>22845.71</v>
      </c>
      <c r="J910" s="7">
        <v>45736</v>
      </c>
      <c r="K910" s="8" t="str">
        <f t="shared" si="43"/>
        <v/>
      </c>
      <c r="L910" s="8" t="str">
        <f t="shared" si="44"/>
        <v/>
      </c>
      <c r="M910" s="8">
        <f t="shared" si="42"/>
        <v>7</v>
      </c>
      <c r="N910" s="6" t="s">
        <v>26</v>
      </c>
    </row>
    <row r="911" spans="1:14" x14ac:dyDescent="0.2">
      <c r="A911" s="6" t="s">
        <v>364</v>
      </c>
      <c r="B911" s="6" t="s">
        <v>733</v>
      </c>
      <c r="C911" s="6" t="s">
        <v>87</v>
      </c>
      <c r="D911" s="7"/>
      <c r="E911" s="7"/>
      <c r="F911" s="7">
        <v>45730</v>
      </c>
      <c r="G911" s="9">
        <v>-198581.92</v>
      </c>
      <c r="H911" s="9">
        <v>-175736.21</v>
      </c>
      <c r="I911" s="9">
        <v>-22845.71</v>
      </c>
      <c r="J911" s="7">
        <v>45736</v>
      </c>
      <c r="K911" s="8" t="str">
        <f t="shared" si="43"/>
        <v/>
      </c>
      <c r="L911" s="8" t="str">
        <f t="shared" si="44"/>
        <v/>
      </c>
      <c r="M911" s="8">
        <f t="shared" si="42"/>
        <v>6</v>
      </c>
      <c r="N911" s="6" t="s">
        <v>26</v>
      </c>
    </row>
    <row r="912" spans="1:14" x14ac:dyDescent="0.2">
      <c r="A912" s="6" t="s">
        <v>364</v>
      </c>
      <c r="B912" s="6" t="s">
        <v>733</v>
      </c>
      <c r="C912" s="6" t="s">
        <v>87</v>
      </c>
      <c r="D912" s="7"/>
      <c r="E912" s="7"/>
      <c r="F912" s="7">
        <v>45730</v>
      </c>
      <c r="G912" s="9">
        <v>198581.92</v>
      </c>
      <c r="H912" s="9">
        <v>175736.21</v>
      </c>
      <c r="I912" s="9">
        <v>22845.71</v>
      </c>
      <c r="J912" s="7">
        <v>45736</v>
      </c>
      <c r="K912" s="8" t="str">
        <f t="shared" si="43"/>
        <v/>
      </c>
      <c r="L912" s="8" t="str">
        <f t="shared" si="44"/>
        <v/>
      </c>
      <c r="M912" s="8">
        <f t="shared" si="42"/>
        <v>6</v>
      </c>
      <c r="N912" s="6" t="s">
        <v>26</v>
      </c>
    </row>
    <row r="913" spans="1:14" x14ac:dyDescent="0.2">
      <c r="A913" s="6" t="s">
        <v>36</v>
      </c>
      <c r="B913" s="6" t="s">
        <v>509</v>
      </c>
      <c r="C913" s="6" t="s">
        <v>20</v>
      </c>
      <c r="D913" s="7"/>
      <c r="E913" s="7"/>
      <c r="F913" s="7">
        <v>45733</v>
      </c>
      <c r="G913" s="9">
        <v>122850</v>
      </c>
      <c r="H913" s="9">
        <v>108716.81</v>
      </c>
      <c r="I913" s="9">
        <v>14133.19</v>
      </c>
      <c r="J913" s="7">
        <v>45836</v>
      </c>
      <c r="K913" s="8" t="str">
        <f t="shared" si="43"/>
        <v/>
      </c>
      <c r="L913" s="8" t="str">
        <f t="shared" si="44"/>
        <v/>
      </c>
      <c r="M913" s="8">
        <f t="shared" si="42"/>
        <v>103</v>
      </c>
      <c r="N913" s="6" t="s">
        <v>26</v>
      </c>
    </row>
    <row r="914" spans="1:14" x14ac:dyDescent="0.2">
      <c r="A914" s="6" t="s">
        <v>734</v>
      </c>
      <c r="B914" s="6" t="s">
        <v>735</v>
      </c>
      <c r="C914" s="6" t="s">
        <v>20</v>
      </c>
      <c r="D914" s="7"/>
      <c r="E914" s="7"/>
      <c r="F914" s="7">
        <v>45737</v>
      </c>
      <c r="G914" s="9">
        <v>108000</v>
      </c>
      <c r="H914" s="9">
        <v>99082.57</v>
      </c>
      <c r="I914" s="9">
        <v>8917.43</v>
      </c>
      <c r="J914" s="7">
        <v>45804</v>
      </c>
      <c r="K914" s="8" t="str">
        <f t="shared" si="43"/>
        <v/>
      </c>
      <c r="L914" s="8" t="str">
        <f t="shared" si="44"/>
        <v/>
      </c>
      <c r="M914" s="8">
        <f t="shared" si="42"/>
        <v>67</v>
      </c>
      <c r="N914" s="6" t="s">
        <v>26</v>
      </c>
    </row>
    <row r="915" spans="1:14" x14ac:dyDescent="0.2">
      <c r="A915" s="6" t="s">
        <v>736</v>
      </c>
      <c r="B915" s="6" t="s">
        <v>737</v>
      </c>
      <c r="C915" s="6" t="s">
        <v>20</v>
      </c>
      <c r="D915" s="7"/>
      <c r="E915" s="7"/>
      <c r="F915" s="7">
        <v>45741</v>
      </c>
      <c r="G915" s="9">
        <v>148000</v>
      </c>
      <c r="H915" s="9">
        <v>130973.45</v>
      </c>
      <c r="I915" s="9">
        <v>17026.55</v>
      </c>
      <c r="J915" s="7">
        <v>45741</v>
      </c>
      <c r="K915" s="8" t="str">
        <f t="shared" si="43"/>
        <v/>
      </c>
      <c r="L915" s="8" t="str">
        <f t="shared" si="44"/>
        <v/>
      </c>
      <c r="M915" s="8">
        <f t="shared" si="42"/>
        <v>0</v>
      </c>
      <c r="N915" s="6" t="s">
        <v>26</v>
      </c>
    </row>
    <row r="916" spans="1:14" x14ac:dyDescent="0.2">
      <c r="A916" s="6" t="s">
        <v>109</v>
      </c>
      <c r="B916" s="6" t="s">
        <v>658</v>
      </c>
      <c r="C916" s="6" t="s">
        <v>738</v>
      </c>
      <c r="D916" s="7"/>
      <c r="E916" s="7"/>
      <c r="F916" s="7">
        <v>45741</v>
      </c>
      <c r="G916" s="9">
        <v>-327700</v>
      </c>
      <c r="H916" s="9">
        <v>-290000</v>
      </c>
      <c r="I916" s="9">
        <v>-37700</v>
      </c>
      <c r="J916" s="7">
        <v>45749</v>
      </c>
      <c r="K916" s="8" t="str">
        <f t="shared" si="43"/>
        <v/>
      </c>
      <c r="L916" s="8" t="str">
        <f t="shared" si="44"/>
        <v/>
      </c>
      <c r="M916" s="8">
        <f t="shared" si="42"/>
        <v>8</v>
      </c>
      <c r="N916" s="6" t="s">
        <v>26</v>
      </c>
    </row>
    <row r="917" spans="1:14" x14ac:dyDescent="0.2">
      <c r="A917" s="6" t="s">
        <v>109</v>
      </c>
      <c r="B917" s="6" t="s">
        <v>658</v>
      </c>
      <c r="C917" s="6" t="s">
        <v>20</v>
      </c>
      <c r="D917" s="7"/>
      <c r="E917" s="7"/>
      <c r="F917" s="7">
        <v>45741</v>
      </c>
      <c r="G917" s="9">
        <v>279983</v>
      </c>
      <c r="H917" s="9">
        <v>247772.57</v>
      </c>
      <c r="I917" s="9">
        <v>32210.43</v>
      </c>
      <c r="J917" s="7">
        <v>45749</v>
      </c>
      <c r="K917" s="8" t="str">
        <f t="shared" si="43"/>
        <v/>
      </c>
      <c r="L917" s="8" t="str">
        <f t="shared" si="44"/>
        <v/>
      </c>
      <c r="M917" s="8">
        <f t="shared" si="42"/>
        <v>8</v>
      </c>
      <c r="N917" s="6" t="s">
        <v>26</v>
      </c>
    </row>
    <row r="918" spans="1:14" x14ac:dyDescent="0.2">
      <c r="A918" s="6" t="s">
        <v>723</v>
      </c>
      <c r="B918" s="6" t="s">
        <v>739</v>
      </c>
      <c r="C918" s="6" t="s">
        <v>20</v>
      </c>
      <c r="D918" s="7"/>
      <c r="E918" s="7"/>
      <c r="F918" s="7">
        <v>45741</v>
      </c>
      <c r="G918" s="9">
        <v>35000</v>
      </c>
      <c r="H918" s="9">
        <v>32110.09</v>
      </c>
      <c r="I918" s="9">
        <v>2889.91</v>
      </c>
      <c r="J918" s="7"/>
      <c r="K918" s="8" t="str">
        <f t="shared" si="43"/>
        <v/>
      </c>
      <c r="L918" s="8" t="str">
        <f t="shared" si="44"/>
        <v/>
      </c>
      <c r="M918" s="8" t="str">
        <f t="shared" si="42"/>
        <v/>
      </c>
      <c r="N918" s="6" t="s">
        <v>21</v>
      </c>
    </row>
    <row r="919" spans="1:14" x14ac:dyDescent="0.2">
      <c r="A919" s="6" t="s">
        <v>740</v>
      </c>
      <c r="B919" s="6" t="s">
        <v>741</v>
      </c>
      <c r="C919" s="6" t="s">
        <v>20</v>
      </c>
      <c r="D919" s="7"/>
      <c r="E919" s="7"/>
      <c r="F919" s="7">
        <v>45741</v>
      </c>
      <c r="G919" s="9">
        <v>9944</v>
      </c>
      <c r="H919" s="9">
        <v>8800</v>
      </c>
      <c r="I919" s="9">
        <v>1144</v>
      </c>
      <c r="J919" s="7">
        <v>45756</v>
      </c>
      <c r="K919" s="8" t="str">
        <f t="shared" si="43"/>
        <v/>
      </c>
      <c r="L919" s="8" t="str">
        <f t="shared" si="44"/>
        <v/>
      </c>
      <c r="M919" s="8">
        <f t="shared" si="42"/>
        <v>15</v>
      </c>
      <c r="N919" s="6" t="s">
        <v>26</v>
      </c>
    </row>
    <row r="920" spans="1:14" x14ac:dyDescent="0.2">
      <c r="A920" s="6" t="s">
        <v>742</v>
      </c>
      <c r="B920" s="6" t="s">
        <v>743</v>
      </c>
      <c r="C920" s="6" t="s">
        <v>20</v>
      </c>
      <c r="D920" s="7"/>
      <c r="E920" s="7"/>
      <c r="F920" s="7">
        <v>45742</v>
      </c>
      <c r="G920" s="9">
        <v>15000</v>
      </c>
      <c r="H920" s="9">
        <v>14150.94</v>
      </c>
      <c r="I920" s="9">
        <v>849.06</v>
      </c>
      <c r="J920" s="7">
        <v>45818</v>
      </c>
      <c r="K920" s="8" t="str">
        <f t="shared" si="43"/>
        <v/>
      </c>
      <c r="L920" s="8" t="str">
        <f t="shared" si="44"/>
        <v/>
      </c>
      <c r="M920" s="8">
        <f t="shared" si="42"/>
        <v>76</v>
      </c>
      <c r="N920" s="6" t="s">
        <v>26</v>
      </c>
    </row>
    <row r="921" spans="1:14" x14ac:dyDescent="0.2">
      <c r="A921" s="6" t="s">
        <v>290</v>
      </c>
      <c r="B921" s="6" t="s">
        <v>744</v>
      </c>
      <c r="C921" s="6" t="s">
        <v>20</v>
      </c>
      <c r="D921" s="7"/>
      <c r="E921" s="7"/>
      <c r="F921" s="7">
        <v>45744</v>
      </c>
      <c r="G921" s="9">
        <v>160000</v>
      </c>
      <c r="H921" s="9">
        <v>141592.92000000001</v>
      </c>
      <c r="I921" s="9">
        <v>18407.080000000002</v>
      </c>
      <c r="J921" s="7">
        <v>45852</v>
      </c>
      <c r="K921" s="8" t="str">
        <f t="shared" si="43"/>
        <v/>
      </c>
      <c r="L921" s="8" t="str">
        <f t="shared" si="44"/>
        <v/>
      </c>
      <c r="M921" s="8">
        <f t="shared" si="42"/>
        <v>108</v>
      </c>
      <c r="N921" s="6" t="s">
        <v>26</v>
      </c>
    </row>
    <row r="922" spans="1:14" x14ac:dyDescent="0.2">
      <c r="A922" s="6" t="s">
        <v>290</v>
      </c>
      <c r="B922" s="6" t="s">
        <v>744</v>
      </c>
      <c r="C922" s="6" t="s">
        <v>20</v>
      </c>
      <c r="D922" s="7"/>
      <c r="E922" s="7"/>
      <c r="F922" s="7">
        <v>45744</v>
      </c>
      <c r="G922" s="9">
        <v>-160000</v>
      </c>
      <c r="H922" s="9">
        <v>-141592.92000000001</v>
      </c>
      <c r="I922" s="9">
        <v>-18407.080000000002</v>
      </c>
      <c r="J922" s="7">
        <v>45852</v>
      </c>
      <c r="K922" s="8" t="str">
        <f t="shared" si="43"/>
        <v/>
      </c>
      <c r="L922" s="8" t="str">
        <f t="shared" si="44"/>
        <v/>
      </c>
      <c r="M922" s="8">
        <f t="shared" si="42"/>
        <v>108</v>
      </c>
      <c r="N922" s="6" t="s">
        <v>26</v>
      </c>
    </row>
    <row r="923" spans="1:14" x14ac:dyDescent="0.2">
      <c r="A923" s="6" t="s">
        <v>290</v>
      </c>
      <c r="B923" s="6" t="s">
        <v>744</v>
      </c>
      <c r="C923" s="6" t="s">
        <v>20</v>
      </c>
      <c r="D923" s="7"/>
      <c r="E923" s="7"/>
      <c r="F923" s="7">
        <v>45744</v>
      </c>
      <c r="G923" s="9">
        <v>160000</v>
      </c>
      <c r="H923" s="9">
        <v>141592.92000000001</v>
      </c>
      <c r="I923" s="9">
        <v>18407.080000000002</v>
      </c>
      <c r="J923" s="7">
        <v>45852</v>
      </c>
      <c r="K923" s="8" t="str">
        <f t="shared" si="43"/>
        <v/>
      </c>
      <c r="L923" s="8" t="str">
        <f t="shared" si="44"/>
        <v/>
      </c>
      <c r="M923" s="8">
        <f t="shared" si="42"/>
        <v>108</v>
      </c>
      <c r="N923" s="6" t="s">
        <v>26</v>
      </c>
    </row>
    <row r="924" spans="1:14" x14ac:dyDescent="0.2">
      <c r="A924" s="6" t="s">
        <v>740</v>
      </c>
      <c r="B924" s="6" t="s">
        <v>745</v>
      </c>
      <c r="C924" s="6" t="s">
        <v>20</v>
      </c>
      <c r="D924" s="7"/>
      <c r="E924" s="7"/>
      <c r="F924" s="7">
        <v>45746</v>
      </c>
      <c r="G924" s="9">
        <v>429400</v>
      </c>
      <c r="H924" s="9">
        <v>380000</v>
      </c>
      <c r="I924" s="9">
        <v>49400</v>
      </c>
      <c r="J924" s="7">
        <v>45756</v>
      </c>
      <c r="K924" s="8" t="str">
        <f t="shared" si="43"/>
        <v/>
      </c>
      <c r="L924" s="8" t="str">
        <f t="shared" si="44"/>
        <v/>
      </c>
      <c r="M924" s="8">
        <f t="shared" si="42"/>
        <v>10</v>
      </c>
      <c r="N924" s="6" t="s">
        <v>26</v>
      </c>
    </row>
    <row r="925" spans="1:14" x14ac:dyDescent="0.2">
      <c r="A925" s="6" t="s">
        <v>740</v>
      </c>
      <c r="B925" s="6" t="s">
        <v>745</v>
      </c>
      <c r="C925" s="6" t="s">
        <v>20</v>
      </c>
      <c r="D925" s="7"/>
      <c r="E925" s="7"/>
      <c r="F925" s="7">
        <v>45746</v>
      </c>
      <c r="G925" s="9">
        <v>-429400</v>
      </c>
      <c r="H925" s="9">
        <v>-380000</v>
      </c>
      <c r="I925" s="9">
        <v>-49400</v>
      </c>
      <c r="J925" s="7">
        <v>45756</v>
      </c>
      <c r="K925" s="8" t="str">
        <f t="shared" si="43"/>
        <v/>
      </c>
      <c r="L925" s="8" t="str">
        <f t="shared" si="44"/>
        <v/>
      </c>
      <c r="M925" s="8">
        <f t="shared" si="42"/>
        <v>10</v>
      </c>
      <c r="N925" s="6" t="s">
        <v>26</v>
      </c>
    </row>
    <row r="926" spans="1:14" x14ac:dyDescent="0.2">
      <c r="A926" s="6" t="s">
        <v>740</v>
      </c>
      <c r="B926" s="6" t="s">
        <v>745</v>
      </c>
      <c r="C926" s="6" t="s">
        <v>20</v>
      </c>
      <c r="D926" s="7"/>
      <c r="E926" s="7"/>
      <c r="F926" s="7">
        <v>45746</v>
      </c>
      <c r="G926" s="9">
        <v>429400</v>
      </c>
      <c r="H926" s="9">
        <v>380000</v>
      </c>
      <c r="I926" s="9">
        <v>49400</v>
      </c>
      <c r="J926" s="7">
        <v>45756</v>
      </c>
      <c r="K926" s="8" t="str">
        <f t="shared" si="43"/>
        <v/>
      </c>
      <c r="L926" s="8" t="str">
        <f t="shared" si="44"/>
        <v/>
      </c>
      <c r="M926" s="8">
        <f t="shared" si="42"/>
        <v>10</v>
      </c>
      <c r="N926" s="6" t="s">
        <v>26</v>
      </c>
    </row>
    <row r="927" spans="1:14" x14ac:dyDescent="0.2">
      <c r="A927" s="6" t="s">
        <v>558</v>
      </c>
      <c r="C927" s="6" t="s">
        <v>33</v>
      </c>
      <c r="D927" s="7"/>
      <c r="E927" s="7"/>
      <c r="F927" s="7">
        <v>45747</v>
      </c>
      <c r="G927" s="9">
        <v>275090</v>
      </c>
      <c r="H927" s="9">
        <v>243442.48</v>
      </c>
      <c r="I927" s="9">
        <v>31647.52</v>
      </c>
      <c r="J927" s="7"/>
      <c r="K927" s="8" t="str">
        <f t="shared" si="43"/>
        <v/>
      </c>
      <c r="L927" s="8" t="str">
        <f t="shared" si="44"/>
        <v/>
      </c>
      <c r="M927" s="8" t="str">
        <f t="shared" si="42"/>
        <v/>
      </c>
      <c r="N927" s="6" t="s">
        <v>21</v>
      </c>
    </row>
    <row r="928" spans="1:14" x14ac:dyDescent="0.2">
      <c r="A928" s="6" t="s">
        <v>558</v>
      </c>
      <c r="C928" s="6" t="s">
        <v>33</v>
      </c>
      <c r="D928" s="7"/>
      <c r="E928" s="7"/>
      <c r="F928" s="7">
        <v>45747</v>
      </c>
      <c r="G928" s="9">
        <v>260000</v>
      </c>
      <c r="H928" s="9">
        <v>230088.5</v>
      </c>
      <c r="I928" s="9">
        <v>29911.5</v>
      </c>
      <c r="J928" s="7"/>
      <c r="K928" s="8" t="str">
        <f t="shared" si="43"/>
        <v/>
      </c>
      <c r="L928" s="8" t="str">
        <f t="shared" si="44"/>
        <v/>
      </c>
      <c r="M928" s="8" t="str">
        <f t="shared" si="42"/>
        <v/>
      </c>
      <c r="N928" s="6" t="s">
        <v>21</v>
      </c>
    </row>
    <row r="929" spans="1:14" x14ac:dyDescent="0.2">
      <c r="A929" s="6" t="s">
        <v>558</v>
      </c>
      <c r="C929" s="6" t="s">
        <v>33</v>
      </c>
      <c r="D929" s="7"/>
      <c r="E929" s="7"/>
      <c r="F929" s="7">
        <v>45747</v>
      </c>
      <c r="G929" s="9">
        <v>290180</v>
      </c>
      <c r="H929" s="9">
        <v>273754.71999999997</v>
      </c>
      <c r="I929" s="9">
        <v>16425.28</v>
      </c>
      <c r="J929" s="7"/>
      <c r="K929" s="8" t="str">
        <f t="shared" si="43"/>
        <v/>
      </c>
      <c r="L929" s="8" t="str">
        <f t="shared" si="44"/>
        <v/>
      </c>
      <c r="M929" s="8" t="str">
        <f t="shared" si="42"/>
        <v/>
      </c>
      <c r="N929" s="6" t="s">
        <v>21</v>
      </c>
    </row>
    <row r="930" spans="1:14" x14ac:dyDescent="0.2">
      <c r="A930" s="6" t="s">
        <v>677</v>
      </c>
      <c r="C930" s="6" t="s">
        <v>87</v>
      </c>
      <c r="D930" s="7"/>
      <c r="E930" s="7"/>
      <c r="F930" s="7">
        <v>45747</v>
      </c>
      <c r="G930" s="9">
        <v>386210</v>
      </c>
      <c r="H930" s="9">
        <v>341778.76</v>
      </c>
      <c r="I930" s="9">
        <v>44431.24</v>
      </c>
      <c r="J930" s="7"/>
      <c r="K930" s="8" t="str">
        <f t="shared" si="43"/>
        <v/>
      </c>
      <c r="L930" s="8" t="str">
        <f t="shared" si="44"/>
        <v/>
      </c>
      <c r="M930" s="8" t="str">
        <f t="shared" si="42"/>
        <v/>
      </c>
      <c r="N930" s="6" t="s">
        <v>21</v>
      </c>
    </row>
    <row r="931" spans="1:14" x14ac:dyDescent="0.2">
      <c r="A931" s="6" t="s">
        <v>677</v>
      </c>
      <c r="C931" s="6" t="s">
        <v>87</v>
      </c>
      <c r="D931" s="7"/>
      <c r="E931" s="7"/>
      <c r="F931" s="7">
        <v>45747</v>
      </c>
      <c r="G931" s="9">
        <v>347000</v>
      </c>
      <c r="H931" s="9">
        <v>307079.65000000002</v>
      </c>
      <c r="I931" s="9">
        <v>39920.35</v>
      </c>
      <c r="J931" s="7"/>
      <c r="K931" s="8" t="str">
        <f t="shared" si="43"/>
        <v/>
      </c>
      <c r="L931" s="8" t="str">
        <f t="shared" si="44"/>
        <v/>
      </c>
      <c r="M931" s="8" t="str">
        <f t="shared" si="42"/>
        <v/>
      </c>
      <c r="N931" s="6" t="s">
        <v>21</v>
      </c>
    </row>
    <row r="932" spans="1:14" x14ac:dyDescent="0.2">
      <c r="A932" s="6" t="s">
        <v>677</v>
      </c>
      <c r="C932" s="6" t="s">
        <v>87</v>
      </c>
      <c r="D932" s="7"/>
      <c r="E932" s="7"/>
      <c r="F932" s="7">
        <v>45747</v>
      </c>
      <c r="G932" s="9">
        <v>266790</v>
      </c>
      <c r="H932" s="9">
        <v>236097.35</v>
      </c>
      <c r="I932" s="9">
        <v>30692.65</v>
      </c>
      <c r="J932" s="7"/>
      <c r="K932" s="8" t="str">
        <f t="shared" si="43"/>
        <v/>
      </c>
      <c r="L932" s="8" t="str">
        <f t="shared" si="44"/>
        <v/>
      </c>
      <c r="M932" s="8" t="str">
        <f t="shared" si="42"/>
        <v/>
      </c>
      <c r="N932" s="6" t="s">
        <v>21</v>
      </c>
    </row>
    <row r="933" spans="1:14" x14ac:dyDescent="0.2">
      <c r="A933" s="6" t="s">
        <v>29</v>
      </c>
      <c r="B933" s="6" t="s">
        <v>746</v>
      </c>
      <c r="C933" s="6" t="s">
        <v>20</v>
      </c>
      <c r="D933" s="7"/>
      <c r="E933" s="7"/>
      <c r="F933" s="7">
        <v>45750</v>
      </c>
      <c r="G933" s="9">
        <v>345200</v>
      </c>
      <c r="H933" s="9">
        <v>305486.73</v>
      </c>
      <c r="I933" s="9">
        <v>39713.269999999997</v>
      </c>
      <c r="J933" s="7">
        <v>45765</v>
      </c>
      <c r="K933" s="8" t="str">
        <f t="shared" si="43"/>
        <v/>
      </c>
      <c r="L933" s="8" t="str">
        <f t="shared" si="44"/>
        <v/>
      </c>
      <c r="M933" s="8">
        <f t="shared" si="42"/>
        <v>15</v>
      </c>
      <c r="N933" s="6" t="s">
        <v>26</v>
      </c>
    </row>
    <row r="934" spans="1:14" x14ac:dyDescent="0.2">
      <c r="A934" s="6" t="s">
        <v>49</v>
      </c>
      <c r="B934" s="6" t="s">
        <v>747</v>
      </c>
      <c r="C934" s="6" t="s">
        <v>20</v>
      </c>
      <c r="D934" s="7"/>
      <c r="E934" s="7"/>
      <c r="F934" s="7">
        <v>45762</v>
      </c>
      <c r="G934" s="9">
        <v>35600</v>
      </c>
      <c r="H934" s="9">
        <v>31504.42</v>
      </c>
      <c r="I934" s="9">
        <v>4095.58</v>
      </c>
      <c r="J934" s="7">
        <v>45917</v>
      </c>
      <c r="K934" s="8" t="str">
        <f t="shared" si="43"/>
        <v/>
      </c>
      <c r="L934" s="8" t="str">
        <f t="shared" si="44"/>
        <v/>
      </c>
      <c r="M934" s="8">
        <f t="shared" si="42"/>
        <v>155</v>
      </c>
      <c r="N934" s="6" t="s">
        <v>26</v>
      </c>
    </row>
    <row r="935" spans="1:14" x14ac:dyDescent="0.2">
      <c r="A935" s="6" t="s">
        <v>748</v>
      </c>
      <c r="B935" s="6" t="s">
        <v>749</v>
      </c>
      <c r="C935" s="6" t="s">
        <v>20</v>
      </c>
      <c r="D935" s="7"/>
      <c r="E935" s="7"/>
      <c r="F935" s="7">
        <v>45762</v>
      </c>
      <c r="G935" s="9">
        <v>39000</v>
      </c>
      <c r="H935" s="9">
        <v>35779.82</v>
      </c>
      <c r="I935" s="9">
        <v>3220.18</v>
      </c>
      <c r="J935" s="7">
        <v>45775</v>
      </c>
      <c r="K935" s="8" t="str">
        <f t="shared" si="43"/>
        <v/>
      </c>
      <c r="L935" s="8" t="str">
        <f t="shared" si="44"/>
        <v/>
      </c>
      <c r="M935" s="8">
        <f t="shared" si="42"/>
        <v>13</v>
      </c>
      <c r="N935" s="6" t="s">
        <v>26</v>
      </c>
    </row>
    <row r="936" spans="1:14" x14ac:dyDescent="0.2">
      <c r="A936" s="6" t="s">
        <v>334</v>
      </c>
      <c r="C936" s="6" t="s">
        <v>355</v>
      </c>
      <c r="D936" s="7"/>
      <c r="E936" s="7"/>
      <c r="F936" s="7">
        <v>45764</v>
      </c>
      <c r="G936" s="9">
        <v>28000</v>
      </c>
      <c r="H936" s="9">
        <v>27722.77</v>
      </c>
      <c r="I936" s="9">
        <v>277.23</v>
      </c>
      <c r="J936" s="7">
        <v>45959</v>
      </c>
      <c r="K936" s="8" t="str">
        <f t="shared" si="43"/>
        <v/>
      </c>
      <c r="L936" s="8" t="str">
        <f t="shared" si="44"/>
        <v/>
      </c>
      <c r="M936" s="8">
        <f t="shared" si="42"/>
        <v>195</v>
      </c>
      <c r="N936" s="6" t="s">
        <v>26</v>
      </c>
    </row>
    <row r="937" spans="1:14" x14ac:dyDescent="0.2">
      <c r="A937" s="6" t="s">
        <v>495</v>
      </c>
      <c r="B937" s="6" t="s">
        <v>750</v>
      </c>
      <c r="C937" s="6" t="s">
        <v>20</v>
      </c>
      <c r="D937" s="7"/>
      <c r="E937" s="7"/>
      <c r="F937" s="7">
        <v>45765</v>
      </c>
      <c r="G937" s="9">
        <v>48000</v>
      </c>
      <c r="H937" s="9">
        <v>44036.7</v>
      </c>
      <c r="I937" s="9">
        <v>2963.3</v>
      </c>
      <c r="J937" s="7"/>
      <c r="K937" s="8" t="str">
        <f t="shared" si="43"/>
        <v/>
      </c>
      <c r="L937" s="8" t="str">
        <f t="shared" si="44"/>
        <v/>
      </c>
      <c r="M937" s="8" t="str">
        <f t="shared" si="42"/>
        <v/>
      </c>
      <c r="N937" s="6" t="s">
        <v>21</v>
      </c>
    </row>
    <row r="938" spans="1:14" x14ac:dyDescent="0.2">
      <c r="A938" s="6" t="s">
        <v>495</v>
      </c>
      <c r="B938" s="6" t="s">
        <v>751</v>
      </c>
      <c r="C938" s="6" t="s">
        <v>20</v>
      </c>
      <c r="D938" s="7"/>
      <c r="E938" s="7"/>
      <c r="F938" s="7">
        <v>45768</v>
      </c>
      <c r="G938" s="9">
        <v>9825.4</v>
      </c>
      <c r="H938" s="9">
        <v>8695.0400000000009</v>
      </c>
      <c r="I938" s="9">
        <v>1130.3599999999999</v>
      </c>
      <c r="J938" s="7"/>
      <c r="K938" s="8" t="str">
        <f t="shared" si="43"/>
        <v/>
      </c>
      <c r="L938" s="8" t="str">
        <f t="shared" si="44"/>
        <v/>
      </c>
      <c r="M938" s="8" t="str">
        <f t="shared" si="42"/>
        <v/>
      </c>
      <c r="N938" s="6" t="s">
        <v>21</v>
      </c>
    </row>
    <row r="939" spans="1:14" x14ac:dyDescent="0.2">
      <c r="A939" s="6" t="s">
        <v>752</v>
      </c>
      <c r="C939" s="6" t="s">
        <v>20</v>
      </c>
      <c r="D939" s="7"/>
      <c r="E939" s="7"/>
      <c r="F939" s="7">
        <v>45772</v>
      </c>
      <c r="G939" s="9">
        <v>10000</v>
      </c>
      <c r="H939" s="9">
        <v>8849.56</v>
      </c>
      <c r="I939" s="9">
        <v>1150.44</v>
      </c>
      <c r="J939" s="7"/>
      <c r="K939" s="8" t="str">
        <f t="shared" si="43"/>
        <v/>
      </c>
      <c r="L939" s="8" t="str">
        <f t="shared" si="44"/>
        <v/>
      </c>
      <c r="M939" s="8" t="str">
        <f t="shared" si="42"/>
        <v/>
      </c>
      <c r="N939" s="6" t="s">
        <v>21</v>
      </c>
    </row>
    <row r="940" spans="1:14" x14ac:dyDescent="0.2">
      <c r="A940" s="6" t="s">
        <v>753</v>
      </c>
      <c r="B940" s="6" t="s">
        <v>754</v>
      </c>
      <c r="C940" s="6" t="s">
        <v>20</v>
      </c>
      <c r="D940" s="7"/>
      <c r="E940" s="7"/>
      <c r="F940" s="7">
        <v>45774</v>
      </c>
      <c r="G940" s="9">
        <v>180000</v>
      </c>
      <c r="H940" s="9">
        <v>159292.04</v>
      </c>
      <c r="I940" s="9">
        <v>20707.96</v>
      </c>
      <c r="J940" s="7">
        <v>45832</v>
      </c>
      <c r="K940" s="8" t="str">
        <f t="shared" si="43"/>
        <v/>
      </c>
      <c r="L940" s="8" t="str">
        <f t="shared" si="44"/>
        <v/>
      </c>
      <c r="M940" s="8">
        <f t="shared" si="42"/>
        <v>58</v>
      </c>
      <c r="N940" s="6" t="s">
        <v>26</v>
      </c>
    </row>
    <row r="941" spans="1:14" x14ac:dyDescent="0.2">
      <c r="A941" s="6" t="s">
        <v>677</v>
      </c>
      <c r="C941" s="6" t="s">
        <v>652</v>
      </c>
      <c r="D941" s="7"/>
      <c r="E941" s="7"/>
      <c r="F941" s="7">
        <v>45776</v>
      </c>
      <c r="G941" s="9">
        <v>180000</v>
      </c>
      <c r="H941" s="9">
        <v>159292.04</v>
      </c>
      <c r="I941" s="9">
        <v>20707.96</v>
      </c>
      <c r="J941" s="7"/>
      <c r="K941" s="8" t="str">
        <f t="shared" si="43"/>
        <v/>
      </c>
      <c r="L941" s="8" t="str">
        <f t="shared" si="44"/>
        <v/>
      </c>
      <c r="M941" s="8" t="str">
        <f t="shared" si="42"/>
        <v/>
      </c>
      <c r="N941" s="6" t="s">
        <v>21</v>
      </c>
    </row>
    <row r="942" spans="1:14" x14ac:dyDescent="0.2">
      <c r="A942" s="6" t="s">
        <v>558</v>
      </c>
      <c r="C942" s="6" t="s">
        <v>33</v>
      </c>
      <c r="D942" s="7"/>
      <c r="E942" s="7"/>
      <c r="F942" s="7">
        <v>45776</v>
      </c>
      <c r="G942" s="9">
        <v>240000</v>
      </c>
      <c r="H942" s="9">
        <v>212389.38</v>
      </c>
      <c r="I942" s="9">
        <v>27610.62</v>
      </c>
      <c r="J942" s="7"/>
      <c r="K942" s="8" t="str">
        <f t="shared" si="43"/>
        <v/>
      </c>
      <c r="L942" s="8" t="str">
        <f t="shared" si="44"/>
        <v/>
      </c>
      <c r="M942" s="8" t="str">
        <f t="shared" si="42"/>
        <v/>
      </c>
      <c r="N942" s="6" t="s">
        <v>21</v>
      </c>
    </row>
    <row r="943" spans="1:14" x14ac:dyDescent="0.2">
      <c r="A943" s="6" t="s">
        <v>558</v>
      </c>
      <c r="C943" s="6" t="s">
        <v>33</v>
      </c>
      <c r="D943" s="7"/>
      <c r="E943" s="7"/>
      <c r="F943" s="7">
        <v>45776</v>
      </c>
      <c r="G943" s="9">
        <v>180000</v>
      </c>
      <c r="H943" s="9">
        <v>159292.04</v>
      </c>
      <c r="I943" s="9">
        <v>20707.96</v>
      </c>
      <c r="J943" s="7"/>
      <c r="K943" s="8" t="str">
        <f t="shared" si="43"/>
        <v/>
      </c>
      <c r="L943" s="8" t="str">
        <f t="shared" si="44"/>
        <v/>
      </c>
      <c r="M943" s="8" t="str">
        <f t="shared" si="42"/>
        <v/>
      </c>
      <c r="N943" s="6" t="s">
        <v>21</v>
      </c>
    </row>
    <row r="944" spans="1:14" x14ac:dyDescent="0.2">
      <c r="A944" s="6" t="s">
        <v>755</v>
      </c>
      <c r="B944" s="6" t="s">
        <v>756</v>
      </c>
      <c r="C944" s="6" t="s">
        <v>20</v>
      </c>
      <c r="D944" s="7"/>
      <c r="E944" s="7"/>
      <c r="F944" s="7">
        <v>45789</v>
      </c>
      <c r="G944" s="9">
        <v>131200</v>
      </c>
      <c r="H944" s="9">
        <v>120366.97</v>
      </c>
      <c r="I944" s="9">
        <v>10833.03</v>
      </c>
      <c r="J944" s="7">
        <v>45793</v>
      </c>
      <c r="K944" s="8" t="str">
        <f t="shared" si="43"/>
        <v/>
      </c>
      <c r="L944" s="8" t="str">
        <f t="shared" si="44"/>
        <v/>
      </c>
      <c r="M944" s="8">
        <f t="shared" si="42"/>
        <v>4</v>
      </c>
      <c r="N944" s="6" t="s">
        <v>26</v>
      </c>
    </row>
    <row r="945" spans="1:14" x14ac:dyDescent="0.2">
      <c r="A945" s="6" t="s">
        <v>49</v>
      </c>
      <c r="B945" s="6" t="s">
        <v>747</v>
      </c>
      <c r="C945" s="6" t="s">
        <v>20</v>
      </c>
      <c r="D945" s="7"/>
      <c r="E945" s="7"/>
      <c r="F945" s="7">
        <v>45789</v>
      </c>
      <c r="G945" s="9">
        <v>35600</v>
      </c>
      <c r="H945" s="9">
        <v>31504.43</v>
      </c>
      <c r="I945" s="9">
        <v>4095.57</v>
      </c>
      <c r="J945" s="7">
        <v>45917</v>
      </c>
      <c r="K945" s="8" t="str">
        <f t="shared" si="43"/>
        <v/>
      </c>
      <c r="L945" s="8" t="str">
        <f t="shared" si="44"/>
        <v/>
      </c>
      <c r="M945" s="8">
        <f t="shared" si="42"/>
        <v>128</v>
      </c>
      <c r="N945" s="6" t="s">
        <v>26</v>
      </c>
    </row>
    <row r="946" spans="1:14" x14ac:dyDescent="0.2">
      <c r="A946" s="6" t="s">
        <v>49</v>
      </c>
      <c r="B946" s="6" t="s">
        <v>747</v>
      </c>
      <c r="C946" s="6" t="s">
        <v>20</v>
      </c>
      <c r="D946" s="7"/>
      <c r="E946" s="7"/>
      <c r="F946" s="7">
        <v>45789</v>
      </c>
      <c r="G946" s="9">
        <v>-35600</v>
      </c>
      <c r="H946" s="9">
        <v>-31504.42</v>
      </c>
      <c r="I946" s="9">
        <v>-4095.58</v>
      </c>
      <c r="J946" s="7">
        <v>45917</v>
      </c>
      <c r="K946" s="8" t="str">
        <f t="shared" si="43"/>
        <v/>
      </c>
      <c r="L946" s="8" t="str">
        <f t="shared" si="44"/>
        <v/>
      </c>
      <c r="M946" s="8">
        <f t="shared" si="42"/>
        <v>128</v>
      </c>
      <c r="N946" s="6" t="s">
        <v>26</v>
      </c>
    </row>
    <row r="947" spans="1:14" x14ac:dyDescent="0.2">
      <c r="A947" s="6" t="s">
        <v>425</v>
      </c>
      <c r="B947" s="6" t="s">
        <v>757</v>
      </c>
      <c r="C947" s="6" t="s">
        <v>20</v>
      </c>
      <c r="D947" s="7"/>
      <c r="E947" s="7"/>
      <c r="F947" s="7">
        <v>45796</v>
      </c>
      <c r="G947" s="9">
        <v>73478</v>
      </c>
      <c r="H947" s="9">
        <v>67411.009999999995</v>
      </c>
      <c r="I947" s="9">
        <v>6066.99</v>
      </c>
      <c r="J947" s="7">
        <v>45832</v>
      </c>
      <c r="K947" s="8" t="str">
        <f t="shared" si="43"/>
        <v/>
      </c>
      <c r="L947" s="8" t="str">
        <f t="shared" si="44"/>
        <v/>
      </c>
      <c r="M947" s="8">
        <f t="shared" si="42"/>
        <v>36</v>
      </c>
      <c r="N947" s="6" t="s">
        <v>26</v>
      </c>
    </row>
    <row r="948" spans="1:14" x14ac:dyDescent="0.2">
      <c r="A948" s="6" t="s">
        <v>29</v>
      </c>
      <c r="B948" s="6" t="s">
        <v>758</v>
      </c>
      <c r="C948" s="6" t="s">
        <v>20</v>
      </c>
      <c r="D948" s="7"/>
      <c r="E948" s="7"/>
      <c r="F948" s="7">
        <v>45803</v>
      </c>
      <c r="G948" s="9">
        <v>161150</v>
      </c>
      <c r="H948" s="9">
        <v>142610.62</v>
      </c>
      <c r="I948" s="9">
        <v>18539.38</v>
      </c>
      <c r="J948" s="7">
        <v>45820</v>
      </c>
      <c r="K948" s="8" t="str">
        <f t="shared" si="43"/>
        <v/>
      </c>
      <c r="L948" s="8" t="str">
        <f t="shared" si="44"/>
        <v/>
      </c>
      <c r="M948" s="8">
        <f t="shared" si="42"/>
        <v>17</v>
      </c>
      <c r="N948" s="6" t="s">
        <v>26</v>
      </c>
    </row>
    <row r="949" spans="1:14" x14ac:dyDescent="0.2">
      <c r="A949" s="6" t="s">
        <v>385</v>
      </c>
      <c r="B949" s="6" t="s">
        <v>386</v>
      </c>
      <c r="C949" s="6" t="s">
        <v>20</v>
      </c>
      <c r="D949" s="7"/>
      <c r="E949" s="7"/>
      <c r="F949" s="7">
        <v>45804</v>
      </c>
      <c r="G949" s="9">
        <v>50000</v>
      </c>
      <c r="H949" s="9">
        <v>45871.56</v>
      </c>
      <c r="I949" s="9">
        <v>4128.4399999999996</v>
      </c>
      <c r="J949" s="7">
        <v>45828</v>
      </c>
      <c r="K949" s="8" t="str">
        <f t="shared" si="43"/>
        <v/>
      </c>
      <c r="L949" s="8" t="str">
        <f t="shared" si="44"/>
        <v/>
      </c>
      <c r="M949" s="8">
        <f t="shared" si="42"/>
        <v>24</v>
      </c>
      <c r="N949" s="6" t="s">
        <v>26</v>
      </c>
    </row>
    <row r="950" spans="1:14" x14ac:dyDescent="0.2">
      <c r="A950" s="6" t="s">
        <v>36</v>
      </c>
      <c r="B950" s="6" t="s">
        <v>759</v>
      </c>
      <c r="C950" s="6" t="s">
        <v>20</v>
      </c>
      <c r="D950" s="7"/>
      <c r="E950" s="7"/>
      <c r="F950" s="7">
        <v>45804</v>
      </c>
      <c r="G950" s="9">
        <v>67389.81</v>
      </c>
      <c r="H950" s="9">
        <v>59637</v>
      </c>
      <c r="I950" s="9">
        <v>7752.81</v>
      </c>
      <c r="J950" s="7">
        <v>45836</v>
      </c>
      <c r="K950" s="8" t="str">
        <f t="shared" si="43"/>
        <v/>
      </c>
      <c r="L950" s="8" t="str">
        <f t="shared" si="44"/>
        <v/>
      </c>
      <c r="M950" s="8">
        <f t="shared" si="42"/>
        <v>32</v>
      </c>
      <c r="N950" s="6" t="s">
        <v>26</v>
      </c>
    </row>
    <row r="951" spans="1:14" x14ac:dyDescent="0.2">
      <c r="A951" s="6" t="s">
        <v>677</v>
      </c>
      <c r="C951" s="6" t="s">
        <v>652</v>
      </c>
      <c r="D951" s="7"/>
      <c r="E951" s="7"/>
      <c r="F951" s="7">
        <v>45805</v>
      </c>
      <c r="G951" s="9">
        <v>230000</v>
      </c>
      <c r="H951" s="9">
        <v>203539.82</v>
      </c>
      <c r="I951" s="9">
        <v>26460.18</v>
      </c>
      <c r="J951" s="7"/>
      <c r="K951" s="8" t="str">
        <f t="shared" si="43"/>
        <v/>
      </c>
      <c r="L951" s="8" t="str">
        <f t="shared" si="44"/>
        <v/>
      </c>
      <c r="M951" s="8" t="str">
        <f t="shared" si="42"/>
        <v/>
      </c>
      <c r="N951" s="6" t="s">
        <v>21</v>
      </c>
    </row>
    <row r="952" spans="1:14" x14ac:dyDescent="0.2">
      <c r="A952" s="6" t="s">
        <v>677</v>
      </c>
      <c r="C952" s="6" t="s">
        <v>652</v>
      </c>
      <c r="D952" s="7"/>
      <c r="E952" s="7"/>
      <c r="F952" s="7">
        <v>45805</v>
      </c>
      <c r="G952" s="9">
        <v>150000</v>
      </c>
      <c r="H952" s="9">
        <v>132743.35999999999</v>
      </c>
      <c r="I952" s="9">
        <v>17256.64</v>
      </c>
      <c r="J952" s="7"/>
      <c r="K952" s="8" t="str">
        <f t="shared" si="43"/>
        <v/>
      </c>
      <c r="L952" s="8" t="str">
        <f t="shared" si="44"/>
        <v/>
      </c>
      <c r="M952" s="8" t="str">
        <f t="shared" si="42"/>
        <v/>
      </c>
      <c r="N952" s="6" t="s">
        <v>21</v>
      </c>
    </row>
    <row r="953" spans="1:14" x14ac:dyDescent="0.2">
      <c r="A953" s="6" t="s">
        <v>677</v>
      </c>
      <c r="C953" s="6" t="s">
        <v>652</v>
      </c>
      <c r="D953" s="7"/>
      <c r="E953" s="7"/>
      <c r="F953" s="7">
        <v>45805</v>
      </c>
      <c r="G953" s="9">
        <v>94000</v>
      </c>
      <c r="H953" s="9">
        <v>83185.84</v>
      </c>
      <c r="I953" s="9">
        <v>10814.16</v>
      </c>
      <c r="J953" s="7"/>
      <c r="K953" s="8" t="str">
        <f t="shared" si="43"/>
        <v/>
      </c>
      <c r="L953" s="8" t="str">
        <f t="shared" si="44"/>
        <v/>
      </c>
      <c r="M953" s="8" t="str">
        <f t="shared" si="42"/>
        <v/>
      </c>
      <c r="N953" s="6" t="s">
        <v>21</v>
      </c>
    </row>
    <row r="954" spans="1:14" x14ac:dyDescent="0.2">
      <c r="A954" s="6" t="s">
        <v>558</v>
      </c>
      <c r="C954" s="6" t="s">
        <v>33</v>
      </c>
      <c r="D954" s="7"/>
      <c r="E954" s="7"/>
      <c r="F954" s="7">
        <v>45805</v>
      </c>
      <c r="G954" s="9">
        <v>360000</v>
      </c>
      <c r="H954" s="9">
        <v>318584.07</v>
      </c>
      <c r="I954" s="9">
        <v>41415.93</v>
      </c>
      <c r="J954" s="7"/>
      <c r="K954" s="8" t="str">
        <f t="shared" si="43"/>
        <v/>
      </c>
      <c r="L954" s="8" t="str">
        <f t="shared" si="44"/>
        <v/>
      </c>
      <c r="M954" s="8" t="str">
        <f t="shared" si="42"/>
        <v/>
      </c>
      <c r="N954" s="6" t="s">
        <v>21</v>
      </c>
    </row>
    <row r="955" spans="1:14" x14ac:dyDescent="0.2">
      <c r="A955" s="6" t="s">
        <v>558</v>
      </c>
      <c r="C955" s="6" t="s">
        <v>33</v>
      </c>
      <c r="D955" s="7"/>
      <c r="E955" s="7"/>
      <c r="F955" s="7">
        <v>45805</v>
      </c>
      <c r="G955" s="9">
        <v>276000</v>
      </c>
      <c r="H955" s="9">
        <v>244247.79</v>
      </c>
      <c r="I955" s="9">
        <v>31752.21</v>
      </c>
      <c r="J955" s="7"/>
      <c r="K955" s="8" t="str">
        <f t="shared" si="43"/>
        <v/>
      </c>
      <c r="L955" s="8" t="str">
        <f t="shared" si="44"/>
        <v/>
      </c>
      <c r="M955" s="8" t="str">
        <f t="shared" si="42"/>
        <v/>
      </c>
      <c r="N955" s="6" t="s">
        <v>21</v>
      </c>
    </row>
    <row r="956" spans="1:14" x14ac:dyDescent="0.2">
      <c r="A956" s="6" t="s">
        <v>558</v>
      </c>
      <c r="C956" s="6" t="s">
        <v>33</v>
      </c>
      <c r="D956" s="7"/>
      <c r="E956" s="7"/>
      <c r="F956" s="7">
        <v>45805</v>
      </c>
      <c r="G956" s="9">
        <v>335000</v>
      </c>
      <c r="H956" s="9">
        <v>296460.18</v>
      </c>
      <c r="I956" s="9">
        <v>38539.82</v>
      </c>
      <c r="J956" s="7"/>
      <c r="K956" s="8" t="str">
        <f t="shared" si="43"/>
        <v/>
      </c>
      <c r="L956" s="8" t="str">
        <f t="shared" si="44"/>
        <v/>
      </c>
      <c r="M956" s="8" t="str">
        <f t="shared" si="42"/>
        <v/>
      </c>
      <c r="N956" s="6" t="s">
        <v>21</v>
      </c>
    </row>
    <row r="957" spans="1:14" x14ac:dyDescent="0.2">
      <c r="A957" s="6" t="s">
        <v>425</v>
      </c>
      <c r="B957" s="6" t="s">
        <v>708</v>
      </c>
      <c r="C957" s="6" t="s">
        <v>760</v>
      </c>
      <c r="D957" s="7"/>
      <c r="E957" s="7"/>
      <c r="F957" s="7">
        <v>45813</v>
      </c>
      <c r="G957" s="9">
        <v>195240</v>
      </c>
      <c r="H957" s="9">
        <v>179119.27</v>
      </c>
      <c r="I957" s="9">
        <v>16120.73</v>
      </c>
      <c r="J957" s="7">
        <v>45832</v>
      </c>
      <c r="K957" s="8" t="str">
        <f t="shared" si="43"/>
        <v/>
      </c>
      <c r="L957" s="8" t="str">
        <f t="shared" si="44"/>
        <v/>
      </c>
      <c r="M957" s="8">
        <f t="shared" si="42"/>
        <v>19</v>
      </c>
      <c r="N957" s="6" t="s">
        <v>26</v>
      </c>
    </row>
    <row r="958" spans="1:14" x14ac:dyDescent="0.2">
      <c r="A958" s="6" t="s">
        <v>182</v>
      </c>
      <c r="B958" s="6" t="s">
        <v>761</v>
      </c>
      <c r="C958" s="6" t="s">
        <v>20</v>
      </c>
      <c r="D958" s="7"/>
      <c r="E958" s="7"/>
      <c r="F958" s="7">
        <v>45813</v>
      </c>
      <c r="G958" s="9">
        <v>246600</v>
      </c>
      <c r="H958" s="9">
        <v>409724.77</v>
      </c>
      <c r="I958" s="9">
        <v>36875.230000000003</v>
      </c>
      <c r="J958" s="7">
        <v>45869</v>
      </c>
      <c r="K958" s="8" t="str">
        <f t="shared" si="43"/>
        <v/>
      </c>
      <c r="L958" s="8" t="str">
        <f t="shared" si="44"/>
        <v/>
      </c>
      <c r="M958" s="8">
        <f t="shared" si="42"/>
        <v>56</v>
      </c>
      <c r="N958" s="6" t="s">
        <v>26</v>
      </c>
    </row>
    <row r="959" spans="1:14" x14ac:dyDescent="0.2">
      <c r="A959" s="6" t="s">
        <v>182</v>
      </c>
      <c r="B959" s="6" t="s">
        <v>762</v>
      </c>
      <c r="C959" s="6" t="s">
        <v>20</v>
      </c>
      <c r="D959" s="7"/>
      <c r="E959" s="7"/>
      <c r="F959" s="7">
        <v>45813</v>
      </c>
      <c r="G959" s="9">
        <v>200000</v>
      </c>
      <c r="H959" s="9"/>
      <c r="I959" s="9"/>
      <c r="J959" s="7">
        <v>45869</v>
      </c>
      <c r="K959" s="8" t="str">
        <f t="shared" si="43"/>
        <v/>
      </c>
      <c r="L959" s="8" t="str">
        <f t="shared" si="44"/>
        <v/>
      </c>
      <c r="M959" s="8">
        <f t="shared" si="42"/>
        <v>56</v>
      </c>
      <c r="N959" s="6" t="s">
        <v>26</v>
      </c>
    </row>
    <row r="960" spans="1:14" x14ac:dyDescent="0.2">
      <c r="A960" s="6" t="s">
        <v>763</v>
      </c>
      <c r="B960" s="6" t="s">
        <v>764</v>
      </c>
      <c r="C960" s="6" t="s">
        <v>20</v>
      </c>
      <c r="D960" s="7"/>
      <c r="E960" s="7"/>
      <c r="F960" s="7">
        <v>45824</v>
      </c>
      <c r="G960" s="9">
        <v>65000</v>
      </c>
      <c r="H960" s="9">
        <v>61320.75</v>
      </c>
      <c r="I960" s="9">
        <v>3679.25</v>
      </c>
      <c r="J960" s="7">
        <v>45986</v>
      </c>
      <c r="K960" s="8" t="str">
        <f t="shared" si="43"/>
        <v/>
      </c>
      <c r="L960" s="8" t="str">
        <f t="shared" si="44"/>
        <v/>
      </c>
      <c r="M960" s="8">
        <f t="shared" si="42"/>
        <v>162</v>
      </c>
      <c r="N960" s="6" t="s">
        <v>26</v>
      </c>
    </row>
    <row r="961" spans="1:14" x14ac:dyDescent="0.2">
      <c r="A961" s="6" t="s">
        <v>429</v>
      </c>
      <c r="B961" s="6" t="s">
        <v>765</v>
      </c>
      <c r="C961" s="6" t="s">
        <v>20</v>
      </c>
      <c r="D961" s="7"/>
      <c r="E961" s="7"/>
      <c r="F961" s="7">
        <v>45827</v>
      </c>
      <c r="G961" s="9">
        <v>12000</v>
      </c>
      <c r="H961" s="9">
        <v>11009.17</v>
      </c>
      <c r="I961" s="9">
        <v>990.83</v>
      </c>
      <c r="J961" s="7">
        <v>45866</v>
      </c>
      <c r="K961" s="8" t="str">
        <f t="shared" si="43"/>
        <v/>
      </c>
      <c r="L961" s="8" t="str">
        <f t="shared" si="44"/>
        <v/>
      </c>
      <c r="M961" s="8">
        <f t="shared" si="42"/>
        <v>39</v>
      </c>
      <c r="N961" s="6" t="s">
        <v>26</v>
      </c>
    </row>
    <row r="962" spans="1:14" x14ac:dyDescent="0.2">
      <c r="A962" s="6" t="s">
        <v>637</v>
      </c>
      <c r="B962" s="6" t="s">
        <v>638</v>
      </c>
      <c r="C962" s="6" t="s">
        <v>20</v>
      </c>
      <c r="D962" s="7"/>
      <c r="E962" s="7"/>
      <c r="F962" s="7">
        <v>45827</v>
      </c>
      <c r="G962" s="9">
        <v>-120000</v>
      </c>
      <c r="H962" s="9">
        <v>-110091.74</v>
      </c>
      <c r="I962" s="9">
        <v>-9908.26</v>
      </c>
      <c r="J962" s="7">
        <v>46017</v>
      </c>
      <c r="K962" s="8" t="str">
        <f t="shared" si="43"/>
        <v/>
      </c>
      <c r="L962" s="8" t="str">
        <f t="shared" si="44"/>
        <v/>
      </c>
      <c r="M962" s="8">
        <f t="shared" ref="M962:M1025" si="45">IF(OR($F962="", $J962=""),"", $J962-$F962)</f>
        <v>190</v>
      </c>
      <c r="N962" s="6" t="s">
        <v>26</v>
      </c>
    </row>
    <row r="963" spans="1:14" x14ac:dyDescent="0.2">
      <c r="A963" s="6" t="s">
        <v>637</v>
      </c>
      <c r="B963" s="6" t="s">
        <v>638</v>
      </c>
      <c r="C963" s="6" t="s">
        <v>20</v>
      </c>
      <c r="D963" s="7"/>
      <c r="E963" s="7"/>
      <c r="F963" s="7">
        <v>45827</v>
      </c>
      <c r="G963" s="9">
        <v>-277200</v>
      </c>
      <c r="H963" s="9">
        <v>-254311.93</v>
      </c>
      <c r="I963" s="9">
        <v>-22888.07</v>
      </c>
      <c r="J963" s="7">
        <v>46017</v>
      </c>
      <c r="K963" s="8" t="str">
        <f t="shared" ref="K963:K1026" si="46">IF(OR($D963="", $F963=""),"", $E963-$D963)</f>
        <v/>
      </c>
      <c r="L963" s="8" t="str">
        <f t="shared" ref="L963:L1026" si="47">IF(OR($D963="", $F963=""),"", $F963-$E963)</f>
        <v/>
      </c>
      <c r="M963" s="8">
        <f t="shared" si="45"/>
        <v>190</v>
      </c>
      <c r="N963" s="6" t="s">
        <v>26</v>
      </c>
    </row>
    <row r="964" spans="1:14" x14ac:dyDescent="0.2">
      <c r="A964" s="6" t="s">
        <v>637</v>
      </c>
      <c r="B964" s="6" t="s">
        <v>638</v>
      </c>
      <c r="C964" s="6" t="s">
        <v>20</v>
      </c>
      <c r="D964" s="7"/>
      <c r="E964" s="7"/>
      <c r="F964" s="7">
        <v>45828</v>
      </c>
      <c r="G964" s="9">
        <v>60000</v>
      </c>
      <c r="H964" s="9">
        <v>55045.87</v>
      </c>
      <c r="I964" s="9">
        <v>4954.13</v>
      </c>
      <c r="J964" s="7">
        <v>46017</v>
      </c>
      <c r="K964" s="8" t="str">
        <f t="shared" si="46"/>
        <v/>
      </c>
      <c r="L964" s="8" t="str">
        <f t="shared" si="47"/>
        <v/>
      </c>
      <c r="M964" s="8">
        <f t="shared" si="45"/>
        <v>189</v>
      </c>
      <c r="N964" s="6" t="s">
        <v>26</v>
      </c>
    </row>
    <row r="965" spans="1:14" x14ac:dyDescent="0.2">
      <c r="A965" s="6" t="s">
        <v>425</v>
      </c>
      <c r="B965" s="6" t="s">
        <v>766</v>
      </c>
      <c r="C965" s="6" t="s">
        <v>652</v>
      </c>
      <c r="D965" s="7"/>
      <c r="E965" s="7"/>
      <c r="F965" s="7">
        <v>45828</v>
      </c>
      <c r="G965" s="9">
        <v>130000</v>
      </c>
      <c r="H965" s="9">
        <v>119266.06</v>
      </c>
      <c r="I965" s="9">
        <v>10733.94</v>
      </c>
      <c r="J965" s="7">
        <v>45832</v>
      </c>
      <c r="K965" s="8" t="str">
        <f t="shared" si="46"/>
        <v/>
      </c>
      <c r="L965" s="8" t="str">
        <f t="shared" si="47"/>
        <v/>
      </c>
      <c r="M965" s="8">
        <f t="shared" si="45"/>
        <v>4</v>
      </c>
      <c r="N965" s="6" t="s">
        <v>26</v>
      </c>
    </row>
    <row r="966" spans="1:14" x14ac:dyDescent="0.2">
      <c r="A966" s="6" t="s">
        <v>425</v>
      </c>
      <c r="B966" s="6" t="s">
        <v>767</v>
      </c>
      <c r="C966" s="6" t="s">
        <v>20</v>
      </c>
      <c r="D966" s="7"/>
      <c r="E966" s="7"/>
      <c r="F966" s="7">
        <v>45832</v>
      </c>
      <c r="G966" s="9">
        <v>179486</v>
      </c>
      <c r="H966" s="9">
        <v>164666.06</v>
      </c>
      <c r="I966" s="9">
        <v>14819.94</v>
      </c>
      <c r="J966" s="7">
        <v>45832</v>
      </c>
      <c r="K966" s="8" t="str">
        <f t="shared" si="46"/>
        <v/>
      </c>
      <c r="L966" s="8" t="str">
        <f t="shared" si="47"/>
        <v/>
      </c>
      <c r="M966" s="8">
        <f t="shared" si="45"/>
        <v>0</v>
      </c>
      <c r="N966" s="6" t="s">
        <v>26</v>
      </c>
    </row>
    <row r="967" spans="1:14" x14ac:dyDescent="0.2">
      <c r="A967" s="6" t="s">
        <v>175</v>
      </c>
      <c r="B967" s="6" t="s">
        <v>768</v>
      </c>
      <c r="C967" s="6" t="s">
        <v>20</v>
      </c>
      <c r="D967" s="7"/>
      <c r="E967" s="7"/>
      <c r="F967" s="7">
        <v>45834</v>
      </c>
      <c r="G967" s="9">
        <v>64580.4</v>
      </c>
      <c r="H967" s="9">
        <v>57150.8</v>
      </c>
      <c r="I967" s="9">
        <v>7429.6</v>
      </c>
      <c r="J967" s="7">
        <v>45952</v>
      </c>
      <c r="K967" s="8" t="str">
        <f t="shared" si="46"/>
        <v/>
      </c>
      <c r="L967" s="8" t="str">
        <f t="shared" si="47"/>
        <v/>
      </c>
      <c r="M967" s="8">
        <f t="shared" si="45"/>
        <v>118</v>
      </c>
      <c r="N967" s="6" t="s">
        <v>26</v>
      </c>
    </row>
    <row r="968" spans="1:14" x14ac:dyDescent="0.2">
      <c r="A968" s="6" t="s">
        <v>677</v>
      </c>
      <c r="C968" s="6" t="s">
        <v>652</v>
      </c>
      <c r="D968" s="7"/>
      <c r="E968" s="7"/>
      <c r="F968" s="7">
        <v>45838</v>
      </c>
      <c r="G968" s="9">
        <v>316400</v>
      </c>
      <c r="H968" s="9">
        <v>280000</v>
      </c>
      <c r="I968" s="9">
        <v>36400</v>
      </c>
      <c r="J968" s="7"/>
      <c r="K968" s="8" t="str">
        <f t="shared" si="46"/>
        <v/>
      </c>
      <c r="L968" s="8" t="str">
        <f t="shared" si="47"/>
        <v/>
      </c>
      <c r="M968" s="8" t="str">
        <f t="shared" si="45"/>
        <v/>
      </c>
      <c r="N968" s="6" t="s">
        <v>21</v>
      </c>
    </row>
    <row r="969" spans="1:14" x14ac:dyDescent="0.2">
      <c r="A969" s="6" t="s">
        <v>677</v>
      </c>
      <c r="C969" s="6" t="s">
        <v>652</v>
      </c>
      <c r="D969" s="7"/>
      <c r="E969" s="7"/>
      <c r="F969" s="7">
        <v>45838</v>
      </c>
      <c r="G969" s="9">
        <v>271200</v>
      </c>
      <c r="H969" s="9">
        <v>240000</v>
      </c>
      <c r="I969" s="9">
        <v>31200</v>
      </c>
      <c r="J969" s="7"/>
      <c r="K969" s="8" t="str">
        <f t="shared" si="46"/>
        <v/>
      </c>
      <c r="L969" s="8" t="str">
        <f t="shared" si="47"/>
        <v/>
      </c>
      <c r="M969" s="8" t="str">
        <f t="shared" si="45"/>
        <v/>
      </c>
      <c r="N969" s="6" t="s">
        <v>21</v>
      </c>
    </row>
    <row r="970" spans="1:14" x14ac:dyDescent="0.2">
      <c r="A970" s="6" t="s">
        <v>677</v>
      </c>
      <c r="C970" s="6" t="s">
        <v>652</v>
      </c>
      <c r="D970" s="7"/>
      <c r="E970" s="7"/>
      <c r="F970" s="7">
        <v>45838</v>
      </c>
      <c r="G970" s="9">
        <v>406800</v>
      </c>
      <c r="H970" s="9">
        <v>360000</v>
      </c>
      <c r="I970" s="9">
        <v>46800</v>
      </c>
      <c r="J970" s="7"/>
      <c r="K970" s="8" t="str">
        <f t="shared" si="46"/>
        <v/>
      </c>
      <c r="L970" s="8" t="str">
        <f t="shared" si="47"/>
        <v/>
      </c>
      <c r="M970" s="8" t="str">
        <f t="shared" si="45"/>
        <v/>
      </c>
      <c r="N970" s="6" t="s">
        <v>21</v>
      </c>
    </row>
    <row r="971" spans="1:14" x14ac:dyDescent="0.2">
      <c r="A971" s="6" t="s">
        <v>697</v>
      </c>
      <c r="C971" s="6" t="s">
        <v>20</v>
      </c>
      <c r="D971" s="7"/>
      <c r="E971" s="7"/>
      <c r="F971" s="7">
        <v>45838</v>
      </c>
      <c r="G971" s="9">
        <v>406800</v>
      </c>
      <c r="H971" s="9">
        <v>360000</v>
      </c>
      <c r="I971" s="9">
        <v>46800</v>
      </c>
      <c r="J971" s="7"/>
      <c r="K971" s="8" t="str">
        <f t="shared" si="46"/>
        <v/>
      </c>
      <c r="L971" s="8" t="str">
        <f t="shared" si="47"/>
        <v/>
      </c>
      <c r="M971" s="8" t="str">
        <f t="shared" si="45"/>
        <v/>
      </c>
      <c r="N971" s="6" t="s">
        <v>21</v>
      </c>
    </row>
    <row r="972" spans="1:14" x14ac:dyDescent="0.2">
      <c r="A972" s="6" t="s">
        <v>697</v>
      </c>
      <c r="C972" s="6" t="s">
        <v>20</v>
      </c>
      <c r="D972" s="7"/>
      <c r="E972" s="7"/>
      <c r="F972" s="7">
        <v>45838</v>
      </c>
      <c r="G972" s="9">
        <v>452000</v>
      </c>
      <c r="H972" s="9">
        <v>400000</v>
      </c>
      <c r="I972" s="9">
        <v>52000</v>
      </c>
      <c r="J972" s="7"/>
      <c r="K972" s="8" t="str">
        <f t="shared" si="46"/>
        <v/>
      </c>
      <c r="L972" s="8" t="str">
        <f t="shared" si="47"/>
        <v/>
      </c>
      <c r="M972" s="8" t="str">
        <f t="shared" si="45"/>
        <v/>
      </c>
      <c r="N972" s="6" t="s">
        <v>21</v>
      </c>
    </row>
    <row r="973" spans="1:14" x14ac:dyDescent="0.2">
      <c r="A973" s="6" t="s">
        <v>697</v>
      </c>
      <c r="C973" s="6" t="s">
        <v>20</v>
      </c>
      <c r="D973" s="7"/>
      <c r="E973" s="7"/>
      <c r="F973" s="7">
        <v>45838</v>
      </c>
      <c r="G973" s="9">
        <v>474600</v>
      </c>
      <c r="H973" s="9">
        <v>420000</v>
      </c>
      <c r="I973" s="9">
        <v>54600</v>
      </c>
      <c r="J973" s="7"/>
      <c r="K973" s="8" t="str">
        <f t="shared" si="46"/>
        <v/>
      </c>
      <c r="L973" s="8" t="str">
        <f t="shared" si="47"/>
        <v/>
      </c>
      <c r="M973" s="8" t="str">
        <f t="shared" si="45"/>
        <v/>
      </c>
      <c r="N973" s="6" t="s">
        <v>21</v>
      </c>
    </row>
    <row r="974" spans="1:14" x14ac:dyDescent="0.2">
      <c r="A974" s="6" t="s">
        <v>558</v>
      </c>
      <c r="C974" s="6" t="s">
        <v>33</v>
      </c>
      <c r="D974" s="7"/>
      <c r="E974" s="7"/>
      <c r="F974" s="7">
        <v>45838</v>
      </c>
      <c r="G974" s="9">
        <v>508500</v>
      </c>
      <c r="H974" s="9">
        <v>450000</v>
      </c>
      <c r="I974" s="9">
        <v>58500</v>
      </c>
      <c r="J974" s="7"/>
      <c r="K974" s="8" t="str">
        <f t="shared" si="46"/>
        <v/>
      </c>
      <c r="L974" s="8" t="str">
        <f t="shared" si="47"/>
        <v/>
      </c>
      <c r="M974" s="8" t="str">
        <f t="shared" si="45"/>
        <v/>
      </c>
      <c r="N974" s="6" t="s">
        <v>21</v>
      </c>
    </row>
    <row r="975" spans="1:14" x14ac:dyDescent="0.2">
      <c r="A975" s="6" t="s">
        <v>558</v>
      </c>
      <c r="C975" s="6" t="s">
        <v>33</v>
      </c>
      <c r="D975" s="7"/>
      <c r="E975" s="7"/>
      <c r="F975" s="7">
        <v>45838</v>
      </c>
      <c r="G975" s="9">
        <v>423750</v>
      </c>
      <c r="H975" s="9">
        <v>375000</v>
      </c>
      <c r="I975" s="9">
        <v>48750</v>
      </c>
      <c r="J975" s="7"/>
      <c r="K975" s="8" t="str">
        <f t="shared" si="46"/>
        <v/>
      </c>
      <c r="L975" s="8" t="str">
        <f t="shared" si="47"/>
        <v/>
      </c>
      <c r="M975" s="8" t="str">
        <f t="shared" si="45"/>
        <v/>
      </c>
      <c r="N975" s="6" t="s">
        <v>21</v>
      </c>
    </row>
    <row r="976" spans="1:14" x14ac:dyDescent="0.2">
      <c r="A976" s="6" t="s">
        <v>558</v>
      </c>
      <c r="C976" s="6" t="s">
        <v>33</v>
      </c>
      <c r="D976" s="7"/>
      <c r="E976" s="7"/>
      <c r="F976" s="7">
        <v>45838</v>
      </c>
      <c r="G976" s="9">
        <v>474600</v>
      </c>
      <c r="H976" s="9">
        <v>420000</v>
      </c>
      <c r="I976" s="9">
        <v>54600</v>
      </c>
      <c r="J976" s="7"/>
      <c r="K976" s="8" t="str">
        <f t="shared" si="46"/>
        <v/>
      </c>
      <c r="L976" s="8" t="str">
        <f t="shared" si="47"/>
        <v/>
      </c>
      <c r="M976" s="8" t="str">
        <f t="shared" si="45"/>
        <v/>
      </c>
      <c r="N976" s="6" t="s">
        <v>21</v>
      </c>
    </row>
    <row r="977" spans="1:14" x14ac:dyDescent="0.2">
      <c r="A977" s="6" t="s">
        <v>558</v>
      </c>
      <c r="C977" s="6" t="s">
        <v>33</v>
      </c>
      <c r="D977" s="7"/>
      <c r="E977" s="7"/>
      <c r="F977" s="7">
        <v>45838</v>
      </c>
      <c r="G977" s="9">
        <v>406800</v>
      </c>
      <c r="H977" s="9">
        <v>360000</v>
      </c>
      <c r="I977" s="9">
        <v>46800</v>
      </c>
      <c r="J977" s="7"/>
      <c r="K977" s="8" t="str">
        <f t="shared" si="46"/>
        <v/>
      </c>
      <c r="L977" s="8" t="str">
        <f t="shared" si="47"/>
        <v/>
      </c>
      <c r="M977" s="8" t="str">
        <f t="shared" si="45"/>
        <v/>
      </c>
      <c r="N977" s="6" t="s">
        <v>21</v>
      </c>
    </row>
    <row r="978" spans="1:14" x14ac:dyDescent="0.2">
      <c r="A978" s="6" t="s">
        <v>558</v>
      </c>
      <c r="C978" s="6" t="s">
        <v>33</v>
      </c>
      <c r="D978" s="7"/>
      <c r="E978" s="7"/>
      <c r="F978" s="7">
        <v>45838</v>
      </c>
      <c r="G978" s="9">
        <v>452000</v>
      </c>
      <c r="H978" s="9">
        <v>400000</v>
      </c>
      <c r="I978" s="9">
        <v>52000</v>
      </c>
      <c r="J978" s="7"/>
      <c r="K978" s="8" t="str">
        <f t="shared" si="46"/>
        <v/>
      </c>
      <c r="L978" s="8" t="str">
        <f t="shared" si="47"/>
        <v/>
      </c>
      <c r="M978" s="8" t="str">
        <f t="shared" si="45"/>
        <v/>
      </c>
      <c r="N978" s="6" t="s">
        <v>21</v>
      </c>
    </row>
    <row r="979" spans="1:14" x14ac:dyDescent="0.2">
      <c r="A979" s="6" t="s">
        <v>558</v>
      </c>
      <c r="C979" s="6" t="s">
        <v>33</v>
      </c>
      <c r="D979" s="7"/>
      <c r="E979" s="7"/>
      <c r="F979" s="7">
        <v>45838</v>
      </c>
      <c r="G979" s="9">
        <v>565000</v>
      </c>
      <c r="H979" s="9">
        <v>500000</v>
      </c>
      <c r="I979" s="9">
        <v>65000</v>
      </c>
      <c r="J979" s="7"/>
      <c r="K979" s="8" t="str">
        <f t="shared" si="46"/>
        <v/>
      </c>
      <c r="L979" s="8" t="str">
        <f t="shared" si="47"/>
        <v/>
      </c>
      <c r="M979" s="8" t="str">
        <f t="shared" si="45"/>
        <v/>
      </c>
      <c r="N979" s="6" t="s">
        <v>21</v>
      </c>
    </row>
    <row r="980" spans="1:14" x14ac:dyDescent="0.2">
      <c r="A980" s="6" t="s">
        <v>558</v>
      </c>
      <c r="C980" s="6" t="s">
        <v>33</v>
      </c>
      <c r="D980" s="7"/>
      <c r="E980" s="7"/>
      <c r="F980" s="7">
        <v>45838</v>
      </c>
      <c r="G980" s="9">
        <v>542400</v>
      </c>
      <c r="H980" s="9">
        <v>480000</v>
      </c>
      <c r="I980" s="9">
        <v>62400</v>
      </c>
      <c r="J980" s="7"/>
      <c r="K980" s="8" t="str">
        <f t="shared" si="46"/>
        <v/>
      </c>
      <c r="L980" s="8" t="str">
        <f t="shared" si="47"/>
        <v/>
      </c>
      <c r="M980" s="8" t="str">
        <f t="shared" si="45"/>
        <v/>
      </c>
      <c r="N980" s="6" t="s">
        <v>21</v>
      </c>
    </row>
    <row r="981" spans="1:14" x14ac:dyDescent="0.2">
      <c r="A981" s="6" t="s">
        <v>425</v>
      </c>
      <c r="B981" s="6" t="s">
        <v>651</v>
      </c>
      <c r="C981" s="6" t="s">
        <v>652</v>
      </c>
      <c r="D981" s="7"/>
      <c r="E981" s="7"/>
      <c r="F981" s="7">
        <v>45842</v>
      </c>
      <c r="G981" s="9">
        <v>376759</v>
      </c>
      <c r="H981" s="9">
        <v>345650.46</v>
      </c>
      <c r="I981" s="9">
        <v>31108.54</v>
      </c>
      <c r="J981" s="7">
        <v>45868</v>
      </c>
      <c r="K981" s="8" t="str">
        <f t="shared" si="46"/>
        <v/>
      </c>
      <c r="L981" s="8" t="str">
        <f t="shared" si="47"/>
        <v/>
      </c>
      <c r="M981" s="8">
        <f t="shared" si="45"/>
        <v>26</v>
      </c>
      <c r="N981" s="6" t="s">
        <v>26</v>
      </c>
    </row>
    <row r="982" spans="1:14" x14ac:dyDescent="0.2">
      <c r="A982" s="6" t="s">
        <v>29</v>
      </c>
      <c r="B982" s="6" t="s">
        <v>769</v>
      </c>
      <c r="C982" s="6" t="s">
        <v>20</v>
      </c>
      <c r="D982" s="7"/>
      <c r="E982" s="7"/>
      <c r="F982" s="7">
        <v>45847</v>
      </c>
      <c r="G982" s="9">
        <v>67000</v>
      </c>
      <c r="H982" s="9">
        <v>59292.03</v>
      </c>
      <c r="I982" s="9">
        <v>7707.97</v>
      </c>
      <c r="J982" s="7">
        <v>45857</v>
      </c>
      <c r="K982" s="8" t="str">
        <f t="shared" si="46"/>
        <v/>
      </c>
      <c r="L982" s="8" t="str">
        <f t="shared" si="47"/>
        <v/>
      </c>
      <c r="M982" s="8">
        <f t="shared" si="45"/>
        <v>10</v>
      </c>
      <c r="N982" s="6" t="s">
        <v>26</v>
      </c>
    </row>
    <row r="983" spans="1:14" x14ac:dyDescent="0.2">
      <c r="A983" s="6" t="s">
        <v>770</v>
      </c>
      <c r="B983" s="6" t="s">
        <v>771</v>
      </c>
      <c r="C983" s="6" t="s">
        <v>20</v>
      </c>
      <c r="D983" s="7"/>
      <c r="E983" s="7"/>
      <c r="F983" s="7">
        <v>45847</v>
      </c>
      <c r="G983" s="9">
        <v>33000</v>
      </c>
      <c r="H983" s="9">
        <v>29203.54</v>
      </c>
      <c r="I983" s="9">
        <v>3796.46</v>
      </c>
      <c r="J983" s="7">
        <v>45952</v>
      </c>
      <c r="K983" s="8" t="str">
        <f t="shared" si="46"/>
        <v/>
      </c>
      <c r="L983" s="8" t="str">
        <f t="shared" si="47"/>
        <v/>
      </c>
      <c r="M983" s="8">
        <f t="shared" si="45"/>
        <v>105</v>
      </c>
      <c r="N983" s="6" t="s">
        <v>26</v>
      </c>
    </row>
    <row r="984" spans="1:14" x14ac:dyDescent="0.2">
      <c r="A984" s="6" t="s">
        <v>292</v>
      </c>
      <c r="B984" s="6" t="s">
        <v>772</v>
      </c>
      <c r="C984" s="6" t="s">
        <v>20</v>
      </c>
      <c r="D984" s="7"/>
      <c r="E984" s="7"/>
      <c r="F984" s="7">
        <v>45848</v>
      </c>
      <c r="G984" s="9">
        <v>58000</v>
      </c>
      <c r="H984" s="9">
        <v>54716.98</v>
      </c>
      <c r="I984" s="9">
        <v>3283.02</v>
      </c>
      <c r="J984" s="7">
        <v>45849</v>
      </c>
      <c r="K984" s="8" t="str">
        <f t="shared" si="46"/>
        <v/>
      </c>
      <c r="L984" s="8" t="str">
        <f t="shared" si="47"/>
        <v/>
      </c>
      <c r="M984" s="8">
        <f t="shared" si="45"/>
        <v>1</v>
      </c>
      <c r="N984" s="6" t="s">
        <v>26</v>
      </c>
    </row>
    <row r="985" spans="1:14" x14ac:dyDescent="0.2">
      <c r="A985" s="6" t="s">
        <v>734</v>
      </c>
      <c r="B985" s="6" t="s">
        <v>773</v>
      </c>
      <c r="C985" s="6" t="s">
        <v>20</v>
      </c>
      <c r="D985" s="7"/>
      <c r="E985" s="7"/>
      <c r="F985" s="7">
        <v>45852</v>
      </c>
      <c r="G985" s="9">
        <v>78000</v>
      </c>
      <c r="H985" s="9">
        <v>69026.55</v>
      </c>
      <c r="I985" s="9">
        <v>8973.4500000000007</v>
      </c>
      <c r="J985" s="7">
        <v>45928</v>
      </c>
      <c r="K985" s="8" t="str">
        <f t="shared" si="46"/>
        <v/>
      </c>
      <c r="L985" s="8" t="str">
        <f t="shared" si="47"/>
        <v/>
      </c>
      <c r="M985" s="8">
        <f t="shared" si="45"/>
        <v>76</v>
      </c>
      <c r="N985" s="6" t="s">
        <v>26</v>
      </c>
    </row>
    <row r="986" spans="1:14" x14ac:dyDescent="0.2">
      <c r="A986" s="6" t="s">
        <v>115</v>
      </c>
      <c r="B986" s="6" t="s">
        <v>774</v>
      </c>
      <c r="C986" s="6" t="s">
        <v>20</v>
      </c>
      <c r="D986" s="7"/>
      <c r="E986" s="7"/>
      <c r="F986" s="7">
        <v>45855</v>
      </c>
      <c r="G986" s="9">
        <v>20340</v>
      </c>
      <c r="H986" s="9">
        <v>18000</v>
      </c>
      <c r="I986" s="9">
        <v>2340</v>
      </c>
      <c r="J986" s="7">
        <v>45904</v>
      </c>
      <c r="K986" s="8" t="str">
        <f t="shared" si="46"/>
        <v/>
      </c>
      <c r="L986" s="8" t="str">
        <f t="shared" si="47"/>
        <v/>
      </c>
      <c r="M986" s="8">
        <f t="shared" si="45"/>
        <v>49</v>
      </c>
      <c r="N986" s="6" t="s">
        <v>26</v>
      </c>
    </row>
    <row r="987" spans="1:14" x14ac:dyDescent="0.2">
      <c r="A987" s="6" t="s">
        <v>425</v>
      </c>
      <c r="B987" s="6" t="s">
        <v>775</v>
      </c>
      <c r="C987" s="6" t="s">
        <v>20</v>
      </c>
      <c r="D987" s="7"/>
      <c r="E987" s="7"/>
      <c r="F987" s="7">
        <v>45863</v>
      </c>
      <c r="G987" s="9">
        <v>380000</v>
      </c>
      <c r="H987" s="9">
        <v>348623.85</v>
      </c>
      <c r="I987" s="9">
        <v>31376.15</v>
      </c>
      <c r="J987" s="7">
        <v>45868</v>
      </c>
      <c r="K987" s="8" t="str">
        <f t="shared" si="46"/>
        <v/>
      </c>
      <c r="L987" s="8" t="str">
        <f t="shared" si="47"/>
        <v/>
      </c>
      <c r="M987" s="8">
        <f t="shared" si="45"/>
        <v>5</v>
      </c>
      <c r="N987" s="6" t="s">
        <v>26</v>
      </c>
    </row>
    <row r="988" spans="1:14" x14ac:dyDescent="0.2">
      <c r="A988" s="6" t="s">
        <v>776</v>
      </c>
      <c r="B988" s="6" t="s">
        <v>777</v>
      </c>
      <c r="C988" s="6" t="s">
        <v>20</v>
      </c>
      <c r="D988" s="7"/>
      <c r="E988" s="7"/>
      <c r="F988" s="7">
        <v>45866</v>
      </c>
      <c r="G988" s="9">
        <v>45000</v>
      </c>
      <c r="H988" s="9">
        <v>39823.01</v>
      </c>
      <c r="I988" s="9">
        <v>5176.99</v>
      </c>
      <c r="J988" s="7">
        <v>45946</v>
      </c>
      <c r="K988" s="8" t="str">
        <f t="shared" si="46"/>
        <v/>
      </c>
      <c r="L988" s="8" t="str">
        <f t="shared" si="47"/>
        <v/>
      </c>
      <c r="M988" s="8">
        <f t="shared" si="45"/>
        <v>80</v>
      </c>
      <c r="N988" s="6" t="s">
        <v>26</v>
      </c>
    </row>
    <row r="989" spans="1:14" x14ac:dyDescent="0.2">
      <c r="A989" s="6" t="s">
        <v>145</v>
      </c>
      <c r="B989" s="6" t="s">
        <v>778</v>
      </c>
      <c r="C989" s="6" t="s">
        <v>20</v>
      </c>
      <c r="D989" s="7"/>
      <c r="E989" s="7"/>
      <c r="F989" s="7">
        <v>45868</v>
      </c>
      <c r="G989" s="9">
        <v>66300</v>
      </c>
      <c r="H989" s="9">
        <v>58672.57</v>
      </c>
      <c r="I989" s="9">
        <v>7627.43</v>
      </c>
      <c r="J989" s="7">
        <v>45875</v>
      </c>
      <c r="K989" s="8" t="str">
        <f t="shared" si="46"/>
        <v/>
      </c>
      <c r="L989" s="8" t="str">
        <f t="shared" si="47"/>
        <v/>
      </c>
      <c r="M989" s="8">
        <f t="shared" si="45"/>
        <v>7</v>
      </c>
      <c r="N989" s="6" t="s">
        <v>26</v>
      </c>
    </row>
    <row r="990" spans="1:14" x14ac:dyDescent="0.2">
      <c r="A990" s="6" t="s">
        <v>558</v>
      </c>
      <c r="C990" s="6" t="s">
        <v>33</v>
      </c>
      <c r="D990" s="7"/>
      <c r="E990" s="7"/>
      <c r="F990" s="7">
        <v>45869</v>
      </c>
      <c r="G990" s="9">
        <v>280900</v>
      </c>
      <c r="H990" s="9">
        <v>265000</v>
      </c>
      <c r="I990" s="9">
        <v>15900</v>
      </c>
      <c r="J990" s="7"/>
      <c r="K990" s="8" t="str">
        <f t="shared" si="46"/>
        <v/>
      </c>
      <c r="L990" s="8" t="str">
        <f t="shared" si="47"/>
        <v/>
      </c>
      <c r="M990" s="8" t="str">
        <f t="shared" si="45"/>
        <v/>
      </c>
      <c r="N990" s="6" t="s">
        <v>21</v>
      </c>
    </row>
    <row r="991" spans="1:14" x14ac:dyDescent="0.2">
      <c r="A991" s="6" t="s">
        <v>558</v>
      </c>
      <c r="C991" s="6" t="s">
        <v>33</v>
      </c>
      <c r="D991" s="7"/>
      <c r="E991" s="7"/>
      <c r="F991" s="7">
        <v>45869</v>
      </c>
      <c r="G991" s="9">
        <v>243800</v>
      </c>
      <c r="H991" s="9">
        <v>230000</v>
      </c>
      <c r="I991" s="9">
        <v>13800</v>
      </c>
      <c r="J991" s="7"/>
      <c r="K991" s="8" t="str">
        <f t="shared" si="46"/>
        <v/>
      </c>
      <c r="L991" s="8" t="str">
        <f t="shared" si="47"/>
        <v/>
      </c>
      <c r="M991" s="8" t="str">
        <f t="shared" si="45"/>
        <v/>
      </c>
      <c r="N991" s="6" t="s">
        <v>21</v>
      </c>
    </row>
    <row r="992" spans="1:14" x14ac:dyDescent="0.2">
      <c r="A992" s="6" t="s">
        <v>558</v>
      </c>
      <c r="C992" s="6" t="s">
        <v>33</v>
      </c>
      <c r="D992" s="7"/>
      <c r="E992" s="7"/>
      <c r="F992" s="7">
        <v>45869</v>
      </c>
      <c r="G992" s="9">
        <v>318000</v>
      </c>
      <c r="H992" s="9">
        <v>300000</v>
      </c>
      <c r="I992" s="9">
        <v>18000</v>
      </c>
      <c r="J992" s="7"/>
      <c r="K992" s="8" t="str">
        <f t="shared" si="46"/>
        <v/>
      </c>
      <c r="L992" s="8" t="str">
        <f t="shared" si="47"/>
        <v/>
      </c>
      <c r="M992" s="8" t="str">
        <f t="shared" si="45"/>
        <v/>
      </c>
      <c r="N992" s="6" t="s">
        <v>21</v>
      </c>
    </row>
    <row r="993" spans="1:14" x14ac:dyDescent="0.2">
      <c r="A993" s="6" t="s">
        <v>558</v>
      </c>
      <c r="C993" s="6" t="s">
        <v>33</v>
      </c>
      <c r="D993" s="7"/>
      <c r="E993" s="7"/>
      <c r="F993" s="7">
        <v>45869</v>
      </c>
      <c r="G993" s="9">
        <v>243800</v>
      </c>
      <c r="H993" s="9">
        <v>230000</v>
      </c>
      <c r="I993" s="9">
        <v>13800</v>
      </c>
      <c r="J993" s="7"/>
      <c r="K993" s="8" t="str">
        <f t="shared" si="46"/>
        <v/>
      </c>
      <c r="L993" s="8" t="str">
        <f t="shared" si="47"/>
        <v/>
      </c>
      <c r="M993" s="8" t="str">
        <f t="shared" si="45"/>
        <v/>
      </c>
      <c r="N993" s="6" t="s">
        <v>21</v>
      </c>
    </row>
    <row r="994" spans="1:14" x14ac:dyDescent="0.2">
      <c r="A994" s="6" t="s">
        <v>558</v>
      </c>
      <c r="C994" s="6" t="s">
        <v>33</v>
      </c>
      <c r="D994" s="7"/>
      <c r="E994" s="7"/>
      <c r="F994" s="7">
        <v>45869</v>
      </c>
      <c r="G994" s="9">
        <v>296800</v>
      </c>
      <c r="H994" s="9">
        <v>280000</v>
      </c>
      <c r="I994" s="9">
        <v>16800</v>
      </c>
      <c r="J994" s="7"/>
      <c r="K994" s="8" t="str">
        <f t="shared" si="46"/>
        <v/>
      </c>
      <c r="L994" s="8" t="str">
        <f t="shared" si="47"/>
        <v/>
      </c>
      <c r="M994" s="8" t="str">
        <f t="shared" si="45"/>
        <v/>
      </c>
      <c r="N994" s="6" t="s">
        <v>21</v>
      </c>
    </row>
    <row r="995" spans="1:14" x14ac:dyDescent="0.2">
      <c r="A995" s="6" t="s">
        <v>558</v>
      </c>
      <c r="C995" s="6" t="s">
        <v>33</v>
      </c>
      <c r="D995" s="7"/>
      <c r="E995" s="7"/>
      <c r="F995" s="7">
        <v>45869</v>
      </c>
      <c r="G995" s="9">
        <v>312700</v>
      </c>
      <c r="H995" s="9">
        <v>295000</v>
      </c>
      <c r="I995" s="9">
        <v>17700</v>
      </c>
      <c r="J995" s="7"/>
      <c r="K995" s="8" t="str">
        <f t="shared" si="46"/>
        <v/>
      </c>
      <c r="L995" s="8" t="str">
        <f t="shared" si="47"/>
        <v/>
      </c>
      <c r="M995" s="8" t="str">
        <f t="shared" si="45"/>
        <v/>
      </c>
      <c r="N995" s="6" t="s">
        <v>21</v>
      </c>
    </row>
    <row r="996" spans="1:14" x14ac:dyDescent="0.2">
      <c r="A996" s="6" t="s">
        <v>558</v>
      </c>
      <c r="C996" s="6" t="s">
        <v>33</v>
      </c>
      <c r="D996" s="7"/>
      <c r="E996" s="7"/>
      <c r="F996" s="7">
        <v>45869</v>
      </c>
      <c r="G996" s="9">
        <v>318000</v>
      </c>
      <c r="H996" s="9">
        <v>300000</v>
      </c>
      <c r="I996" s="9">
        <v>18000</v>
      </c>
      <c r="J996" s="7"/>
      <c r="K996" s="8" t="str">
        <f t="shared" si="46"/>
        <v/>
      </c>
      <c r="L996" s="8" t="str">
        <f t="shared" si="47"/>
        <v/>
      </c>
      <c r="M996" s="8" t="str">
        <f t="shared" si="45"/>
        <v/>
      </c>
      <c r="N996" s="6" t="s">
        <v>21</v>
      </c>
    </row>
    <row r="997" spans="1:14" x14ac:dyDescent="0.2">
      <c r="A997" s="6" t="s">
        <v>558</v>
      </c>
      <c r="C997" s="6" t="s">
        <v>33</v>
      </c>
      <c r="D997" s="7"/>
      <c r="E997" s="7"/>
      <c r="F997" s="7">
        <v>45869</v>
      </c>
      <c r="G997" s="9">
        <v>328600</v>
      </c>
      <c r="H997" s="9">
        <v>310000</v>
      </c>
      <c r="I997" s="9">
        <v>18600</v>
      </c>
      <c r="J997" s="7"/>
      <c r="K997" s="8" t="str">
        <f t="shared" si="46"/>
        <v/>
      </c>
      <c r="L997" s="8" t="str">
        <f t="shared" si="47"/>
        <v/>
      </c>
      <c r="M997" s="8" t="str">
        <f t="shared" si="45"/>
        <v/>
      </c>
      <c r="N997" s="6" t="s">
        <v>21</v>
      </c>
    </row>
    <row r="998" spans="1:14" x14ac:dyDescent="0.2">
      <c r="A998" s="6" t="s">
        <v>558</v>
      </c>
      <c r="C998" s="6" t="s">
        <v>33</v>
      </c>
      <c r="D998" s="7"/>
      <c r="E998" s="7"/>
      <c r="F998" s="7">
        <v>45869</v>
      </c>
      <c r="G998" s="9">
        <v>307400</v>
      </c>
      <c r="H998" s="9">
        <v>290000</v>
      </c>
      <c r="I998" s="9">
        <v>17400</v>
      </c>
      <c r="J998" s="7"/>
      <c r="K998" s="8" t="str">
        <f t="shared" si="46"/>
        <v/>
      </c>
      <c r="L998" s="8" t="str">
        <f t="shared" si="47"/>
        <v/>
      </c>
      <c r="M998" s="8" t="str">
        <f t="shared" si="45"/>
        <v/>
      </c>
      <c r="N998" s="6" t="s">
        <v>21</v>
      </c>
    </row>
    <row r="999" spans="1:14" x14ac:dyDescent="0.2">
      <c r="A999" s="6" t="s">
        <v>697</v>
      </c>
      <c r="C999" s="6" t="s">
        <v>20</v>
      </c>
      <c r="D999" s="7"/>
      <c r="E999" s="7"/>
      <c r="F999" s="7">
        <v>45869</v>
      </c>
      <c r="G999" s="9">
        <v>250000</v>
      </c>
      <c r="H999" s="9">
        <v>221238.94</v>
      </c>
      <c r="I999" s="9">
        <v>28761.06</v>
      </c>
      <c r="J999" s="7"/>
      <c r="K999" s="8" t="str">
        <f t="shared" si="46"/>
        <v/>
      </c>
      <c r="L999" s="8" t="str">
        <f t="shared" si="47"/>
        <v/>
      </c>
      <c r="M999" s="8" t="str">
        <f t="shared" si="45"/>
        <v/>
      </c>
      <c r="N999" s="6" t="s">
        <v>21</v>
      </c>
    </row>
    <row r="1000" spans="1:14" x14ac:dyDescent="0.2">
      <c r="A1000" s="6" t="s">
        <v>697</v>
      </c>
      <c r="C1000" s="6" t="s">
        <v>20</v>
      </c>
      <c r="D1000" s="7"/>
      <c r="E1000" s="7"/>
      <c r="F1000" s="7">
        <v>45869</v>
      </c>
      <c r="G1000" s="9">
        <v>262160</v>
      </c>
      <c r="H1000" s="9">
        <v>232000</v>
      </c>
      <c r="I1000" s="9">
        <v>30160</v>
      </c>
      <c r="J1000" s="7"/>
      <c r="K1000" s="8" t="str">
        <f t="shared" si="46"/>
        <v/>
      </c>
      <c r="L1000" s="8" t="str">
        <f t="shared" si="47"/>
        <v/>
      </c>
      <c r="M1000" s="8" t="str">
        <f t="shared" si="45"/>
        <v/>
      </c>
      <c r="N1000" s="6" t="s">
        <v>21</v>
      </c>
    </row>
    <row r="1001" spans="1:14" x14ac:dyDescent="0.2">
      <c r="A1001" s="6" t="s">
        <v>697</v>
      </c>
      <c r="C1001" s="6" t="s">
        <v>20</v>
      </c>
      <c r="D1001" s="7"/>
      <c r="E1001" s="7"/>
      <c r="F1001" s="7">
        <v>45869</v>
      </c>
      <c r="G1001" s="9">
        <v>259900</v>
      </c>
      <c r="H1001" s="9">
        <v>230000</v>
      </c>
      <c r="I1001" s="9">
        <v>29900</v>
      </c>
      <c r="J1001" s="7"/>
      <c r="K1001" s="8" t="str">
        <f t="shared" si="46"/>
        <v/>
      </c>
      <c r="L1001" s="8" t="str">
        <f t="shared" si="47"/>
        <v/>
      </c>
      <c r="M1001" s="8" t="str">
        <f t="shared" si="45"/>
        <v/>
      </c>
      <c r="N1001" s="6" t="s">
        <v>21</v>
      </c>
    </row>
    <row r="1002" spans="1:14" x14ac:dyDescent="0.2">
      <c r="A1002" s="6" t="s">
        <v>697</v>
      </c>
      <c r="C1002" s="6" t="s">
        <v>20</v>
      </c>
      <c r="D1002" s="7"/>
      <c r="E1002" s="7"/>
      <c r="F1002" s="7">
        <v>45869</v>
      </c>
      <c r="G1002" s="9">
        <v>325440</v>
      </c>
      <c r="H1002" s="9">
        <v>288000</v>
      </c>
      <c r="I1002" s="9">
        <v>37440</v>
      </c>
      <c r="J1002" s="7"/>
      <c r="K1002" s="8" t="str">
        <f t="shared" si="46"/>
        <v/>
      </c>
      <c r="L1002" s="8" t="str">
        <f t="shared" si="47"/>
        <v/>
      </c>
      <c r="M1002" s="8" t="str">
        <f t="shared" si="45"/>
        <v/>
      </c>
      <c r="N1002" s="6" t="s">
        <v>21</v>
      </c>
    </row>
    <row r="1003" spans="1:14" x14ac:dyDescent="0.2">
      <c r="A1003" s="6" t="s">
        <v>600</v>
      </c>
      <c r="C1003" s="6" t="s">
        <v>652</v>
      </c>
      <c r="D1003" s="7"/>
      <c r="E1003" s="7"/>
      <c r="F1003" s="7">
        <v>45869</v>
      </c>
      <c r="G1003" s="9">
        <v>381882.98</v>
      </c>
      <c r="H1003" s="9">
        <v>337949.54</v>
      </c>
      <c r="I1003" s="9">
        <v>43933.440000000002</v>
      </c>
      <c r="J1003" s="7"/>
      <c r="K1003" s="8" t="str">
        <f t="shared" si="46"/>
        <v/>
      </c>
      <c r="L1003" s="8" t="str">
        <f t="shared" si="47"/>
        <v/>
      </c>
      <c r="M1003" s="8" t="str">
        <f t="shared" si="45"/>
        <v/>
      </c>
      <c r="N1003" s="6" t="s">
        <v>21</v>
      </c>
    </row>
    <row r="1004" spans="1:14" x14ac:dyDescent="0.2">
      <c r="A1004" s="6" t="s">
        <v>600</v>
      </c>
      <c r="C1004" s="6" t="s">
        <v>652</v>
      </c>
      <c r="D1004" s="7"/>
      <c r="E1004" s="7"/>
      <c r="F1004" s="7">
        <v>45869</v>
      </c>
      <c r="G1004" s="9">
        <v>357532</v>
      </c>
      <c r="H1004" s="9">
        <v>316400</v>
      </c>
      <c r="I1004" s="9">
        <v>41132</v>
      </c>
      <c r="J1004" s="7"/>
      <c r="K1004" s="8" t="str">
        <f t="shared" si="46"/>
        <v/>
      </c>
      <c r="L1004" s="8" t="str">
        <f t="shared" si="47"/>
        <v/>
      </c>
      <c r="M1004" s="8" t="str">
        <f t="shared" si="45"/>
        <v/>
      </c>
      <c r="N1004" s="6" t="s">
        <v>21</v>
      </c>
    </row>
    <row r="1005" spans="1:14" x14ac:dyDescent="0.2">
      <c r="A1005" s="6" t="s">
        <v>600</v>
      </c>
      <c r="C1005" s="6" t="s">
        <v>20</v>
      </c>
      <c r="D1005" s="7"/>
      <c r="E1005" s="7"/>
      <c r="F1005" s="7">
        <v>45869</v>
      </c>
      <c r="G1005" s="9">
        <v>297754</v>
      </c>
      <c r="H1005" s="9">
        <v>280900</v>
      </c>
      <c r="I1005" s="9">
        <v>16854</v>
      </c>
      <c r="J1005" s="7"/>
      <c r="K1005" s="8" t="str">
        <f t="shared" si="46"/>
        <v/>
      </c>
      <c r="L1005" s="8" t="str">
        <f t="shared" si="47"/>
        <v/>
      </c>
      <c r="M1005" s="8" t="str">
        <f t="shared" si="45"/>
        <v/>
      </c>
      <c r="N1005" s="6" t="s">
        <v>21</v>
      </c>
    </row>
    <row r="1006" spans="1:14" x14ac:dyDescent="0.2">
      <c r="A1006" s="6" t="s">
        <v>600</v>
      </c>
      <c r="C1006" s="6" t="s">
        <v>20</v>
      </c>
      <c r="D1006" s="7"/>
      <c r="E1006" s="7"/>
      <c r="F1006" s="7">
        <v>45869</v>
      </c>
      <c r="G1006" s="9">
        <v>267416.8</v>
      </c>
      <c r="H1006" s="9">
        <v>252280</v>
      </c>
      <c r="I1006" s="9">
        <v>15136.8</v>
      </c>
      <c r="J1006" s="7"/>
      <c r="K1006" s="8" t="str">
        <f t="shared" si="46"/>
        <v/>
      </c>
      <c r="L1006" s="8" t="str">
        <f t="shared" si="47"/>
        <v/>
      </c>
      <c r="M1006" s="8" t="str">
        <f t="shared" si="45"/>
        <v/>
      </c>
      <c r="N1006" s="6" t="s">
        <v>21</v>
      </c>
    </row>
    <row r="1007" spans="1:14" x14ac:dyDescent="0.2">
      <c r="A1007" s="6" t="s">
        <v>600</v>
      </c>
      <c r="C1007" s="6" t="s">
        <v>20</v>
      </c>
      <c r="D1007" s="7"/>
      <c r="E1007" s="7"/>
      <c r="F1007" s="7">
        <v>45869</v>
      </c>
      <c r="G1007" s="9">
        <v>254400</v>
      </c>
      <c r="H1007" s="9">
        <v>240000</v>
      </c>
      <c r="I1007" s="9">
        <v>14400</v>
      </c>
      <c r="J1007" s="7"/>
      <c r="K1007" s="8" t="str">
        <f t="shared" si="46"/>
        <v/>
      </c>
      <c r="L1007" s="8" t="str">
        <f t="shared" si="47"/>
        <v/>
      </c>
      <c r="M1007" s="8" t="str">
        <f t="shared" si="45"/>
        <v/>
      </c>
      <c r="N1007" s="6" t="s">
        <v>21</v>
      </c>
    </row>
    <row r="1008" spans="1:14" x14ac:dyDescent="0.2">
      <c r="A1008" s="6" t="s">
        <v>600</v>
      </c>
      <c r="C1008" s="6" t="s">
        <v>20</v>
      </c>
      <c r="D1008" s="7"/>
      <c r="E1008" s="7"/>
      <c r="F1008" s="7">
        <v>45869</v>
      </c>
      <c r="G1008" s="9">
        <v>265000</v>
      </c>
      <c r="H1008" s="9">
        <v>250000</v>
      </c>
      <c r="I1008" s="9">
        <v>15000</v>
      </c>
      <c r="J1008" s="7"/>
      <c r="K1008" s="8" t="str">
        <f t="shared" si="46"/>
        <v/>
      </c>
      <c r="L1008" s="8" t="str">
        <f t="shared" si="47"/>
        <v/>
      </c>
      <c r="M1008" s="8" t="str">
        <f t="shared" si="45"/>
        <v/>
      </c>
      <c r="N1008" s="6" t="s">
        <v>21</v>
      </c>
    </row>
    <row r="1009" spans="1:14" x14ac:dyDescent="0.2">
      <c r="A1009" s="6" t="s">
        <v>600</v>
      </c>
      <c r="C1009" s="6" t="s">
        <v>20</v>
      </c>
      <c r="D1009" s="7"/>
      <c r="E1009" s="7"/>
      <c r="F1009" s="7">
        <v>45869</v>
      </c>
      <c r="G1009" s="9">
        <v>339200</v>
      </c>
      <c r="H1009" s="9">
        <v>320000</v>
      </c>
      <c r="I1009" s="9">
        <v>19200</v>
      </c>
      <c r="J1009" s="7"/>
      <c r="K1009" s="8" t="str">
        <f t="shared" si="46"/>
        <v/>
      </c>
      <c r="L1009" s="8" t="str">
        <f t="shared" si="47"/>
        <v/>
      </c>
      <c r="M1009" s="8" t="str">
        <f t="shared" si="45"/>
        <v/>
      </c>
      <c r="N1009" s="6" t="s">
        <v>21</v>
      </c>
    </row>
    <row r="1010" spans="1:14" x14ac:dyDescent="0.2">
      <c r="A1010" s="6" t="s">
        <v>600</v>
      </c>
      <c r="C1010" s="6" t="s">
        <v>20</v>
      </c>
      <c r="D1010" s="7"/>
      <c r="E1010" s="7"/>
      <c r="F1010" s="7">
        <v>45869</v>
      </c>
      <c r="G1010" s="9">
        <v>292136</v>
      </c>
      <c r="H1010" s="9">
        <v>275600</v>
      </c>
      <c r="I1010" s="9">
        <v>16536</v>
      </c>
      <c r="J1010" s="7"/>
      <c r="K1010" s="8" t="str">
        <f t="shared" si="46"/>
        <v/>
      </c>
      <c r="L1010" s="8" t="str">
        <f t="shared" si="47"/>
        <v/>
      </c>
      <c r="M1010" s="8" t="str">
        <f t="shared" si="45"/>
        <v/>
      </c>
      <c r="N1010" s="6" t="s">
        <v>21</v>
      </c>
    </row>
    <row r="1011" spans="1:14" x14ac:dyDescent="0.2">
      <c r="A1011" s="6" t="s">
        <v>600</v>
      </c>
      <c r="C1011" s="6" t="s">
        <v>20</v>
      </c>
      <c r="D1011" s="7"/>
      <c r="E1011" s="7"/>
      <c r="F1011" s="7">
        <v>45869</v>
      </c>
      <c r="G1011" s="9">
        <v>307400</v>
      </c>
      <c r="H1011" s="9">
        <v>290000</v>
      </c>
      <c r="I1011" s="9">
        <v>17400</v>
      </c>
      <c r="J1011" s="7"/>
      <c r="K1011" s="8" t="str">
        <f t="shared" si="46"/>
        <v/>
      </c>
      <c r="L1011" s="8" t="str">
        <f t="shared" si="47"/>
        <v/>
      </c>
      <c r="M1011" s="8" t="str">
        <f t="shared" si="45"/>
        <v/>
      </c>
      <c r="N1011" s="6" t="s">
        <v>21</v>
      </c>
    </row>
    <row r="1012" spans="1:14" x14ac:dyDescent="0.2">
      <c r="A1012" s="6" t="s">
        <v>600</v>
      </c>
      <c r="C1012" s="6" t="s">
        <v>20</v>
      </c>
      <c r="D1012" s="7"/>
      <c r="E1012" s="7"/>
      <c r="F1012" s="7">
        <v>45869</v>
      </c>
      <c r="G1012" s="9">
        <v>337000</v>
      </c>
      <c r="H1012" s="9">
        <v>317924.53000000003</v>
      </c>
      <c r="I1012" s="9">
        <v>19075.47</v>
      </c>
      <c r="J1012" s="7"/>
      <c r="K1012" s="8" t="str">
        <f t="shared" si="46"/>
        <v/>
      </c>
      <c r="L1012" s="8" t="str">
        <f t="shared" si="47"/>
        <v/>
      </c>
      <c r="M1012" s="8" t="str">
        <f t="shared" si="45"/>
        <v/>
      </c>
      <c r="N1012" s="6" t="s">
        <v>21</v>
      </c>
    </row>
    <row r="1013" spans="1:14" x14ac:dyDescent="0.2">
      <c r="A1013" s="6" t="s">
        <v>600</v>
      </c>
      <c r="C1013" s="6" t="s">
        <v>20</v>
      </c>
      <c r="D1013" s="7"/>
      <c r="E1013" s="7"/>
      <c r="F1013" s="7">
        <v>45869</v>
      </c>
      <c r="G1013" s="9">
        <v>280000</v>
      </c>
      <c r="H1013" s="9">
        <v>264150.94</v>
      </c>
      <c r="I1013" s="9">
        <v>15849.06</v>
      </c>
      <c r="J1013" s="7"/>
      <c r="K1013" s="8" t="str">
        <f t="shared" si="46"/>
        <v/>
      </c>
      <c r="L1013" s="8" t="str">
        <f t="shared" si="47"/>
        <v/>
      </c>
      <c r="M1013" s="8" t="str">
        <f t="shared" si="45"/>
        <v/>
      </c>
      <c r="N1013" s="6" t="s">
        <v>21</v>
      </c>
    </row>
    <row r="1014" spans="1:14" x14ac:dyDescent="0.2">
      <c r="A1014" s="6" t="s">
        <v>677</v>
      </c>
      <c r="C1014" s="6" t="s">
        <v>87</v>
      </c>
      <c r="D1014" s="7"/>
      <c r="E1014" s="7"/>
      <c r="F1014" s="7">
        <v>45869</v>
      </c>
      <c r="G1014" s="9">
        <v>264039.43</v>
      </c>
      <c r="H1014" s="9">
        <v>233663.21</v>
      </c>
      <c r="I1014" s="9">
        <v>30376.22</v>
      </c>
      <c r="J1014" s="7"/>
      <c r="K1014" s="8" t="str">
        <f t="shared" si="46"/>
        <v/>
      </c>
      <c r="L1014" s="8" t="str">
        <f t="shared" si="47"/>
        <v/>
      </c>
      <c r="M1014" s="8" t="str">
        <f t="shared" si="45"/>
        <v/>
      </c>
      <c r="N1014" s="6" t="s">
        <v>21</v>
      </c>
    </row>
    <row r="1015" spans="1:14" x14ac:dyDescent="0.2">
      <c r="A1015" s="6" t="s">
        <v>677</v>
      </c>
      <c r="C1015" s="6" t="s">
        <v>87</v>
      </c>
      <c r="D1015" s="7"/>
      <c r="E1015" s="7"/>
      <c r="F1015" s="7">
        <v>45869</v>
      </c>
      <c r="G1015" s="9">
        <v>316400</v>
      </c>
      <c r="H1015" s="9">
        <v>280000</v>
      </c>
      <c r="I1015" s="9">
        <v>36400</v>
      </c>
      <c r="J1015" s="7"/>
      <c r="K1015" s="8" t="str">
        <f t="shared" si="46"/>
        <v/>
      </c>
      <c r="L1015" s="8" t="str">
        <f t="shared" si="47"/>
        <v/>
      </c>
      <c r="M1015" s="8" t="str">
        <f t="shared" si="45"/>
        <v/>
      </c>
      <c r="N1015" s="6" t="s">
        <v>21</v>
      </c>
    </row>
    <row r="1016" spans="1:14" x14ac:dyDescent="0.2">
      <c r="A1016" s="6" t="s">
        <v>677</v>
      </c>
      <c r="C1016" s="6" t="s">
        <v>87</v>
      </c>
      <c r="D1016" s="7"/>
      <c r="E1016" s="7"/>
      <c r="F1016" s="7">
        <v>45869</v>
      </c>
      <c r="G1016" s="9">
        <v>259900</v>
      </c>
      <c r="H1016" s="9">
        <v>230000</v>
      </c>
      <c r="I1016" s="9">
        <v>29900</v>
      </c>
      <c r="J1016" s="7"/>
      <c r="K1016" s="8" t="str">
        <f t="shared" si="46"/>
        <v/>
      </c>
      <c r="L1016" s="8" t="str">
        <f t="shared" si="47"/>
        <v/>
      </c>
      <c r="M1016" s="8" t="str">
        <f t="shared" si="45"/>
        <v/>
      </c>
      <c r="N1016" s="6" t="s">
        <v>21</v>
      </c>
    </row>
    <row r="1017" spans="1:14" x14ac:dyDescent="0.2">
      <c r="A1017" s="6" t="s">
        <v>677</v>
      </c>
      <c r="C1017" s="6" t="s">
        <v>87</v>
      </c>
      <c r="D1017" s="7"/>
      <c r="E1017" s="7"/>
      <c r="F1017" s="7">
        <v>45869</v>
      </c>
      <c r="G1017" s="9">
        <v>338378.5</v>
      </c>
      <c r="H1017" s="9">
        <v>299450</v>
      </c>
      <c r="I1017" s="9">
        <v>38928.5</v>
      </c>
      <c r="J1017" s="7"/>
      <c r="K1017" s="8" t="str">
        <f t="shared" si="46"/>
        <v/>
      </c>
      <c r="L1017" s="8" t="str">
        <f t="shared" si="47"/>
        <v/>
      </c>
      <c r="M1017" s="8" t="str">
        <f t="shared" si="45"/>
        <v/>
      </c>
      <c r="N1017" s="6" t="s">
        <v>21</v>
      </c>
    </row>
    <row r="1018" spans="1:14" x14ac:dyDescent="0.2">
      <c r="A1018" s="6" t="s">
        <v>677</v>
      </c>
      <c r="C1018" s="6" t="s">
        <v>87</v>
      </c>
      <c r="D1018" s="7"/>
      <c r="E1018" s="7"/>
      <c r="F1018" s="7">
        <v>45869</v>
      </c>
      <c r="G1018" s="9">
        <v>361600</v>
      </c>
      <c r="H1018" s="9">
        <v>320000</v>
      </c>
      <c r="I1018" s="9">
        <v>41600</v>
      </c>
      <c r="J1018" s="7"/>
      <c r="K1018" s="8" t="str">
        <f t="shared" si="46"/>
        <v/>
      </c>
      <c r="L1018" s="8" t="str">
        <f t="shared" si="47"/>
        <v/>
      </c>
      <c r="M1018" s="8" t="str">
        <f t="shared" si="45"/>
        <v/>
      </c>
      <c r="N1018" s="6" t="s">
        <v>21</v>
      </c>
    </row>
    <row r="1019" spans="1:14" x14ac:dyDescent="0.2">
      <c r="A1019" s="6" t="s">
        <v>677</v>
      </c>
      <c r="C1019" s="6" t="s">
        <v>87</v>
      </c>
      <c r="D1019" s="7"/>
      <c r="E1019" s="7"/>
      <c r="F1019" s="7">
        <v>45869</v>
      </c>
      <c r="G1019" s="9">
        <v>331994</v>
      </c>
      <c r="H1019" s="9">
        <v>293800</v>
      </c>
      <c r="I1019" s="9">
        <v>38194</v>
      </c>
      <c r="J1019" s="7"/>
      <c r="K1019" s="8" t="str">
        <f t="shared" si="46"/>
        <v/>
      </c>
      <c r="L1019" s="8" t="str">
        <f t="shared" si="47"/>
        <v/>
      </c>
      <c r="M1019" s="8" t="str">
        <f t="shared" si="45"/>
        <v/>
      </c>
      <c r="N1019" s="6" t="s">
        <v>21</v>
      </c>
    </row>
    <row r="1020" spans="1:14" x14ac:dyDescent="0.2">
      <c r="A1020" s="6" t="s">
        <v>779</v>
      </c>
      <c r="B1020" s="6" t="s">
        <v>780</v>
      </c>
      <c r="C1020" s="6" t="s">
        <v>20</v>
      </c>
      <c r="D1020" s="7"/>
      <c r="E1020" s="7"/>
      <c r="F1020" s="7">
        <v>45876</v>
      </c>
      <c r="G1020" s="9">
        <v>73775</v>
      </c>
      <c r="H1020" s="9">
        <v>67683.490000000005</v>
      </c>
      <c r="I1020" s="9">
        <v>6091.51</v>
      </c>
      <c r="J1020" s="7">
        <v>45912</v>
      </c>
      <c r="K1020" s="8" t="str">
        <f t="shared" si="46"/>
        <v/>
      </c>
      <c r="L1020" s="8" t="str">
        <f t="shared" si="47"/>
        <v/>
      </c>
      <c r="M1020" s="8">
        <f t="shared" si="45"/>
        <v>36</v>
      </c>
      <c r="N1020" s="6" t="s">
        <v>26</v>
      </c>
    </row>
    <row r="1021" spans="1:14" x14ac:dyDescent="0.2">
      <c r="A1021" s="6" t="s">
        <v>81</v>
      </c>
      <c r="B1021" s="6" t="s">
        <v>692</v>
      </c>
      <c r="C1021" s="6" t="s">
        <v>20</v>
      </c>
      <c r="D1021" s="7"/>
      <c r="E1021" s="7"/>
      <c r="F1021" s="7">
        <v>45889</v>
      </c>
      <c r="G1021" s="9">
        <v>217000</v>
      </c>
      <c r="H1021" s="9">
        <v>192035.4</v>
      </c>
      <c r="I1021" s="9">
        <v>24964.6</v>
      </c>
      <c r="J1021" s="7">
        <v>45898</v>
      </c>
      <c r="K1021" s="8" t="str">
        <f t="shared" si="46"/>
        <v/>
      </c>
      <c r="L1021" s="8" t="str">
        <f t="shared" si="47"/>
        <v/>
      </c>
      <c r="M1021" s="8">
        <f t="shared" si="45"/>
        <v>9</v>
      </c>
      <c r="N1021" s="6" t="s">
        <v>26</v>
      </c>
    </row>
    <row r="1022" spans="1:14" x14ac:dyDescent="0.2">
      <c r="A1022" s="6" t="s">
        <v>345</v>
      </c>
      <c r="B1022" s="6" t="s">
        <v>781</v>
      </c>
      <c r="C1022" s="6" t="s">
        <v>20</v>
      </c>
      <c r="D1022" s="7"/>
      <c r="E1022" s="7"/>
      <c r="F1022" s="7">
        <v>45894</v>
      </c>
      <c r="G1022" s="9">
        <v>50000</v>
      </c>
      <c r="H1022" s="9">
        <v>45871.56</v>
      </c>
      <c r="I1022" s="9">
        <v>4128.4399999999996</v>
      </c>
      <c r="J1022" s="7">
        <v>45929</v>
      </c>
      <c r="K1022" s="8" t="str">
        <f t="shared" si="46"/>
        <v/>
      </c>
      <c r="L1022" s="8" t="str">
        <f t="shared" si="47"/>
        <v/>
      </c>
      <c r="M1022" s="8">
        <f t="shared" si="45"/>
        <v>35</v>
      </c>
      <c r="N1022" s="6" t="s">
        <v>26</v>
      </c>
    </row>
    <row r="1023" spans="1:14" x14ac:dyDescent="0.2">
      <c r="A1023" s="6" t="s">
        <v>345</v>
      </c>
      <c r="B1023" s="6" t="s">
        <v>782</v>
      </c>
      <c r="C1023" s="6" t="s">
        <v>20</v>
      </c>
      <c r="D1023" s="7"/>
      <c r="E1023" s="7"/>
      <c r="F1023" s="7">
        <v>45894</v>
      </c>
      <c r="G1023" s="9">
        <v>100000</v>
      </c>
      <c r="H1023" s="9">
        <v>91743.12</v>
      </c>
      <c r="I1023" s="9">
        <v>8256.8799999999992</v>
      </c>
      <c r="J1023" s="7">
        <v>45929</v>
      </c>
      <c r="K1023" s="8" t="str">
        <f t="shared" si="46"/>
        <v/>
      </c>
      <c r="L1023" s="8" t="str">
        <f t="shared" si="47"/>
        <v/>
      </c>
      <c r="M1023" s="8">
        <f t="shared" si="45"/>
        <v>35</v>
      </c>
      <c r="N1023" s="6" t="s">
        <v>26</v>
      </c>
    </row>
    <row r="1024" spans="1:14" x14ac:dyDescent="0.2">
      <c r="A1024" s="6" t="s">
        <v>783</v>
      </c>
      <c r="B1024" s="6" t="s">
        <v>784</v>
      </c>
      <c r="C1024" s="6" t="s">
        <v>20</v>
      </c>
      <c r="D1024" s="7"/>
      <c r="E1024" s="7"/>
      <c r="F1024" s="7">
        <v>45896</v>
      </c>
      <c r="G1024" s="9">
        <v>61480</v>
      </c>
      <c r="H1024" s="9">
        <v>58000</v>
      </c>
      <c r="I1024" s="9">
        <v>3480</v>
      </c>
      <c r="J1024" s="7">
        <v>45941</v>
      </c>
      <c r="K1024" s="8" t="str">
        <f t="shared" si="46"/>
        <v/>
      </c>
      <c r="L1024" s="8" t="str">
        <f t="shared" si="47"/>
        <v/>
      </c>
      <c r="M1024" s="8">
        <f t="shared" si="45"/>
        <v>45</v>
      </c>
      <c r="N1024" s="6" t="s">
        <v>26</v>
      </c>
    </row>
    <row r="1025" spans="1:14" x14ac:dyDescent="0.2">
      <c r="A1025" s="6" t="s">
        <v>425</v>
      </c>
      <c r="B1025" s="6" t="s">
        <v>785</v>
      </c>
      <c r="C1025" s="6" t="s">
        <v>20</v>
      </c>
      <c r="D1025" s="7"/>
      <c r="E1025" s="7"/>
      <c r="F1025" s="7">
        <v>45897</v>
      </c>
      <c r="G1025" s="9">
        <v>169751</v>
      </c>
      <c r="H1025" s="9">
        <v>155734.85999999999</v>
      </c>
      <c r="I1025" s="9">
        <v>14016.14</v>
      </c>
      <c r="J1025" s="7">
        <v>45898</v>
      </c>
      <c r="K1025" s="8" t="str">
        <f t="shared" si="46"/>
        <v/>
      </c>
      <c r="L1025" s="8" t="str">
        <f t="shared" si="47"/>
        <v/>
      </c>
      <c r="M1025" s="8">
        <f t="shared" si="45"/>
        <v>1</v>
      </c>
      <c r="N1025" s="6" t="s">
        <v>26</v>
      </c>
    </row>
    <row r="1026" spans="1:14" x14ac:dyDescent="0.2">
      <c r="A1026" s="6" t="s">
        <v>425</v>
      </c>
      <c r="B1026" s="6" t="s">
        <v>786</v>
      </c>
      <c r="C1026" s="6" t="s">
        <v>20</v>
      </c>
      <c r="D1026" s="7"/>
      <c r="E1026" s="7"/>
      <c r="F1026" s="7">
        <v>45897</v>
      </c>
      <c r="G1026" s="9">
        <v>142909</v>
      </c>
      <c r="H1026" s="9">
        <v>131109.17000000001</v>
      </c>
      <c r="I1026" s="9">
        <v>11799.83</v>
      </c>
      <c r="J1026" s="7">
        <v>45898</v>
      </c>
      <c r="K1026" s="8" t="str">
        <f t="shared" si="46"/>
        <v/>
      </c>
      <c r="L1026" s="8" t="str">
        <f t="shared" si="47"/>
        <v/>
      </c>
      <c r="M1026" s="8">
        <f t="shared" ref="M1026:M1089" si="48">IF(OR($F1026="", $J1026=""),"", $J1026-$F1026)</f>
        <v>1</v>
      </c>
      <c r="N1026" s="6" t="s">
        <v>26</v>
      </c>
    </row>
    <row r="1027" spans="1:14" x14ac:dyDescent="0.2">
      <c r="A1027" s="6" t="s">
        <v>240</v>
      </c>
      <c r="B1027" s="6" t="s">
        <v>787</v>
      </c>
      <c r="C1027" s="6" t="s">
        <v>20</v>
      </c>
      <c r="D1027" s="7"/>
      <c r="E1027" s="7"/>
      <c r="F1027" s="7">
        <v>45897</v>
      </c>
      <c r="G1027" s="9">
        <v>99080</v>
      </c>
      <c r="H1027" s="9">
        <v>87681.42</v>
      </c>
      <c r="I1027" s="9">
        <v>11398.58</v>
      </c>
      <c r="J1027" s="7">
        <v>45952</v>
      </c>
      <c r="K1027" s="8" t="str">
        <f t="shared" ref="K1027:K1090" si="49">IF(OR($D1027="", $F1027=""),"", $E1027-$D1027)</f>
        <v/>
      </c>
      <c r="L1027" s="8" t="str">
        <f t="shared" ref="L1027:L1090" si="50">IF(OR($D1027="", $F1027=""),"", $F1027-$E1027)</f>
        <v/>
      </c>
      <c r="M1027" s="8">
        <f t="shared" si="48"/>
        <v>55</v>
      </c>
      <c r="N1027" s="6" t="s">
        <v>26</v>
      </c>
    </row>
    <row r="1028" spans="1:14" x14ac:dyDescent="0.2">
      <c r="A1028" s="6" t="s">
        <v>502</v>
      </c>
      <c r="B1028" s="6" t="s">
        <v>788</v>
      </c>
      <c r="C1028" s="6" t="s">
        <v>20</v>
      </c>
      <c r="D1028" s="7"/>
      <c r="E1028" s="7"/>
      <c r="F1028" s="7">
        <v>45898</v>
      </c>
      <c r="G1028" s="9">
        <v>54000</v>
      </c>
      <c r="H1028" s="9">
        <v>47787.61</v>
      </c>
      <c r="I1028" s="9">
        <v>6212.39</v>
      </c>
      <c r="J1028" s="7">
        <v>45959</v>
      </c>
      <c r="K1028" s="8" t="str">
        <f t="shared" si="49"/>
        <v/>
      </c>
      <c r="L1028" s="8" t="str">
        <f t="shared" si="50"/>
        <v/>
      </c>
      <c r="M1028" s="8">
        <f t="shared" si="48"/>
        <v>61</v>
      </c>
      <c r="N1028" s="6" t="s">
        <v>26</v>
      </c>
    </row>
    <row r="1029" spans="1:14" x14ac:dyDescent="0.2">
      <c r="A1029" s="6" t="s">
        <v>697</v>
      </c>
      <c r="C1029" s="6" t="s">
        <v>20</v>
      </c>
      <c r="D1029" s="7"/>
      <c r="E1029" s="7"/>
      <c r="F1029" s="7">
        <v>45900</v>
      </c>
      <c r="G1029" s="9">
        <v>297754</v>
      </c>
      <c r="H1029" s="9">
        <v>280900</v>
      </c>
      <c r="I1029" s="9">
        <v>16854</v>
      </c>
      <c r="J1029" s="7"/>
      <c r="K1029" s="8" t="str">
        <f t="shared" si="49"/>
        <v/>
      </c>
      <c r="L1029" s="8" t="str">
        <f t="shared" si="50"/>
        <v/>
      </c>
      <c r="M1029" s="8" t="str">
        <f t="shared" si="48"/>
        <v/>
      </c>
      <c r="N1029" s="6" t="s">
        <v>21</v>
      </c>
    </row>
    <row r="1030" spans="1:14" x14ac:dyDescent="0.2">
      <c r="A1030" s="6" t="s">
        <v>697</v>
      </c>
      <c r="C1030" s="6" t="s">
        <v>20</v>
      </c>
      <c r="D1030" s="7"/>
      <c r="E1030" s="7"/>
      <c r="F1030" s="7">
        <v>45900</v>
      </c>
      <c r="G1030" s="9">
        <v>360400</v>
      </c>
      <c r="H1030" s="9">
        <v>340000</v>
      </c>
      <c r="I1030" s="9">
        <v>20400</v>
      </c>
      <c r="J1030" s="7"/>
      <c r="K1030" s="8" t="str">
        <f t="shared" si="49"/>
        <v/>
      </c>
      <c r="L1030" s="8" t="str">
        <f t="shared" si="50"/>
        <v/>
      </c>
      <c r="M1030" s="8" t="str">
        <f t="shared" si="48"/>
        <v/>
      </c>
      <c r="N1030" s="6" t="s">
        <v>21</v>
      </c>
    </row>
    <row r="1031" spans="1:14" x14ac:dyDescent="0.2">
      <c r="A1031" s="6" t="s">
        <v>697</v>
      </c>
      <c r="C1031" s="6" t="s">
        <v>20</v>
      </c>
      <c r="D1031" s="7"/>
      <c r="E1031" s="7"/>
      <c r="F1031" s="7">
        <v>45900</v>
      </c>
      <c r="G1031" s="9">
        <v>275600</v>
      </c>
      <c r="H1031" s="9">
        <v>260000</v>
      </c>
      <c r="I1031" s="9">
        <v>15600</v>
      </c>
      <c r="J1031" s="7"/>
      <c r="K1031" s="8" t="str">
        <f t="shared" si="49"/>
        <v/>
      </c>
      <c r="L1031" s="8" t="str">
        <f t="shared" si="50"/>
        <v/>
      </c>
      <c r="M1031" s="8" t="str">
        <f t="shared" si="48"/>
        <v/>
      </c>
      <c r="N1031" s="6" t="s">
        <v>21</v>
      </c>
    </row>
    <row r="1032" spans="1:14" x14ac:dyDescent="0.2">
      <c r="A1032" s="6" t="s">
        <v>697</v>
      </c>
      <c r="C1032" s="6" t="s">
        <v>20</v>
      </c>
      <c r="D1032" s="7"/>
      <c r="E1032" s="7"/>
      <c r="F1032" s="7">
        <v>45900</v>
      </c>
      <c r="G1032" s="9">
        <v>348952</v>
      </c>
      <c r="H1032" s="9">
        <v>329200</v>
      </c>
      <c r="I1032" s="9">
        <v>19752</v>
      </c>
      <c r="J1032" s="7"/>
      <c r="K1032" s="8" t="str">
        <f t="shared" si="49"/>
        <v/>
      </c>
      <c r="L1032" s="8" t="str">
        <f t="shared" si="50"/>
        <v/>
      </c>
      <c r="M1032" s="8" t="str">
        <f t="shared" si="48"/>
        <v/>
      </c>
      <c r="N1032" s="6" t="s">
        <v>21</v>
      </c>
    </row>
    <row r="1033" spans="1:14" x14ac:dyDescent="0.2">
      <c r="A1033" s="6" t="s">
        <v>697</v>
      </c>
      <c r="C1033" s="6" t="s">
        <v>20</v>
      </c>
      <c r="D1033" s="7"/>
      <c r="E1033" s="7"/>
      <c r="F1033" s="7">
        <v>45900</v>
      </c>
      <c r="G1033" s="9">
        <v>265000</v>
      </c>
      <c r="H1033" s="9">
        <v>250000</v>
      </c>
      <c r="I1033" s="9">
        <v>15000</v>
      </c>
      <c r="J1033" s="7"/>
      <c r="K1033" s="8" t="str">
        <f t="shared" si="49"/>
        <v/>
      </c>
      <c r="L1033" s="8" t="str">
        <f t="shared" si="50"/>
        <v/>
      </c>
      <c r="M1033" s="8" t="str">
        <f t="shared" si="48"/>
        <v/>
      </c>
      <c r="N1033" s="6" t="s">
        <v>21</v>
      </c>
    </row>
    <row r="1034" spans="1:14" x14ac:dyDescent="0.2">
      <c r="A1034" s="6" t="s">
        <v>697</v>
      </c>
      <c r="C1034" s="6" t="s">
        <v>20</v>
      </c>
      <c r="D1034" s="7"/>
      <c r="E1034" s="7"/>
      <c r="F1034" s="7">
        <v>45900</v>
      </c>
      <c r="G1034" s="9">
        <v>349800</v>
      </c>
      <c r="H1034" s="9">
        <v>330000</v>
      </c>
      <c r="I1034" s="9">
        <v>19800</v>
      </c>
      <c r="J1034" s="7"/>
      <c r="K1034" s="8" t="str">
        <f t="shared" si="49"/>
        <v/>
      </c>
      <c r="L1034" s="8" t="str">
        <f t="shared" si="50"/>
        <v/>
      </c>
      <c r="M1034" s="8" t="str">
        <f t="shared" si="48"/>
        <v/>
      </c>
      <c r="N1034" s="6" t="s">
        <v>21</v>
      </c>
    </row>
    <row r="1035" spans="1:14" x14ac:dyDescent="0.2">
      <c r="A1035" s="6" t="s">
        <v>697</v>
      </c>
      <c r="C1035" s="6" t="s">
        <v>20</v>
      </c>
      <c r="D1035" s="7"/>
      <c r="E1035" s="7"/>
      <c r="F1035" s="7">
        <v>45900</v>
      </c>
      <c r="G1035" s="9">
        <v>328600</v>
      </c>
      <c r="H1035" s="9">
        <v>310000</v>
      </c>
      <c r="I1035" s="9">
        <v>18600</v>
      </c>
      <c r="J1035" s="7"/>
      <c r="K1035" s="8" t="str">
        <f t="shared" si="49"/>
        <v/>
      </c>
      <c r="L1035" s="8" t="str">
        <f t="shared" si="50"/>
        <v/>
      </c>
      <c r="M1035" s="8" t="str">
        <f t="shared" si="48"/>
        <v/>
      </c>
      <c r="N1035" s="6" t="s">
        <v>21</v>
      </c>
    </row>
    <row r="1036" spans="1:14" x14ac:dyDescent="0.2">
      <c r="A1036" s="6" t="s">
        <v>697</v>
      </c>
      <c r="C1036" s="6" t="s">
        <v>20</v>
      </c>
      <c r="D1036" s="7"/>
      <c r="E1036" s="7"/>
      <c r="F1036" s="7">
        <v>45900</v>
      </c>
      <c r="G1036" s="9">
        <v>318000</v>
      </c>
      <c r="H1036" s="9">
        <v>300000</v>
      </c>
      <c r="I1036" s="9">
        <v>18000</v>
      </c>
      <c r="J1036" s="7"/>
      <c r="K1036" s="8" t="str">
        <f t="shared" si="49"/>
        <v/>
      </c>
      <c r="L1036" s="8" t="str">
        <f t="shared" si="50"/>
        <v/>
      </c>
      <c r="M1036" s="8" t="str">
        <f t="shared" si="48"/>
        <v/>
      </c>
      <c r="N1036" s="6" t="s">
        <v>21</v>
      </c>
    </row>
    <row r="1037" spans="1:14" x14ac:dyDescent="0.2">
      <c r="A1037" s="6" t="s">
        <v>558</v>
      </c>
      <c r="C1037" s="6" t="s">
        <v>33</v>
      </c>
      <c r="D1037" s="7"/>
      <c r="E1037" s="7"/>
      <c r="F1037" s="7">
        <v>45900</v>
      </c>
      <c r="G1037" s="9">
        <v>371000</v>
      </c>
      <c r="H1037" s="9">
        <v>350000</v>
      </c>
      <c r="I1037" s="9">
        <v>21000</v>
      </c>
      <c r="J1037" s="7"/>
      <c r="K1037" s="8" t="str">
        <f t="shared" si="49"/>
        <v/>
      </c>
      <c r="L1037" s="8" t="str">
        <f t="shared" si="50"/>
        <v/>
      </c>
      <c r="M1037" s="8" t="str">
        <f t="shared" si="48"/>
        <v/>
      </c>
      <c r="N1037" s="6" t="s">
        <v>21</v>
      </c>
    </row>
    <row r="1038" spans="1:14" x14ac:dyDescent="0.2">
      <c r="A1038" s="6" t="s">
        <v>558</v>
      </c>
      <c r="C1038" s="6" t="s">
        <v>33</v>
      </c>
      <c r="D1038" s="7"/>
      <c r="E1038" s="7"/>
      <c r="F1038" s="7">
        <v>45900</v>
      </c>
      <c r="G1038" s="9">
        <v>339200</v>
      </c>
      <c r="H1038" s="9">
        <v>320000</v>
      </c>
      <c r="I1038" s="9">
        <v>19200</v>
      </c>
      <c r="J1038" s="7"/>
      <c r="K1038" s="8" t="str">
        <f t="shared" si="49"/>
        <v/>
      </c>
      <c r="L1038" s="8" t="str">
        <f t="shared" si="50"/>
        <v/>
      </c>
      <c r="M1038" s="8" t="str">
        <f t="shared" si="48"/>
        <v/>
      </c>
      <c r="N1038" s="6" t="s">
        <v>21</v>
      </c>
    </row>
    <row r="1039" spans="1:14" x14ac:dyDescent="0.2">
      <c r="A1039" s="6" t="s">
        <v>558</v>
      </c>
      <c r="C1039" s="6" t="s">
        <v>33</v>
      </c>
      <c r="D1039" s="7"/>
      <c r="E1039" s="7"/>
      <c r="F1039" s="7">
        <v>45900</v>
      </c>
      <c r="G1039" s="9">
        <v>303372</v>
      </c>
      <c r="H1039" s="9">
        <v>286200</v>
      </c>
      <c r="I1039" s="9">
        <v>17172</v>
      </c>
      <c r="J1039" s="7"/>
      <c r="K1039" s="8" t="str">
        <f t="shared" si="49"/>
        <v/>
      </c>
      <c r="L1039" s="8" t="str">
        <f t="shared" si="50"/>
        <v/>
      </c>
      <c r="M1039" s="8" t="str">
        <f t="shared" si="48"/>
        <v/>
      </c>
      <c r="N1039" s="6" t="s">
        <v>21</v>
      </c>
    </row>
    <row r="1040" spans="1:14" x14ac:dyDescent="0.2">
      <c r="A1040" s="6" t="s">
        <v>558</v>
      </c>
      <c r="C1040" s="6" t="s">
        <v>33</v>
      </c>
      <c r="D1040" s="7"/>
      <c r="E1040" s="7"/>
      <c r="F1040" s="7">
        <v>45900</v>
      </c>
      <c r="G1040" s="9">
        <v>286200</v>
      </c>
      <c r="H1040" s="9">
        <v>270000</v>
      </c>
      <c r="I1040" s="9">
        <v>16200</v>
      </c>
      <c r="J1040" s="7"/>
      <c r="K1040" s="8" t="str">
        <f t="shared" si="49"/>
        <v/>
      </c>
      <c r="L1040" s="8" t="str">
        <f t="shared" si="50"/>
        <v/>
      </c>
      <c r="M1040" s="8" t="str">
        <f t="shared" si="48"/>
        <v/>
      </c>
      <c r="N1040" s="6" t="s">
        <v>21</v>
      </c>
    </row>
    <row r="1041" spans="1:14" x14ac:dyDescent="0.2">
      <c r="A1041" s="6" t="s">
        <v>558</v>
      </c>
      <c r="C1041" s="6" t="s">
        <v>33</v>
      </c>
      <c r="D1041" s="7"/>
      <c r="E1041" s="7"/>
      <c r="F1041" s="7">
        <v>45900</v>
      </c>
      <c r="G1041" s="9">
        <v>318000</v>
      </c>
      <c r="H1041" s="9">
        <v>300000</v>
      </c>
      <c r="I1041" s="9">
        <v>18000</v>
      </c>
      <c r="J1041" s="7"/>
      <c r="K1041" s="8" t="str">
        <f t="shared" si="49"/>
        <v/>
      </c>
      <c r="L1041" s="8" t="str">
        <f t="shared" si="50"/>
        <v/>
      </c>
      <c r="M1041" s="8" t="str">
        <f t="shared" si="48"/>
        <v/>
      </c>
      <c r="N1041" s="6" t="s">
        <v>21</v>
      </c>
    </row>
    <row r="1042" spans="1:14" x14ac:dyDescent="0.2">
      <c r="A1042" s="6" t="s">
        <v>558</v>
      </c>
      <c r="C1042" s="6" t="s">
        <v>33</v>
      </c>
      <c r="D1042" s="7"/>
      <c r="E1042" s="7"/>
      <c r="F1042" s="7">
        <v>45900</v>
      </c>
      <c r="G1042" s="9">
        <v>296800</v>
      </c>
      <c r="H1042" s="9">
        <v>280000</v>
      </c>
      <c r="I1042" s="9">
        <v>16800</v>
      </c>
      <c r="J1042" s="7"/>
      <c r="K1042" s="8" t="str">
        <f t="shared" si="49"/>
        <v/>
      </c>
      <c r="L1042" s="8" t="str">
        <f t="shared" si="50"/>
        <v/>
      </c>
      <c r="M1042" s="8" t="str">
        <f t="shared" si="48"/>
        <v/>
      </c>
      <c r="N1042" s="6" t="s">
        <v>21</v>
      </c>
    </row>
    <row r="1043" spans="1:14" x14ac:dyDescent="0.2">
      <c r="A1043" s="6" t="s">
        <v>558</v>
      </c>
      <c r="C1043" s="6" t="s">
        <v>33</v>
      </c>
      <c r="D1043" s="7"/>
      <c r="E1043" s="7"/>
      <c r="F1043" s="7">
        <v>45900</v>
      </c>
      <c r="G1043" s="9">
        <v>212000</v>
      </c>
      <c r="H1043" s="9">
        <v>200000</v>
      </c>
      <c r="I1043" s="9">
        <v>12000</v>
      </c>
      <c r="J1043" s="7"/>
      <c r="K1043" s="8" t="str">
        <f t="shared" si="49"/>
        <v/>
      </c>
      <c r="L1043" s="8" t="str">
        <f t="shared" si="50"/>
        <v/>
      </c>
      <c r="M1043" s="8" t="str">
        <f t="shared" si="48"/>
        <v/>
      </c>
      <c r="N1043" s="6" t="s">
        <v>21</v>
      </c>
    </row>
    <row r="1044" spans="1:14" x14ac:dyDescent="0.2">
      <c r="A1044" s="6" t="s">
        <v>600</v>
      </c>
      <c r="C1044" s="6" t="s">
        <v>652</v>
      </c>
      <c r="D1044" s="7"/>
      <c r="E1044" s="7"/>
      <c r="F1044" s="7">
        <v>45900</v>
      </c>
      <c r="G1044" s="9">
        <v>305100</v>
      </c>
      <c r="H1044" s="9">
        <v>270000</v>
      </c>
      <c r="I1044" s="9">
        <v>35100</v>
      </c>
      <c r="J1044" s="7"/>
      <c r="K1044" s="8" t="str">
        <f t="shared" si="49"/>
        <v/>
      </c>
      <c r="L1044" s="8" t="str">
        <f t="shared" si="50"/>
        <v/>
      </c>
      <c r="M1044" s="8" t="str">
        <f t="shared" si="48"/>
        <v/>
      </c>
      <c r="N1044" s="6" t="s">
        <v>21</v>
      </c>
    </row>
    <row r="1045" spans="1:14" x14ac:dyDescent="0.2">
      <c r="A1045" s="6" t="s">
        <v>600</v>
      </c>
      <c r="C1045" s="6" t="s">
        <v>652</v>
      </c>
      <c r="D1045" s="7"/>
      <c r="E1045" s="7"/>
      <c r="F1045" s="7">
        <v>45900</v>
      </c>
      <c r="G1045" s="9">
        <v>293800</v>
      </c>
      <c r="H1045" s="9">
        <v>260000</v>
      </c>
      <c r="I1045" s="9">
        <v>33800</v>
      </c>
      <c r="J1045" s="7"/>
      <c r="K1045" s="8" t="str">
        <f t="shared" si="49"/>
        <v/>
      </c>
      <c r="L1045" s="8" t="str">
        <f t="shared" si="50"/>
        <v/>
      </c>
      <c r="M1045" s="8" t="str">
        <f t="shared" si="48"/>
        <v/>
      </c>
      <c r="N1045" s="6" t="s">
        <v>21</v>
      </c>
    </row>
    <row r="1046" spans="1:14" x14ac:dyDescent="0.2">
      <c r="A1046" s="6" t="s">
        <v>600</v>
      </c>
      <c r="C1046" s="6" t="s">
        <v>652</v>
      </c>
      <c r="D1046" s="7"/>
      <c r="E1046" s="7"/>
      <c r="F1046" s="7">
        <v>45900</v>
      </c>
      <c r="G1046" s="9">
        <v>316400</v>
      </c>
      <c r="H1046" s="9">
        <v>280000</v>
      </c>
      <c r="I1046" s="9">
        <v>36400</v>
      </c>
      <c r="J1046" s="7"/>
      <c r="K1046" s="8" t="str">
        <f t="shared" si="49"/>
        <v/>
      </c>
      <c r="L1046" s="8" t="str">
        <f t="shared" si="50"/>
        <v/>
      </c>
      <c r="M1046" s="8" t="str">
        <f t="shared" si="48"/>
        <v/>
      </c>
      <c r="N1046" s="6" t="s">
        <v>21</v>
      </c>
    </row>
    <row r="1047" spans="1:14" x14ac:dyDescent="0.2">
      <c r="A1047" s="6" t="s">
        <v>600</v>
      </c>
      <c r="C1047" s="6" t="s">
        <v>652</v>
      </c>
      <c r="D1047" s="7"/>
      <c r="E1047" s="7"/>
      <c r="F1047" s="7">
        <v>45900</v>
      </c>
      <c r="G1047" s="9">
        <v>214700</v>
      </c>
      <c r="H1047" s="9">
        <v>190000</v>
      </c>
      <c r="I1047" s="9">
        <v>24700</v>
      </c>
      <c r="J1047" s="7"/>
      <c r="K1047" s="8" t="str">
        <f t="shared" si="49"/>
        <v/>
      </c>
      <c r="L1047" s="8" t="str">
        <f t="shared" si="50"/>
        <v/>
      </c>
      <c r="M1047" s="8" t="str">
        <f t="shared" si="48"/>
        <v/>
      </c>
      <c r="N1047" s="6" t="s">
        <v>21</v>
      </c>
    </row>
    <row r="1048" spans="1:14" x14ac:dyDescent="0.2">
      <c r="A1048" s="6" t="s">
        <v>677</v>
      </c>
      <c r="C1048" s="6" t="s">
        <v>87</v>
      </c>
      <c r="D1048" s="7"/>
      <c r="E1048" s="7"/>
      <c r="F1048" s="7">
        <v>45900</v>
      </c>
      <c r="G1048" s="9">
        <v>363368</v>
      </c>
      <c r="H1048" s="9">
        <v>342800</v>
      </c>
      <c r="I1048" s="9">
        <v>20568</v>
      </c>
      <c r="J1048" s="7"/>
      <c r="K1048" s="8" t="str">
        <f t="shared" si="49"/>
        <v/>
      </c>
      <c r="L1048" s="8" t="str">
        <f t="shared" si="50"/>
        <v/>
      </c>
      <c r="M1048" s="8" t="str">
        <f t="shared" si="48"/>
        <v/>
      </c>
      <c r="N1048" s="6" t="s">
        <v>21</v>
      </c>
    </row>
    <row r="1049" spans="1:14" x14ac:dyDescent="0.2">
      <c r="A1049" s="6" t="s">
        <v>677</v>
      </c>
      <c r="C1049" s="6" t="s">
        <v>87</v>
      </c>
      <c r="D1049" s="7"/>
      <c r="E1049" s="7"/>
      <c r="F1049" s="7">
        <v>45900</v>
      </c>
      <c r="G1049" s="9">
        <v>337080</v>
      </c>
      <c r="H1049" s="9">
        <v>318000</v>
      </c>
      <c r="I1049" s="9">
        <v>19080</v>
      </c>
      <c r="J1049" s="7"/>
      <c r="K1049" s="8" t="str">
        <f t="shared" si="49"/>
        <v/>
      </c>
      <c r="L1049" s="8" t="str">
        <f t="shared" si="50"/>
        <v/>
      </c>
      <c r="M1049" s="8" t="str">
        <f t="shared" si="48"/>
        <v/>
      </c>
      <c r="N1049" s="6" t="s">
        <v>21</v>
      </c>
    </row>
    <row r="1050" spans="1:14" x14ac:dyDescent="0.2">
      <c r="A1050" s="6" t="s">
        <v>677</v>
      </c>
      <c r="C1050" s="6" t="s">
        <v>87</v>
      </c>
      <c r="D1050" s="7"/>
      <c r="E1050" s="7"/>
      <c r="F1050" s="7">
        <v>45900</v>
      </c>
      <c r="G1050" s="9">
        <v>359552</v>
      </c>
      <c r="H1050" s="9">
        <v>339200</v>
      </c>
      <c r="I1050" s="9">
        <v>20352</v>
      </c>
      <c r="J1050" s="7"/>
      <c r="K1050" s="8" t="str">
        <f t="shared" si="49"/>
        <v/>
      </c>
      <c r="L1050" s="8" t="str">
        <f t="shared" si="50"/>
        <v/>
      </c>
      <c r="M1050" s="8" t="str">
        <f t="shared" si="48"/>
        <v/>
      </c>
      <c r="N1050" s="6" t="s">
        <v>21</v>
      </c>
    </row>
    <row r="1051" spans="1:14" x14ac:dyDescent="0.2">
      <c r="A1051" s="6" t="s">
        <v>558</v>
      </c>
      <c r="C1051" s="6" t="s">
        <v>87</v>
      </c>
      <c r="D1051" s="7"/>
      <c r="E1051" s="7"/>
      <c r="F1051" s="7">
        <v>45900</v>
      </c>
      <c r="G1051" s="9">
        <v>202206.67</v>
      </c>
      <c r="H1051" s="9">
        <v>190761.01</v>
      </c>
      <c r="I1051" s="9">
        <v>11445.66</v>
      </c>
      <c r="J1051" s="7"/>
      <c r="K1051" s="8" t="str">
        <f t="shared" si="49"/>
        <v/>
      </c>
      <c r="L1051" s="8" t="str">
        <f t="shared" si="50"/>
        <v/>
      </c>
      <c r="M1051" s="8" t="str">
        <f t="shared" si="48"/>
        <v/>
      </c>
      <c r="N1051" s="6" t="s">
        <v>21</v>
      </c>
    </row>
    <row r="1052" spans="1:14" x14ac:dyDescent="0.2">
      <c r="A1052" s="6" t="s">
        <v>558</v>
      </c>
      <c r="C1052" s="6" t="s">
        <v>87</v>
      </c>
      <c r="D1052" s="7"/>
      <c r="E1052" s="7"/>
      <c r="F1052" s="7">
        <v>45900</v>
      </c>
      <c r="G1052" s="9">
        <v>201400</v>
      </c>
      <c r="H1052" s="9">
        <v>190000</v>
      </c>
      <c r="I1052" s="9">
        <v>11400</v>
      </c>
      <c r="J1052" s="7"/>
      <c r="K1052" s="8" t="str">
        <f t="shared" si="49"/>
        <v/>
      </c>
      <c r="L1052" s="8" t="str">
        <f t="shared" si="50"/>
        <v/>
      </c>
      <c r="M1052" s="8" t="str">
        <f t="shared" si="48"/>
        <v/>
      </c>
      <c r="N1052" s="6" t="s">
        <v>21</v>
      </c>
    </row>
    <row r="1053" spans="1:14" x14ac:dyDescent="0.2">
      <c r="A1053" s="6" t="s">
        <v>558</v>
      </c>
      <c r="C1053" s="6" t="s">
        <v>87</v>
      </c>
      <c r="D1053" s="7"/>
      <c r="E1053" s="7"/>
      <c r="F1053" s="7">
        <v>45900</v>
      </c>
      <c r="G1053" s="9">
        <v>292721.33</v>
      </c>
      <c r="H1053" s="9">
        <v>276152.2</v>
      </c>
      <c r="I1053" s="9">
        <v>16569.13</v>
      </c>
      <c r="J1053" s="7"/>
      <c r="K1053" s="8" t="str">
        <f t="shared" si="49"/>
        <v/>
      </c>
      <c r="L1053" s="8" t="str">
        <f t="shared" si="50"/>
        <v/>
      </c>
      <c r="M1053" s="8" t="str">
        <f t="shared" si="48"/>
        <v/>
      </c>
      <c r="N1053" s="6" t="s">
        <v>21</v>
      </c>
    </row>
    <row r="1054" spans="1:14" x14ac:dyDescent="0.2">
      <c r="A1054" s="6" t="s">
        <v>343</v>
      </c>
      <c r="B1054" s="6" t="s">
        <v>789</v>
      </c>
      <c r="C1054" s="6" t="s">
        <v>20</v>
      </c>
      <c r="D1054" s="7"/>
      <c r="E1054" s="7"/>
      <c r="F1054" s="7">
        <v>45901</v>
      </c>
      <c r="G1054" s="9">
        <v>46000</v>
      </c>
      <c r="H1054" s="9">
        <v>43396.23</v>
      </c>
      <c r="I1054" s="9">
        <v>2603.77</v>
      </c>
      <c r="J1054" s="7">
        <v>45959</v>
      </c>
      <c r="K1054" s="8" t="str">
        <f t="shared" si="49"/>
        <v/>
      </c>
      <c r="L1054" s="8" t="str">
        <f t="shared" si="50"/>
        <v/>
      </c>
      <c r="M1054" s="8">
        <f t="shared" si="48"/>
        <v>58</v>
      </c>
      <c r="N1054" s="6" t="s">
        <v>26</v>
      </c>
    </row>
    <row r="1055" spans="1:14" x14ac:dyDescent="0.2">
      <c r="A1055" s="6" t="s">
        <v>734</v>
      </c>
      <c r="B1055" s="6" t="s">
        <v>773</v>
      </c>
      <c r="C1055" s="6" t="s">
        <v>20</v>
      </c>
      <c r="D1055" s="7"/>
      <c r="E1055" s="7"/>
      <c r="F1055" s="7">
        <v>45902</v>
      </c>
      <c r="G1055" s="9">
        <v>78000</v>
      </c>
      <c r="H1055" s="9">
        <v>69026.55</v>
      </c>
      <c r="I1055" s="9">
        <v>8973.4500000000007</v>
      </c>
      <c r="J1055" s="7">
        <v>45928</v>
      </c>
      <c r="K1055" s="8" t="str">
        <f t="shared" si="49"/>
        <v/>
      </c>
      <c r="L1055" s="8" t="str">
        <f t="shared" si="50"/>
        <v/>
      </c>
      <c r="M1055" s="8">
        <f t="shared" si="48"/>
        <v>26</v>
      </c>
      <c r="N1055" s="6" t="s">
        <v>26</v>
      </c>
    </row>
    <row r="1056" spans="1:14" x14ac:dyDescent="0.2">
      <c r="A1056" s="6" t="s">
        <v>790</v>
      </c>
      <c r="B1056" s="6" t="s">
        <v>791</v>
      </c>
      <c r="C1056" s="6" t="s">
        <v>33</v>
      </c>
      <c r="D1056" s="7"/>
      <c r="E1056" s="7"/>
      <c r="F1056" s="7">
        <v>45903</v>
      </c>
      <c r="G1056" s="9">
        <v>89000</v>
      </c>
      <c r="H1056" s="9">
        <v>83962.26</v>
      </c>
      <c r="I1056" s="9">
        <v>5037.74</v>
      </c>
      <c r="J1056" s="7">
        <v>45989</v>
      </c>
      <c r="K1056" s="8" t="str">
        <f t="shared" si="49"/>
        <v/>
      </c>
      <c r="L1056" s="8" t="str">
        <f t="shared" si="50"/>
        <v/>
      </c>
      <c r="M1056" s="8">
        <f t="shared" si="48"/>
        <v>86</v>
      </c>
      <c r="N1056" s="6" t="s">
        <v>26</v>
      </c>
    </row>
    <row r="1057" spans="1:14" x14ac:dyDescent="0.2">
      <c r="A1057" s="6" t="s">
        <v>223</v>
      </c>
      <c r="B1057" s="6" t="s">
        <v>792</v>
      </c>
      <c r="C1057" s="6" t="s">
        <v>20</v>
      </c>
      <c r="D1057" s="7"/>
      <c r="E1057" s="7"/>
      <c r="F1057" s="7">
        <v>45908</v>
      </c>
      <c r="G1057" s="9">
        <v>25390</v>
      </c>
      <c r="H1057" s="9">
        <v>22469.03</v>
      </c>
      <c r="I1057" s="9">
        <v>2920.97</v>
      </c>
      <c r="J1057" s="7"/>
      <c r="K1057" s="8" t="str">
        <f t="shared" si="49"/>
        <v/>
      </c>
      <c r="L1057" s="8" t="str">
        <f t="shared" si="50"/>
        <v/>
      </c>
      <c r="M1057" s="8" t="str">
        <f t="shared" si="48"/>
        <v/>
      </c>
      <c r="N1057" s="6" t="s">
        <v>21</v>
      </c>
    </row>
    <row r="1058" spans="1:14" x14ac:dyDescent="0.2">
      <c r="A1058" s="6" t="s">
        <v>223</v>
      </c>
      <c r="B1058" s="6" t="s">
        <v>793</v>
      </c>
      <c r="C1058" s="6" t="s">
        <v>20</v>
      </c>
      <c r="D1058" s="7"/>
      <c r="E1058" s="7"/>
      <c r="F1058" s="7">
        <v>45908</v>
      </c>
      <c r="G1058" s="9">
        <v>102103.2</v>
      </c>
      <c r="H1058" s="9">
        <v>90356.81</v>
      </c>
      <c r="I1058" s="9">
        <v>11746.39</v>
      </c>
      <c r="J1058" s="7"/>
      <c r="K1058" s="8" t="str">
        <f t="shared" si="49"/>
        <v/>
      </c>
      <c r="L1058" s="8" t="str">
        <f t="shared" si="50"/>
        <v/>
      </c>
      <c r="M1058" s="8" t="str">
        <f t="shared" si="48"/>
        <v/>
      </c>
      <c r="N1058" s="6" t="s">
        <v>21</v>
      </c>
    </row>
    <row r="1059" spans="1:14" x14ac:dyDescent="0.2">
      <c r="A1059" s="6" t="s">
        <v>502</v>
      </c>
      <c r="B1059" s="6" t="s">
        <v>503</v>
      </c>
      <c r="C1059" s="6" t="s">
        <v>20</v>
      </c>
      <c r="D1059" s="7"/>
      <c r="E1059" s="7"/>
      <c r="F1059" s="7">
        <v>45908</v>
      </c>
      <c r="G1059" s="9">
        <v>6745</v>
      </c>
      <c r="H1059" s="9">
        <v>5969.03</v>
      </c>
      <c r="I1059" s="9">
        <v>775.97</v>
      </c>
      <c r="J1059" s="7">
        <v>45959</v>
      </c>
      <c r="K1059" s="8" t="str">
        <f t="shared" si="49"/>
        <v/>
      </c>
      <c r="L1059" s="8" t="str">
        <f t="shared" si="50"/>
        <v/>
      </c>
      <c r="M1059" s="8">
        <f t="shared" si="48"/>
        <v>51</v>
      </c>
      <c r="N1059" s="6" t="s">
        <v>26</v>
      </c>
    </row>
    <row r="1060" spans="1:14" x14ac:dyDescent="0.2">
      <c r="A1060" s="6" t="s">
        <v>502</v>
      </c>
      <c r="B1060" s="6" t="s">
        <v>504</v>
      </c>
      <c r="C1060" s="6" t="s">
        <v>20</v>
      </c>
      <c r="D1060" s="7"/>
      <c r="E1060" s="7"/>
      <c r="F1060" s="7">
        <v>45908</v>
      </c>
      <c r="G1060" s="9">
        <v>13550</v>
      </c>
      <c r="H1060" s="9">
        <v>11991.15</v>
      </c>
      <c r="I1060" s="9">
        <v>1558.85</v>
      </c>
      <c r="J1060" s="7">
        <v>45959</v>
      </c>
      <c r="K1060" s="8" t="str">
        <f t="shared" si="49"/>
        <v/>
      </c>
      <c r="L1060" s="8" t="str">
        <f t="shared" si="50"/>
        <v/>
      </c>
      <c r="M1060" s="8">
        <f t="shared" si="48"/>
        <v>51</v>
      </c>
      <c r="N1060" s="6" t="s">
        <v>26</v>
      </c>
    </row>
    <row r="1061" spans="1:14" x14ac:dyDescent="0.2">
      <c r="A1061" s="6" t="s">
        <v>417</v>
      </c>
      <c r="B1061" s="6" t="s">
        <v>794</v>
      </c>
      <c r="C1061" s="6" t="s">
        <v>20</v>
      </c>
      <c r="D1061" s="7"/>
      <c r="E1061" s="7"/>
      <c r="F1061" s="7">
        <v>45908</v>
      </c>
      <c r="G1061" s="9">
        <v>738009</v>
      </c>
      <c r="H1061" s="9">
        <v>653105.31000000006</v>
      </c>
      <c r="I1061" s="9">
        <v>84903.69</v>
      </c>
      <c r="J1061" s="7"/>
      <c r="K1061" s="8" t="str">
        <f t="shared" si="49"/>
        <v/>
      </c>
      <c r="L1061" s="8" t="str">
        <f t="shared" si="50"/>
        <v/>
      </c>
      <c r="M1061" s="8" t="str">
        <f t="shared" si="48"/>
        <v/>
      </c>
      <c r="N1061" s="6" t="s">
        <v>21</v>
      </c>
    </row>
    <row r="1062" spans="1:14" x14ac:dyDescent="0.2">
      <c r="A1062" s="6" t="s">
        <v>605</v>
      </c>
      <c r="B1062" s="6" t="s">
        <v>795</v>
      </c>
      <c r="C1062" s="6" t="s">
        <v>20</v>
      </c>
      <c r="D1062" s="7"/>
      <c r="E1062" s="7"/>
      <c r="F1062" s="7">
        <v>45910</v>
      </c>
      <c r="G1062" s="9">
        <v>30000</v>
      </c>
      <c r="H1062" s="9">
        <v>26548.67</v>
      </c>
      <c r="I1062" s="9">
        <v>3451.33</v>
      </c>
      <c r="J1062" s="7">
        <v>45919</v>
      </c>
      <c r="K1062" s="8" t="str">
        <f t="shared" si="49"/>
        <v/>
      </c>
      <c r="L1062" s="8" t="str">
        <f t="shared" si="50"/>
        <v/>
      </c>
      <c r="M1062" s="8">
        <f t="shared" si="48"/>
        <v>9</v>
      </c>
      <c r="N1062" s="6" t="s">
        <v>26</v>
      </c>
    </row>
    <row r="1063" spans="1:14" x14ac:dyDescent="0.2">
      <c r="A1063" s="6" t="s">
        <v>425</v>
      </c>
      <c r="B1063" s="6" t="s">
        <v>796</v>
      </c>
      <c r="C1063" s="6" t="s">
        <v>20</v>
      </c>
      <c r="D1063" s="7"/>
      <c r="E1063" s="7"/>
      <c r="F1063" s="7">
        <v>45910</v>
      </c>
      <c r="G1063" s="9">
        <v>284719</v>
      </c>
      <c r="H1063" s="9">
        <v>261210.09</v>
      </c>
      <c r="I1063" s="9">
        <v>23508.91</v>
      </c>
      <c r="J1063" s="7">
        <v>45925</v>
      </c>
      <c r="K1063" s="8" t="str">
        <f t="shared" si="49"/>
        <v/>
      </c>
      <c r="L1063" s="8" t="str">
        <f t="shared" si="50"/>
        <v/>
      </c>
      <c r="M1063" s="8">
        <f t="shared" si="48"/>
        <v>15</v>
      </c>
      <c r="N1063" s="6" t="s">
        <v>26</v>
      </c>
    </row>
    <row r="1064" spans="1:14" x14ac:dyDescent="0.2">
      <c r="A1064" s="6" t="s">
        <v>425</v>
      </c>
      <c r="B1064" s="6" t="s">
        <v>797</v>
      </c>
      <c r="C1064" s="6" t="s">
        <v>20</v>
      </c>
      <c r="D1064" s="7"/>
      <c r="E1064" s="7"/>
      <c r="F1064" s="7">
        <v>45910</v>
      </c>
      <c r="G1064" s="9">
        <v>161797</v>
      </c>
      <c r="H1064" s="9">
        <v>148437.60999999999</v>
      </c>
      <c r="I1064" s="9">
        <v>13359.39</v>
      </c>
      <c r="J1064" s="7">
        <v>45925</v>
      </c>
      <c r="K1064" s="8" t="str">
        <f t="shared" si="49"/>
        <v/>
      </c>
      <c r="L1064" s="8" t="str">
        <f t="shared" si="50"/>
        <v/>
      </c>
      <c r="M1064" s="8">
        <f t="shared" si="48"/>
        <v>15</v>
      </c>
      <c r="N1064" s="6" t="s">
        <v>26</v>
      </c>
    </row>
    <row r="1065" spans="1:14" x14ac:dyDescent="0.2">
      <c r="A1065" s="6" t="s">
        <v>798</v>
      </c>
      <c r="B1065" s="6" t="s">
        <v>799</v>
      </c>
      <c r="C1065" s="6" t="s">
        <v>355</v>
      </c>
      <c r="D1065" s="7"/>
      <c r="E1065" s="7"/>
      <c r="F1065" s="7">
        <v>45918</v>
      </c>
      <c r="G1065" s="9">
        <v>10000</v>
      </c>
      <c r="H1065" s="9">
        <v>9900.99</v>
      </c>
      <c r="I1065" s="9">
        <v>99.01</v>
      </c>
      <c r="J1065" s="7">
        <v>45930</v>
      </c>
      <c r="K1065" s="8" t="str">
        <f t="shared" si="49"/>
        <v/>
      </c>
      <c r="L1065" s="8" t="str">
        <f t="shared" si="50"/>
        <v/>
      </c>
      <c r="M1065" s="8">
        <f t="shared" si="48"/>
        <v>12</v>
      </c>
      <c r="N1065" s="6" t="s">
        <v>26</v>
      </c>
    </row>
    <row r="1066" spans="1:14" x14ac:dyDescent="0.2">
      <c r="A1066" s="6" t="s">
        <v>681</v>
      </c>
      <c r="B1066" s="6" t="s">
        <v>800</v>
      </c>
      <c r="C1066" s="6" t="s">
        <v>355</v>
      </c>
      <c r="D1066" s="7"/>
      <c r="E1066" s="7"/>
      <c r="F1066" s="7">
        <v>45918</v>
      </c>
      <c r="G1066" s="9">
        <v>7292.03</v>
      </c>
      <c r="H1066" s="9">
        <v>7219.83</v>
      </c>
      <c r="I1066" s="9">
        <v>72.2</v>
      </c>
      <c r="J1066" s="7">
        <v>45922</v>
      </c>
      <c r="K1066" s="8" t="str">
        <f t="shared" si="49"/>
        <v/>
      </c>
      <c r="L1066" s="8" t="str">
        <f t="shared" si="50"/>
        <v/>
      </c>
      <c r="M1066" s="8">
        <f t="shared" si="48"/>
        <v>4</v>
      </c>
      <c r="N1066" s="6" t="s">
        <v>26</v>
      </c>
    </row>
    <row r="1067" spans="1:14" x14ac:dyDescent="0.2">
      <c r="A1067" s="6" t="s">
        <v>425</v>
      </c>
      <c r="B1067" s="6" t="s">
        <v>801</v>
      </c>
      <c r="C1067" s="6" t="s">
        <v>652</v>
      </c>
      <c r="D1067" s="7"/>
      <c r="E1067" s="7"/>
      <c r="F1067" s="7">
        <v>45923</v>
      </c>
      <c r="G1067" s="9">
        <v>728893</v>
      </c>
      <c r="H1067" s="9">
        <v>668709.17000000004</v>
      </c>
      <c r="I1067" s="9">
        <v>60183.83</v>
      </c>
      <c r="J1067" s="7">
        <v>45925</v>
      </c>
      <c r="K1067" s="8" t="str">
        <f t="shared" si="49"/>
        <v/>
      </c>
      <c r="L1067" s="8" t="str">
        <f t="shared" si="50"/>
        <v/>
      </c>
      <c r="M1067" s="8">
        <f t="shared" si="48"/>
        <v>2</v>
      </c>
      <c r="N1067" s="6" t="s">
        <v>26</v>
      </c>
    </row>
    <row r="1068" spans="1:14" x14ac:dyDescent="0.2">
      <c r="A1068" s="6" t="s">
        <v>145</v>
      </c>
      <c r="B1068" s="6" t="s">
        <v>802</v>
      </c>
      <c r="C1068" s="6" t="s">
        <v>20</v>
      </c>
      <c r="D1068" s="7"/>
      <c r="E1068" s="7"/>
      <c r="F1068" s="7">
        <v>45923</v>
      </c>
      <c r="G1068" s="9">
        <v>70465</v>
      </c>
      <c r="H1068" s="9">
        <v>62358.41</v>
      </c>
      <c r="I1068" s="9">
        <v>8106.59</v>
      </c>
      <c r="J1068" s="7">
        <v>46013</v>
      </c>
      <c r="K1068" s="8" t="str">
        <f t="shared" si="49"/>
        <v/>
      </c>
      <c r="L1068" s="8" t="str">
        <f t="shared" si="50"/>
        <v/>
      </c>
      <c r="M1068" s="8">
        <f t="shared" si="48"/>
        <v>90</v>
      </c>
      <c r="N1068" s="6" t="s">
        <v>26</v>
      </c>
    </row>
    <row r="1069" spans="1:14" x14ac:dyDescent="0.2">
      <c r="A1069" s="6" t="s">
        <v>798</v>
      </c>
      <c r="B1069" s="6" t="s">
        <v>803</v>
      </c>
      <c r="C1069" s="6" t="s">
        <v>355</v>
      </c>
      <c r="D1069" s="7"/>
      <c r="E1069" s="7"/>
      <c r="F1069" s="7">
        <v>45923</v>
      </c>
      <c r="G1069" s="9">
        <v>65000</v>
      </c>
      <c r="H1069" s="9">
        <v>64356.44</v>
      </c>
      <c r="I1069" s="9">
        <v>643.55999999999995</v>
      </c>
      <c r="J1069" s="7">
        <v>45930</v>
      </c>
      <c r="K1069" s="8" t="str">
        <f t="shared" si="49"/>
        <v/>
      </c>
      <c r="L1069" s="8" t="str">
        <f t="shared" si="50"/>
        <v/>
      </c>
      <c r="M1069" s="8">
        <f t="shared" si="48"/>
        <v>7</v>
      </c>
      <c r="N1069" s="6" t="s">
        <v>26</v>
      </c>
    </row>
    <row r="1070" spans="1:14" x14ac:dyDescent="0.2">
      <c r="A1070" s="6" t="s">
        <v>425</v>
      </c>
      <c r="B1070" s="6" t="s">
        <v>705</v>
      </c>
      <c r="C1070" s="6" t="s">
        <v>652</v>
      </c>
      <c r="D1070" s="7"/>
      <c r="E1070" s="7"/>
      <c r="F1070" s="7">
        <v>45923</v>
      </c>
      <c r="G1070" s="9">
        <v>228758</v>
      </c>
      <c r="H1070" s="9">
        <v>209869.72</v>
      </c>
      <c r="I1070" s="9">
        <v>18888.28</v>
      </c>
      <c r="J1070" s="7">
        <v>45925</v>
      </c>
      <c r="K1070" s="8" t="str">
        <f t="shared" si="49"/>
        <v/>
      </c>
      <c r="L1070" s="8" t="str">
        <f t="shared" si="50"/>
        <v/>
      </c>
      <c r="M1070" s="8">
        <f t="shared" si="48"/>
        <v>2</v>
      </c>
      <c r="N1070" s="6" t="s">
        <v>26</v>
      </c>
    </row>
    <row r="1071" spans="1:14" x14ac:dyDescent="0.2">
      <c r="A1071" s="6" t="s">
        <v>502</v>
      </c>
      <c r="B1071" s="6" t="s">
        <v>804</v>
      </c>
      <c r="C1071" s="6" t="s">
        <v>20</v>
      </c>
      <c r="D1071" s="7"/>
      <c r="E1071" s="7"/>
      <c r="F1071" s="7">
        <v>45926</v>
      </c>
      <c r="G1071" s="9">
        <v>85073</v>
      </c>
      <c r="H1071" s="9">
        <v>75285.84</v>
      </c>
      <c r="I1071" s="9">
        <v>9787.16</v>
      </c>
      <c r="J1071" s="7">
        <v>45959</v>
      </c>
      <c r="K1071" s="8" t="str">
        <f t="shared" si="49"/>
        <v/>
      </c>
      <c r="L1071" s="8" t="str">
        <f t="shared" si="50"/>
        <v/>
      </c>
      <c r="M1071" s="8">
        <f t="shared" si="48"/>
        <v>33</v>
      </c>
      <c r="N1071" s="6" t="s">
        <v>26</v>
      </c>
    </row>
    <row r="1072" spans="1:14" x14ac:dyDescent="0.2">
      <c r="A1072" s="6" t="s">
        <v>734</v>
      </c>
      <c r="B1072" s="6" t="s">
        <v>773</v>
      </c>
      <c r="C1072" s="6" t="s">
        <v>20</v>
      </c>
      <c r="D1072" s="7"/>
      <c r="E1072" s="7"/>
      <c r="F1072" s="7">
        <v>45929</v>
      </c>
      <c r="G1072" s="9">
        <v>-78000</v>
      </c>
      <c r="H1072" s="9">
        <v>-69026.55</v>
      </c>
      <c r="I1072" s="9">
        <v>-8973.4500000000007</v>
      </c>
      <c r="J1072" s="7"/>
      <c r="K1072" s="8" t="str">
        <f t="shared" si="49"/>
        <v/>
      </c>
      <c r="L1072" s="8" t="str">
        <f t="shared" si="50"/>
        <v/>
      </c>
      <c r="M1072" s="8" t="str">
        <f t="shared" si="48"/>
        <v/>
      </c>
      <c r="N1072" s="6" t="s">
        <v>21</v>
      </c>
    </row>
    <row r="1073" spans="1:14" x14ac:dyDescent="0.2">
      <c r="A1073" s="6" t="s">
        <v>697</v>
      </c>
      <c r="C1073" s="6" t="s">
        <v>20</v>
      </c>
      <c r="D1073" s="7"/>
      <c r="E1073" s="7"/>
      <c r="F1073" s="7">
        <v>45929</v>
      </c>
      <c r="G1073" s="9">
        <v>293800</v>
      </c>
      <c r="H1073" s="9">
        <v>260000</v>
      </c>
      <c r="I1073" s="9">
        <v>33800</v>
      </c>
      <c r="J1073" s="7"/>
      <c r="K1073" s="8" t="str">
        <f t="shared" si="49"/>
        <v/>
      </c>
      <c r="L1073" s="8" t="str">
        <f t="shared" si="50"/>
        <v/>
      </c>
      <c r="M1073" s="8" t="str">
        <f t="shared" si="48"/>
        <v/>
      </c>
      <c r="N1073" s="6" t="s">
        <v>21</v>
      </c>
    </row>
    <row r="1074" spans="1:14" x14ac:dyDescent="0.2">
      <c r="A1074" s="6" t="s">
        <v>697</v>
      </c>
      <c r="C1074" s="6" t="s">
        <v>20</v>
      </c>
      <c r="D1074" s="7"/>
      <c r="E1074" s="7"/>
      <c r="F1074" s="7">
        <v>45929</v>
      </c>
      <c r="G1074" s="9">
        <v>226000</v>
      </c>
      <c r="H1074" s="9">
        <v>200000</v>
      </c>
      <c r="I1074" s="9">
        <v>26000</v>
      </c>
      <c r="J1074" s="7"/>
      <c r="K1074" s="8" t="str">
        <f t="shared" si="49"/>
        <v/>
      </c>
      <c r="L1074" s="8" t="str">
        <f t="shared" si="50"/>
        <v/>
      </c>
      <c r="M1074" s="8" t="str">
        <f t="shared" si="48"/>
        <v/>
      </c>
      <c r="N1074" s="6" t="s">
        <v>21</v>
      </c>
    </row>
    <row r="1075" spans="1:14" x14ac:dyDescent="0.2">
      <c r="A1075" s="6" t="s">
        <v>697</v>
      </c>
      <c r="C1075" s="6" t="s">
        <v>20</v>
      </c>
      <c r="D1075" s="7"/>
      <c r="E1075" s="7"/>
      <c r="F1075" s="7">
        <v>45929</v>
      </c>
      <c r="G1075" s="9">
        <v>400020</v>
      </c>
      <c r="H1075" s="9">
        <v>354000</v>
      </c>
      <c r="I1075" s="9">
        <v>46020</v>
      </c>
      <c r="J1075" s="7"/>
      <c r="K1075" s="8" t="str">
        <f t="shared" si="49"/>
        <v/>
      </c>
      <c r="L1075" s="8" t="str">
        <f t="shared" si="50"/>
        <v/>
      </c>
      <c r="M1075" s="8" t="str">
        <f t="shared" si="48"/>
        <v/>
      </c>
      <c r="N1075" s="6" t="s">
        <v>21</v>
      </c>
    </row>
    <row r="1076" spans="1:14" x14ac:dyDescent="0.2">
      <c r="A1076" s="6" t="s">
        <v>697</v>
      </c>
      <c r="C1076" s="6" t="s">
        <v>20</v>
      </c>
      <c r="D1076" s="7"/>
      <c r="E1076" s="7"/>
      <c r="F1076" s="7">
        <v>45929</v>
      </c>
      <c r="G1076" s="9">
        <v>203400</v>
      </c>
      <c r="H1076" s="9">
        <v>180000</v>
      </c>
      <c r="I1076" s="9">
        <v>23400</v>
      </c>
      <c r="J1076" s="7"/>
      <c r="K1076" s="8" t="str">
        <f t="shared" si="49"/>
        <v/>
      </c>
      <c r="L1076" s="8" t="str">
        <f t="shared" si="50"/>
        <v/>
      </c>
      <c r="M1076" s="8" t="str">
        <f t="shared" si="48"/>
        <v/>
      </c>
      <c r="N1076" s="6" t="s">
        <v>21</v>
      </c>
    </row>
    <row r="1077" spans="1:14" x14ac:dyDescent="0.2">
      <c r="A1077" s="6" t="s">
        <v>600</v>
      </c>
      <c r="C1077" s="6" t="s">
        <v>20</v>
      </c>
      <c r="D1077" s="7"/>
      <c r="E1077" s="7"/>
      <c r="F1077" s="7">
        <v>45929</v>
      </c>
      <c r="G1077" s="9">
        <v>306230</v>
      </c>
      <c r="H1077" s="9">
        <v>271000</v>
      </c>
      <c r="I1077" s="9">
        <v>35230</v>
      </c>
      <c r="J1077" s="7"/>
      <c r="K1077" s="8" t="str">
        <f t="shared" si="49"/>
        <v/>
      </c>
      <c r="L1077" s="8" t="str">
        <f t="shared" si="50"/>
        <v/>
      </c>
      <c r="M1077" s="8" t="str">
        <f t="shared" si="48"/>
        <v/>
      </c>
      <c r="N1077" s="6" t="s">
        <v>21</v>
      </c>
    </row>
    <row r="1078" spans="1:14" x14ac:dyDescent="0.2">
      <c r="A1078" s="6" t="s">
        <v>600</v>
      </c>
      <c r="C1078" s="6" t="s">
        <v>20</v>
      </c>
      <c r="D1078" s="7"/>
      <c r="E1078" s="7"/>
      <c r="F1078" s="7">
        <v>45929</v>
      </c>
      <c r="G1078" s="9">
        <v>344650</v>
      </c>
      <c r="H1078" s="9">
        <v>305000</v>
      </c>
      <c r="I1078" s="9">
        <v>39650</v>
      </c>
      <c r="J1078" s="7"/>
      <c r="K1078" s="8" t="str">
        <f t="shared" si="49"/>
        <v/>
      </c>
      <c r="L1078" s="8" t="str">
        <f t="shared" si="50"/>
        <v/>
      </c>
      <c r="M1078" s="8" t="str">
        <f t="shared" si="48"/>
        <v/>
      </c>
      <c r="N1078" s="6" t="s">
        <v>21</v>
      </c>
    </row>
    <row r="1079" spans="1:14" x14ac:dyDescent="0.2">
      <c r="A1079" s="6" t="s">
        <v>600</v>
      </c>
      <c r="C1079" s="6" t="s">
        <v>20</v>
      </c>
      <c r="D1079" s="7"/>
      <c r="E1079" s="7"/>
      <c r="F1079" s="7">
        <v>45929</v>
      </c>
      <c r="G1079" s="9">
        <v>178540</v>
      </c>
      <c r="H1079" s="9">
        <v>158000</v>
      </c>
      <c r="I1079" s="9">
        <v>20540</v>
      </c>
      <c r="J1079" s="7"/>
      <c r="K1079" s="8" t="str">
        <f t="shared" si="49"/>
        <v/>
      </c>
      <c r="L1079" s="8" t="str">
        <f t="shared" si="50"/>
        <v/>
      </c>
      <c r="M1079" s="8" t="str">
        <f t="shared" si="48"/>
        <v/>
      </c>
      <c r="N1079" s="6" t="s">
        <v>21</v>
      </c>
    </row>
    <row r="1080" spans="1:14" x14ac:dyDescent="0.2">
      <c r="A1080" s="6" t="s">
        <v>600</v>
      </c>
      <c r="C1080" s="6" t="s">
        <v>20</v>
      </c>
      <c r="D1080" s="7"/>
      <c r="E1080" s="7"/>
      <c r="F1080" s="7">
        <v>45929</v>
      </c>
      <c r="G1080" s="9">
        <v>452000</v>
      </c>
      <c r="H1080" s="9">
        <v>400000</v>
      </c>
      <c r="I1080" s="9">
        <v>52000</v>
      </c>
      <c r="J1080" s="7"/>
      <c r="K1080" s="8" t="str">
        <f t="shared" si="49"/>
        <v/>
      </c>
      <c r="L1080" s="8" t="str">
        <f t="shared" si="50"/>
        <v/>
      </c>
      <c r="M1080" s="8" t="str">
        <f t="shared" si="48"/>
        <v/>
      </c>
      <c r="N1080" s="6" t="s">
        <v>21</v>
      </c>
    </row>
    <row r="1081" spans="1:14" x14ac:dyDescent="0.2">
      <c r="A1081" s="6" t="s">
        <v>600</v>
      </c>
      <c r="C1081" s="6" t="s">
        <v>20</v>
      </c>
      <c r="D1081" s="7"/>
      <c r="E1081" s="7"/>
      <c r="F1081" s="7">
        <v>45929</v>
      </c>
      <c r="G1081" s="9">
        <v>361600</v>
      </c>
      <c r="H1081" s="9">
        <v>320000</v>
      </c>
      <c r="I1081" s="9">
        <v>41600</v>
      </c>
      <c r="J1081" s="7"/>
      <c r="K1081" s="8" t="str">
        <f t="shared" si="49"/>
        <v/>
      </c>
      <c r="L1081" s="8" t="str">
        <f t="shared" si="50"/>
        <v/>
      </c>
      <c r="M1081" s="8" t="str">
        <f t="shared" si="48"/>
        <v/>
      </c>
      <c r="N1081" s="6" t="s">
        <v>21</v>
      </c>
    </row>
    <row r="1082" spans="1:14" x14ac:dyDescent="0.2">
      <c r="A1082" s="6" t="s">
        <v>600</v>
      </c>
      <c r="C1082" s="6" t="s">
        <v>20</v>
      </c>
      <c r="D1082" s="7"/>
      <c r="E1082" s="7"/>
      <c r="F1082" s="7">
        <v>45929</v>
      </c>
      <c r="G1082" s="9">
        <v>318660</v>
      </c>
      <c r="H1082" s="9">
        <v>282000</v>
      </c>
      <c r="I1082" s="9">
        <v>36660</v>
      </c>
      <c r="J1082" s="7"/>
      <c r="K1082" s="8" t="str">
        <f t="shared" si="49"/>
        <v/>
      </c>
      <c r="L1082" s="8" t="str">
        <f t="shared" si="50"/>
        <v/>
      </c>
      <c r="M1082" s="8" t="str">
        <f t="shared" si="48"/>
        <v/>
      </c>
      <c r="N1082" s="6" t="s">
        <v>21</v>
      </c>
    </row>
    <row r="1083" spans="1:14" x14ac:dyDescent="0.2">
      <c r="A1083" s="6" t="s">
        <v>600</v>
      </c>
      <c r="C1083" s="6" t="s">
        <v>20</v>
      </c>
      <c r="D1083" s="7"/>
      <c r="E1083" s="7"/>
      <c r="F1083" s="7">
        <v>45929</v>
      </c>
      <c r="G1083" s="9">
        <v>531100</v>
      </c>
      <c r="H1083" s="9">
        <v>470000</v>
      </c>
      <c r="I1083" s="9">
        <v>61100</v>
      </c>
      <c r="J1083" s="7"/>
      <c r="K1083" s="8" t="str">
        <f t="shared" si="49"/>
        <v/>
      </c>
      <c r="L1083" s="8" t="str">
        <f t="shared" si="50"/>
        <v/>
      </c>
      <c r="M1083" s="8" t="str">
        <f t="shared" si="48"/>
        <v/>
      </c>
      <c r="N1083" s="6" t="s">
        <v>21</v>
      </c>
    </row>
    <row r="1084" spans="1:14" x14ac:dyDescent="0.2">
      <c r="A1084" s="6" t="s">
        <v>600</v>
      </c>
      <c r="C1084" s="6" t="s">
        <v>20</v>
      </c>
      <c r="D1084" s="7"/>
      <c r="E1084" s="7"/>
      <c r="F1084" s="7">
        <v>45929</v>
      </c>
      <c r="G1084" s="9">
        <v>339000</v>
      </c>
      <c r="H1084" s="9">
        <v>300000</v>
      </c>
      <c r="I1084" s="9">
        <v>39000</v>
      </c>
      <c r="J1084" s="7"/>
      <c r="K1084" s="8" t="str">
        <f t="shared" si="49"/>
        <v/>
      </c>
      <c r="L1084" s="8" t="str">
        <f t="shared" si="50"/>
        <v/>
      </c>
      <c r="M1084" s="8" t="str">
        <f t="shared" si="48"/>
        <v/>
      </c>
      <c r="N1084" s="6" t="s">
        <v>21</v>
      </c>
    </row>
    <row r="1085" spans="1:14" x14ac:dyDescent="0.2">
      <c r="A1085" s="6" t="s">
        <v>600</v>
      </c>
      <c r="C1085" s="6" t="s">
        <v>652</v>
      </c>
      <c r="D1085" s="7"/>
      <c r="E1085" s="7"/>
      <c r="F1085" s="7">
        <v>45929</v>
      </c>
      <c r="G1085" s="9">
        <v>201818</v>
      </c>
      <c r="H1085" s="9">
        <v>178600</v>
      </c>
      <c r="I1085" s="9">
        <v>23218</v>
      </c>
      <c r="J1085" s="7"/>
      <c r="K1085" s="8" t="str">
        <f t="shared" si="49"/>
        <v/>
      </c>
      <c r="L1085" s="8" t="str">
        <f t="shared" si="50"/>
        <v/>
      </c>
      <c r="M1085" s="8" t="str">
        <f t="shared" si="48"/>
        <v/>
      </c>
      <c r="N1085" s="6" t="s">
        <v>21</v>
      </c>
    </row>
    <row r="1086" spans="1:14" x14ac:dyDescent="0.2">
      <c r="A1086" s="6" t="s">
        <v>600</v>
      </c>
      <c r="C1086" s="6" t="s">
        <v>652</v>
      </c>
      <c r="D1086" s="7"/>
      <c r="E1086" s="7"/>
      <c r="F1086" s="7">
        <v>45929</v>
      </c>
      <c r="G1086" s="9">
        <v>241820</v>
      </c>
      <c r="H1086" s="9">
        <v>214000</v>
      </c>
      <c r="I1086" s="9">
        <v>27820</v>
      </c>
      <c r="J1086" s="7"/>
      <c r="K1086" s="8" t="str">
        <f t="shared" si="49"/>
        <v/>
      </c>
      <c r="L1086" s="8" t="str">
        <f t="shared" si="50"/>
        <v/>
      </c>
      <c r="M1086" s="8" t="str">
        <f t="shared" si="48"/>
        <v/>
      </c>
      <c r="N1086" s="6" t="s">
        <v>21</v>
      </c>
    </row>
    <row r="1087" spans="1:14" x14ac:dyDescent="0.2">
      <c r="A1087" s="6" t="s">
        <v>600</v>
      </c>
      <c r="C1087" s="6" t="s">
        <v>652</v>
      </c>
      <c r="D1087" s="7"/>
      <c r="E1087" s="7"/>
      <c r="F1087" s="7">
        <v>45929</v>
      </c>
      <c r="G1087" s="9">
        <v>412473.73</v>
      </c>
      <c r="H1087" s="9">
        <v>365021</v>
      </c>
      <c r="I1087" s="9">
        <v>47452.73</v>
      </c>
      <c r="J1087" s="7"/>
      <c r="K1087" s="8" t="str">
        <f t="shared" si="49"/>
        <v/>
      </c>
      <c r="L1087" s="8" t="str">
        <f t="shared" si="50"/>
        <v/>
      </c>
      <c r="M1087" s="8" t="str">
        <f t="shared" si="48"/>
        <v/>
      </c>
      <c r="N1087" s="6" t="s">
        <v>21</v>
      </c>
    </row>
    <row r="1088" spans="1:14" x14ac:dyDescent="0.2">
      <c r="A1088" s="6" t="s">
        <v>600</v>
      </c>
      <c r="C1088" s="6" t="s">
        <v>652</v>
      </c>
      <c r="D1088" s="7"/>
      <c r="E1088" s="7"/>
      <c r="F1088" s="7">
        <v>45929</v>
      </c>
      <c r="G1088" s="9">
        <v>274590</v>
      </c>
      <c r="H1088" s="9">
        <v>243000</v>
      </c>
      <c r="I1088" s="9">
        <v>31590</v>
      </c>
      <c r="J1088" s="7"/>
      <c r="K1088" s="8" t="str">
        <f t="shared" si="49"/>
        <v/>
      </c>
      <c r="L1088" s="8" t="str">
        <f t="shared" si="50"/>
        <v/>
      </c>
      <c r="M1088" s="8" t="str">
        <f t="shared" si="48"/>
        <v/>
      </c>
      <c r="N1088" s="6" t="s">
        <v>21</v>
      </c>
    </row>
    <row r="1089" spans="1:14" x14ac:dyDescent="0.2">
      <c r="A1089" s="6" t="s">
        <v>600</v>
      </c>
      <c r="C1089" s="6" t="s">
        <v>652</v>
      </c>
      <c r="D1089" s="7"/>
      <c r="E1089" s="7"/>
      <c r="F1089" s="7">
        <v>45929</v>
      </c>
      <c r="G1089" s="9">
        <v>245210</v>
      </c>
      <c r="H1089" s="9">
        <v>217000</v>
      </c>
      <c r="I1089" s="9">
        <v>28210</v>
      </c>
      <c r="J1089" s="7"/>
      <c r="K1089" s="8" t="str">
        <f t="shared" si="49"/>
        <v/>
      </c>
      <c r="L1089" s="8" t="str">
        <f t="shared" si="50"/>
        <v/>
      </c>
      <c r="M1089" s="8" t="str">
        <f t="shared" si="48"/>
        <v/>
      </c>
      <c r="N1089" s="6" t="s">
        <v>21</v>
      </c>
    </row>
    <row r="1090" spans="1:14" x14ac:dyDescent="0.2">
      <c r="A1090" s="6" t="s">
        <v>600</v>
      </c>
      <c r="C1090" s="6" t="s">
        <v>652</v>
      </c>
      <c r="D1090" s="7"/>
      <c r="E1090" s="7"/>
      <c r="F1090" s="7">
        <v>45929</v>
      </c>
      <c r="G1090" s="9">
        <v>457650</v>
      </c>
      <c r="H1090" s="9">
        <v>405000</v>
      </c>
      <c r="I1090" s="9">
        <v>52650</v>
      </c>
      <c r="J1090" s="7"/>
      <c r="K1090" s="8" t="str">
        <f t="shared" si="49"/>
        <v/>
      </c>
      <c r="L1090" s="8" t="str">
        <f t="shared" si="50"/>
        <v/>
      </c>
      <c r="M1090" s="8" t="str">
        <f t="shared" ref="M1090:M1153" si="51">IF(OR($F1090="", $J1090=""),"", $J1090-$F1090)</f>
        <v/>
      </c>
      <c r="N1090" s="6" t="s">
        <v>21</v>
      </c>
    </row>
    <row r="1091" spans="1:14" x14ac:dyDescent="0.2">
      <c r="A1091" s="6" t="s">
        <v>600</v>
      </c>
      <c r="C1091" s="6" t="s">
        <v>652</v>
      </c>
      <c r="D1091" s="7"/>
      <c r="E1091" s="7"/>
      <c r="F1091" s="7">
        <v>45929</v>
      </c>
      <c r="G1091" s="9">
        <v>362730</v>
      </c>
      <c r="H1091" s="9">
        <v>321000</v>
      </c>
      <c r="I1091" s="9">
        <v>41730</v>
      </c>
      <c r="J1091" s="7"/>
      <c r="K1091" s="8" t="str">
        <f t="shared" ref="K1091:K1154" si="52">IF(OR($D1091="", $F1091=""),"", $E1091-$D1091)</f>
        <v/>
      </c>
      <c r="L1091" s="8" t="str">
        <f t="shared" ref="L1091:L1154" si="53">IF(OR($D1091="", $F1091=""),"", $F1091-$E1091)</f>
        <v/>
      </c>
      <c r="M1091" s="8" t="str">
        <f t="shared" si="51"/>
        <v/>
      </c>
      <c r="N1091" s="6" t="s">
        <v>21</v>
      </c>
    </row>
    <row r="1092" spans="1:14" x14ac:dyDescent="0.2">
      <c r="A1092" s="6" t="s">
        <v>600</v>
      </c>
      <c r="C1092" s="6" t="s">
        <v>652</v>
      </c>
      <c r="D1092" s="7"/>
      <c r="E1092" s="7"/>
      <c r="F1092" s="7">
        <v>45929</v>
      </c>
      <c r="G1092" s="9">
        <v>77970</v>
      </c>
      <c r="H1092" s="9">
        <v>69000</v>
      </c>
      <c r="I1092" s="9">
        <v>8970</v>
      </c>
      <c r="J1092" s="7"/>
      <c r="K1092" s="8" t="str">
        <f t="shared" si="52"/>
        <v/>
      </c>
      <c r="L1092" s="8" t="str">
        <f t="shared" si="53"/>
        <v/>
      </c>
      <c r="M1092" s="8" t="str">
        <f t="shared" si="51"/>
        <v/>
      </c>
      <c r="N1092" s="6" t="s">
        <v>21</v>
      </c>
    </row>
    <row r="1093" spans="1:14" x14ac:dyDescent="0.2">
      <c r="A1093" s="6" t="s">
        <v>558</v>
      </c>
      <c r="C1093" s="6" t="s">
        <v>33</v>
      </c>
      <c r="D1093" s="7"/>
      <c r="E1093" s="7"/>
      <c r="F1093" s="7">
        <v>45929</v>
      </c>
      <c r="G1093" s="9">
        <v>260000</v>
      </c>
      <c r="H1093" s="9">
        <v>230088.5</v>
      </c>
      <c r="I1093" s="9">
        <v>29911.5</v>
      </c>
      <c r="J1093" s="7"/>
      <c r="K1093" s="8" t="str">
        <f t="shared" si="52"/>
        <v/>
      </c>
      <c r="L1093" s="8" t="str">
        <f t="shared" si="53"/>
        <v/>
      </c>
      <c r="M1093" s="8" t="str">
        <f t="shared" si="51"/>
        <v/>
      </c>
      <c r="N1093" s="6" t="s">
        <v>21</v>
      </c>
    </row>
    <row r="1094" spans="1:14" x14ac:dyDescent="0.2">
      <c r="A1094" s="6" t="s">
        <v>558</v>
      </c>
      <c r="C1094" s="6" t="s">
        <v>33</v>
      </c>
      <c r="D1094" s="7"/>
      <c r="E1094" s="7"/>
      <c r="F1094" s="7">
        <v>45929</v>
      </c>
      <c r="G1094" s="9">
        <v>396000</v>
      </c>
      <c r="H1094" s="9">
        <v>350442.48</v>
      </c>
      <c r="I1094" s="9">
        <v>45557.52</v>
      </c>
      <c r="J1094" s="7"/>
      <c r="K1094" s="8" t="str">
        <f t="shared" si="52"/>
        <v/>
      </c>
      <c r="L1094" s="8" t="str">
        <f t="shared" si="53"/>
        <v/>
      </c>
      <c r="M1094" s="8" t="str">
        <f t="shared" si="51"/>
        <v/>
      </c>
      <c r="N1094" s="6" t="s">
        <v>21</v>
      </c>
    </row>
    <row r="1095" spans="1:14" x14ac:dyDescent="0.2">
      <c r="A1095" s="6" t="s">
        <v>558</v>
      </c>
      <c r="C1095" s="6" t="s">
        <v>33</v>
      </c>
      <c r="D1095" s="7"/>
      <c r="E1095" s="7"/>
      <c r="F1095" s="7">
        <v>45929</v>
      </c>
      <c r="G1095" s="9">
        <v>540000</v>
      </c>
      <c r="H1095" s="9">
        <v>477876.11</v>
      </c>
      <c r="I1095" s="9">
        <v>62123.89</v>
      </c>
      <c r="J1095" s="7"/>
      <c r="K1095" s="8" t="str">
        <f t="shared" si="52"/>
        <v/>
      </c>
      <c r="L1095" s="8" t="str">
        <f t="shared" si="53"/>
        <v/>
      </c>
      <c r="M1095" s="8" t="str">
        <f t="shared" si="51"/>
        <v/>
      </c>
      <c r="N1095" s="6" t="s">
        <v>21</v>
      </c>
    </row>
    <row r="1096" spans="1:14" x14ac:dyDescent="0.2">
      <c r="A1096" s="6" t="s">
        <v>558</v>
      </c>
      <c r="C1096" s="6" t="s">
        <v>33</v>
      </c>
      <c r="D1096" s="7"/>
      <c r="E1096" s="7"/>
      <c r="F1096" s="7">
        <v>45929</v>
      </c>
      <c r="G1096" s="9">
        <v>180800</v>
      </c>
      <c r="H1096" s="9">
        <v>160000</v>
      </c>
      <c r="I1096" s="9">
        <v>20800</v>
      </c>
      <c r="J1096" s="7"/>
      <c r="K1096" s="8" t="str">
        <f t="shared" si="52"/>
        <v/>
      </c>
      <c r="L1096" s="8" t="str">
        <f t="shared" si="53"/>
        <v/>
      </c>
      <c r="M1096" s="8" t="str">
        <f t="shared" si="51"/>
        <v/>
      </c>
      <c r="N1096" s="6" t="s">
        <v>21</v>
      </c>
    </row>
    <row r="1097" spans="1:14" x14ac:dyDescent="0.2">
      <c r="A1097" s="6" t="s">
        <v>558</v>
      </c>
      <c r="C1097" s="6" t="s">
        <v>33</v>
      </c>
      <c r="D1097" s="7"/>
      <c r="E1097" s="7"/>
      <c r="F1097" s="7">
        <v>45929</v>
      </c>
      <c r="G1097" s="9">
        <v>361600</v>
      </c>
      <c r="H1097" s="9">
        <v>320000</v>
      </c>
      <c r="I1097" s="9">
        <v>41600</v>
      </c>
      <c r="J1097" s="7"/>
      <c r="K1097" s="8" t="str">
        <f t="shared" si="52"/>
        <v/>
      </c>
      <c r="L1097" s="8" t="str">
        <f t="shared" si="53"/>
        <v/>
      </c>
      <c r="M1097" s="8" t="str">
        <f t="shared" si="51"/>
        <v/>
      </c>
      <c r="N1097" s="6" t="s">
        <v>21</v>
      </c>
    </row>
    <row r="1098" spans="1:14" x14ac:dyDescent="0.2">
      <c r="A1098" s="6" t="s">
        <v>558</v>
      </c>
      <c r="C1098" s="6" t="s">
        <v>33</v>
      </c>
      <c r="D1098" s="7"/>
      <c r="E1098" s="7"/>
      <c r="F1098" s="7">
        <v>45929</v>
      </c>
      <c r="G1098" s="9">
        <v>449460</v>
      </c>
      <c r="H1098" s="9">
        <v>397752.21</v>
      </c>
      <c r="I1098" s="9">
        <v>51707.79</v>
      </c>
      <c r="J1098" s="7"/>
      <c r="K1098" s="8" t="str">
        <f t="shared" si="52"/>
        <v/>
      </c>
      <c r="L1098" s="8" t="str">
        <f t="shared" si="53"/>
        <v/>
      </c>
      <c r="M1098" s="8" t="str">
        <f t="shared" si="51"/>
        <v/>
      </c>
      <c r="N1098" s="6" t="s">
        <v>21</v>
      </c>
    </row>
    <row r="1099" spans="1:14" x14ac:dyDescent="0.2">
      <c r="A1099" s="6" t="s">
        <v>558</v>
      </c>
      <c r="C1099" s="6" t="s">
        <v>33</v>
      </c>
      <c r="D1099" s="7"/>
      <c r="E1099" s="7"/>
      <c r="F1099" s="7">
        <v>45929</v>
      </c>
      <c r="G1099" s="9">
        <v>240000</v>
      </c>
      <c r="H1099" s="9">
        <v>212389.38</v>
      </c>
      <c r="I1099" s="9">
        <v>27610.62</v>
      </c>
      <c r="J1099" s="7"/>
      <c r="K1099" s="8" t="str">
        <f t="shared" si="52"/>
        <v/>
      </c>
      <c r="L1099" s="8" t="str">
        <f t="shared" si="53"/>
        <v/>
      </c>
      <c r="M1099" s="8" t="str">
        <f t="shared" si="51"/>
        <v/>
      </c>
      <c r="N1099" s="6" t="s">
        <v>21</v>
      </c>
    </row>
    <row r="1100" spans="1:14" x14ac:dyDescent="0.2">
      <c r="A1100" s="6" t="s">
        <v>558</v>
      </c>
      <c r="C1100" s="6" t="s">
        <v>33</v>
      </c>
      <c r="D1100" s="7"/>
      <c r="E1100" s="7"/>
      <c r="F1100" s="7">
        <v>45929</v>
      </c>
      <c r="G1100" s="9">
        <v>363860</v>
      </c>
      <c r="H1100" s="9">
        <v>322000</v>
      </c>
      <c r="I1100" s="9">
        <v>41860</v>
      </c>
      <c r="J1100" s="7"/>
      <c r="K1100" s="8" t="str">
        <f t="shared" si="52"/>
        <v/>
      </c>
      <c r="L1100" s="8" t="str">
        <f t="shared" si="53"/>
        <v/>
      </c>
      <c r="M1100" s="8" t="str">
        <f t="shared" si="51"/>
        <v/>
      </c>
      <c r="N1100" s="6" t="s">
        <v>21</v>
      </c>
    </row>
    <row r="1101" spans="1:14" x14ac:dyDescent="0.2">
      <c r="A1101" s="6" t="s">
        <v>558</v>
      </c>
      <c r="C1101" s="6" t="s">
        <v>33</v>
      </c>
      <c r="D1101" s="7"/>
      <c r="E1101" s="7"/>
      <c r="F1101" s="7">
        <v>45929</v>
      </c>
      <c r="G1101" s="9">
        <v>452226</v>
      </c>
      <c r="H1101" s="9">
        <v>400200</v>
      </c>
      <c r="I1101" s="9">
        <v>52026</v>
      </c>
      <c r="J1101" s="7"/>
      <c r="K1101" s="8" t="str">
        <f t="shared" si="52"/>
        <v/>
      </c>
      <c r="L1101" s="8" t="str">
        <f t="shared" si="53"/>
        <v/>
      </c>
      <c r="M1101" s="8" t="str">
        <f t="shared" si="51"/>
        <v/>
      </c>
      <c r="N1101" s="6" t="s">
        <v>21</v>
      </c>
    </row>
    <row r="1102" spans="1:14" x14ac:dyDescent="0.2">
      <c r="A1102" s="6" t="s">
        <v>558</v>
      </c>
      <c r="C1102" s="6" t="s">
        <v>33</v>
      </c>
      <c r="D1102" s="7"/>
      <c r="E1102" s="7"/>
      <c r="F1102" s="7">
        <v>45929</v>
      </c>
      <c r="G1102" s="9">
        <v>158200</v>
      </c>
      <c r="H1102" s="9">
        <v>140000</v>
      </c>
      <c r="I1102" s="9">
        <v>18200</v>
      </c>
      <c r="J1102" s="7"/>
      <c r="K1102" s="8" t="str">
        <f t="shared" si="52"/>
        <v/>
      </c>
      <c r="L1102" s="8" t="str">
        <f t="shared" si="53"/>
        <v/>
      </c>
      <c r="M1102" s="8" t="str">
        <f t="shared" si="51"/>
        <v/>
      </c>
      <c r="N1102" s="6" t="s">
        <v>21</v>
      </c>
    </row>
    <row r="1103" spans="1:14" x14ac:dyDescent="0.2">
      <c r="A1103" s="6" t="s">
        <v>677</v>
      </c>
      <c r="C1103" s="6" t="s">
        <v>87</v>
      </c>
      <c r="D1103" s="7"/>
      <c r="E1103" s="7"/>
      <c r="F1103" s="7">
        <v>45929</v>
      </c>
      <c r="G1103" s="9">
        <v>317530</v>
      </c>
      <c r="H1103" s="9">
        <v>281000</v>
      </c>
      <c r="I1103" s="9">
        <v>36530</v>
      </c>
      <c r="J1103" s="7"/>
      <c r="K1103" s="8" t="str">
        <f t="shared" si="52"/>
        <v/>
      </c>
      <c r="L1103" s="8" t="str">
        <f t="shared" si="53"/>
        <v/>
      </c>
      <c r="M1103" s="8" t="str">
        <f t="shared" si="51"/>
        <v/>
      </c>
      <c r="N1103" s="6" t="s">
        <v>21</v>
      </c>
    </row>
    <row r="1104" spans="1:14" x14ac:dyDescent="0.2">
      <c r="A1104" s="6" t="s">
        <v>677</v>
      </c>
      <c r="C1104" s="6" t="s">
        <v>87</v>
      </c>
      <c r="D1104" s="7"/>
      <c r="E1104" s="7"/>
      <c r="F1104" s="7">
        <v>45929</v>
      </c>
      <c r="G1104" s="9">
        <v>305100</v>
      </c>
      <c r="H1104" s="9">
        <v>270000</v>
      </c>
      <c r="I1104" s="9">
        <v>35100</v>
      </c>
      <c r="J1104" s="7"/>
      <c r="K1104" s="8" t="str">
        <f t="shared" si="52"/>
        <v/>
      </c>
      <c r="L1104" s="8" t="str">
        <f t="shared" si="53"/>
        <v/>
      </c>
      <c r="M1104" s="8" t="str">
        <f t="shared" si="51"/>
        <v/>
      </c>
      <c r="N1104" s="6" t="s">
        <v>21</v>
      </c>
    </row>
    <row r="1105" spans="1:14" x14ac:dyDescent="0.2">
      <c r="A1105" s="6" t="s">
        <v>677</v>
      </c>
      <c r="C1105" s="6" t="s">
        <v>87</v>
      </c>
      <c r="D1105" s="7"/>
      <c r="E1105" s="7"/>
      <c r="F1105" s="7">
        <v>45929</v>
      </c>
      <c r="G1105" s="9">
        <v>320000</v>
      </c>
      <c r="H1105" s="9">
        <v>283185.84000000003</v>
      </c>
      <c r="I1105" s="9">
        <v>36814.160000000003</v>
      </c>
      <c r="J1105" s="7"/>
      <c r="K1105" s="8" t="str">
        <f t="shared" si="52"/>
        <v/>
      </c>
      <c r="L1105" s="8" t="str">
        <f t="shared" si="53"/>
        <v/>
      </c>
      <c r="M1105" s="8" t="str">
        <f t="shared" si="51"/>
        <v/>
      </c>
      <c r="N1105" s="6" t="s">
        <v>21</v>
      </c>
    </row>
    <row r="1106" spans="1:14" x14ac:dyDescent="0.2">
      <c r="A1106" s="6" t="s">
        <v>677</v>
      </c>
      <c r="C1106" s="6" t="s">
        <v>87</v>
      </c>
      <c r="D1106" s="7"/>
      <c r="E1106" s="7"/>
      <c r="F1106" s="7">
        <v>45929</v>
      </c>
      <c r="G1106" s="9">
        <v>174500</v>
      </c>
      <c r="H1106" s="9">
        <v>154424.78</v>
      </c>
      <c r="I1106" s="9">
        <v>20075.22</v>
      </c>
      <c r="J1106" s="7"/>
      <c r="K1106" s="8" t="str">
        <f t="shared" si="52"/>
        <v/>
      </c>
      <c r="L1106" s="8" t="str">
        <f t="shared" si="53"/>
        <v/>
      </c>
      <c r="M1106" s="8" t="str">
        <f t="shared" si="51"/>
        <v/>
      </c>
      <c r="N1106" s="6" t="s">
        <v>21</v>
      </c>
    </row>
    <row r="1107" spans="1:14" x14ac:dyDescent="0.2">
      <c r="A1107" s="6" t="s">
        <v>677</v>
      </c>
      <c r="C1107" s="6" t="s">
        <v>87</v>
      </c>
      <c r="D1107" s="7"/>
      <c r="E1107" s="7"/>
      <c r="F1107" s="7">
        <v>45929</v>
      </c>
      <c r="G1107" s="9">
        <v>450000</v>
      </c>
      <c r="H1107" s="9">
        <v>398230.09</v>
      </c>
      <c r="I1107" s="9">
        <v>51769.91</v>
      </c>
      <c r="J1107" s="7"/>
      <c r="K1107" s="8" t="str">
        <f t="shared" si="52"/>
        <v/>
      </c>
      <c r="L1107" s="8" t="str">
        <f t="shared" si="53"/>
        <v/>
      </c>
      <c r="M1107" s="8" t="str">
        <f t="shared" si="51"/>
        <v/>
      </c>
      <c r="N1107" s="6" t="s">
        <v>21</v>
      </c>
    </row>
    <row r="1108" spans="1:14" x14ac:dyDescent="0.2">
      <c r="A1108" s="6" t="s">
        <v>677</v>
      </c>
      <c r="C1108" s="6" t="s">
        <v>87</v>
      </c>
      <c r="D1108" s="7"/>
      <c r="E1108" s="7"/>
      <c r="F1108" s="7">
        <v>45929</v>
      </c>
      <c r="G1108" s="9">
        <v>332220</v>
      </c>
      <c r="H1108" s="9">
        <v>294000</v>
      </c>
      <c r="I1108" s="9">
        <v>38220</v>
      </c>
      <c r="J1108" s="7"/>
      <c r="K1108" s="8" t="str">
        <f t="shared" si="52"/>
        <v/>
      </c>
      <c r="L1108" s="8" t="str">
        <f t="shared" si="53"/>
        <v/>
      </c>
      <c r="M1108" s="8" t="str">
        <f t="shared" si="51"/>
        <v/>
      </c>
      <c r="N1108" s="6" t="s">
        <v>21</v>
      </c>
    </row>
    <row r="1109" spans="1:14" x14ac:dyDescent="0.2">
      <c r="A1109" s="6" t="s">
        <v>677</v>
      </c>
      <c r="C1109" s="6" t="s">
        <v>87</v>
      </c>
      <c r="D1109" s="7"/>
      <c r="E1109" s="7"/>
      <c r="F1109" s="7">
        <v>45929</v>
      </c>
      <c r="G1109" s="9">
        <v>201140</v>
      </c>
      <c r="H1109" s="9">
        <v>178000</v>
      </c>
      <c r="I1109" s="9">
        <v>23140</v>
      </c>
      <c r="J1109" s="7"/>
      <c r="K1109" s="8" t="str">
        <f t="shared" si="52"/>
        <v/>
      </c>
      <c r="L1109" s="8" t="str">
        <f t="shared" si="53"/>
        <v/>
      </c>
      <c r="M1109" s="8" t="str">
        <f t="shared" si="51"/>
        <v/>
      </c>
      <c r="N1109" s="6" t="s">
        <v>21</v>
      </c>
    </row>
    <row r="1110" spans="1:14" x14ac:dyDescent="0.2">
      <c r="A1110" s="6" t="s">
        <v>677</v>
      </c>
      <c r="C1110" s="6" t="s">
        <v>87</v>
      </c>
      <c r="D1110" s="7"/>
      <c r="E1110" s="7"/>
      <c r="F1110" s="7">
        <v>45929</v>
      </c>
      <c r="G1110" s="9">
        <v>367250</v>
      </c>
      <c r="H1110" s="9">
        <v>325000</v>
      </c>
      <c r="I1110" s="9">
        <v>42250</v>
      </c>
      <c r="J1110" s="7"/>
      <c r="K1110" s="8" t="str">
        <f t="shared" si="52"/>
        <v/>
      </c>
      <c r="L1110" s="8" t="str">
        <f t="shared" si="53"/>
        <v/>
      </c>
      <c r="M1110" s="8" t="str">
        <f t="shared" si="51"/>
        <v/>
      </c>
      <c r="N1110" s="6" t="s">
        <v>21</v>
      </c>
    </row>
    <row r="1111" spans="1:14" x14ac:dyDescent="0.2">
      <c r="A1111" s="6" t="s">
        <v>677</v>
      </c>
      <c r="C1111" s="6" t="s">
        <v>87</v>
      </c>
      <c r="D1111" s="7"/>
      <c r="E1111" s="7"/>
      <c r="F1111" s="7">
        <v>45929</v>
      </c>
      <c r="G1111" s="9">
        <v>410000</v>
      </c>
      <c r="H1111" s="9">
        <v>362831.86</v>
      </c>
      <c r="I1111" s="9">
        <v>47168.14</v>
      </c>
      <c r="J1111" s="7"/>
      <c r="K1111" s="8" t="str">
        <f t="shared" si="52"/>
        <v/>
      </c>
      <c r="L1111" s="8" t="str">
        <f t="shared" si="53"/>
        <v/>
      </c>
      <c r="M1111" s="8" t="str">
        <f t="shared" si="51"/>
        <v/>
      </c>
      <c r="N1111" s="6" t="s">
        <v>21</v>
      </c>
    </row>
    <row r="1112" spans="1:14" x14ac:dyDescent="0.2">
      <c r="A1112" s="6" t="s">
        <v>677</v>
      </c>
      <c r="C1112" s="6" t="s">
        <v>87</v>
      </c>
      <c r="D1112" s="7"/>
      <c r="E1112" s="7"/>
      <c r="F1112" s="7">
        <v>45929</v>
      </c>
      <c r="G1112" s="9">
        <v>270000</v>
      </c>
      <c r="H1112" s="9">
        <v>238938.05</v>
      </c>
      <c r="I1112" s="9">
        <v>31061.95</v>
      </c>
      <c r="J1112" s="7"/>
      <c r="K1112" s="8" t="str">
        <f t="shared" si="52"/>
        <v/>
      </c>
      <c r="L1112" s="8" t="str">
        <f t="shared" si="53"/>
        <v/>
      </c>
      <c r="M1112" s="8" t="str">
        <f t="shared" si="51"/>
        <v/>
      </c>
      <c r="N1112" s="6" t="s">
        <v>21</v>
      </c>
    </row>
    <row r="1113" spans="1:14" x14ac:dyDescent="0.2">
      <c r="A1113" s="6" t="s">
        <v>677</v>
      </c>
      <c r="C1113" s="6" t="s">
        <v>87</v>
      </c>
      <c r="D1113" s="7"/>
      <c r="E1113" s="7"/>
      <c r="F1113" s="7">
        <v>45929</v>
      </c>
      <c r="G1113" s="9">
        <v>456800</v>
      </c>
      <c r="H1113" s="9">
        <v>404247.79</v>
      </c>
      <c r="I1113" s="9">
        <v>52552.21</v>
      </c>
      <c r="J1113" s="7"/>
      <c r="K1113" s="8" t="str">
        <f t="shared" si="52"/>
        <v/>
      </c>
      <c r="L1113" s="8" t="str">
        <f t="shared" si="53"/>
        <v/>
      </c>
      <c r="M1113" s="8" t="str">
        <f t="shared" si="51"/>
        <v/>
      </c>
      <c r="N1113" s="6" t="s">
        <v>21</v>
      </c>
    </row>
    <row r="1114" spans="1:14" x14ac:dyDescent="0.2">
      <c r="A1114" s="6" t="s">
        <v>677</v>
      </c>
      <c r="C1114" s="6" t="s">
        <v>87</v>
      </c>
      <c r="D1114" s="7"/>
      <c r="E1114" s="7"/>
      <c r="F1114" s="7">
        <v>45929</v>
      </c>
      <c r="G1114" s="9">
        <v>368000</v>
      </c>
      <c r="H1114" s="9">
        <v>325663.71999999997</v>
      </c>
      <c r="I1114" s="9">
        <v>42336.28</v>
      </c>
      <c r="J1114" s="7"/>
      <c r="K1114" s="8" t="str">
        <f t="shared" si="52"/>
        <v/>
      </c>
      <c r="L1114" s="8" t="str">
        <f t="shared" si="53"/>
        <v/>
      </c>
      <c r="M1114" s="8" t="str">
        <f t="shared" si="51"/>
        <v/>
      </c>
      <c r="N1114" s="6" t="s">
        <v>21</v>
      </c>
    </row>
    <row r="1115" spans="1:14" x14ac:dyDescent="0.2">
      <c r="A1115" s="6" t="s">
        <v>805</v>
      </c>
      <c r="B1115" s="6" t="s">
        <v>806</v>
      </c>
      <c r="C1115" s="6" t="s">
        <v>20</v>
      </c>
      <c r="D1115" s="7"/>
      <c r="E1115" s="7"/>
      <c r="F1115" s="7">
        <v>45930</v>
      </c>
      <c r="G1115" s="9">
        <v>40000</v>
      </c>
      <c r="H1115" s="9">
        <v>37735.85</v>
      </c>
      <c r="I1115" s="9">
        <v>2264.15</v>
      </c>
      <c r="J1115" s="7">
        <v>45930</v>
      </c>
      <c r="K1115" s="8" t="str">
        <f t="shared" si="52"/>
        <v/>
      </c>
      <c r="L1115" s="8" t="str">
        <f t="shared" si="53"/>
        <v/>
      </c>
      <c r="M1115" s="8">
        <f t="shared" si="51"/>
        <v>0</v>
      </c>
      <c r="N1115" s="6" t="s">
        <v>26</v>
      </c>
    </row>
    <row r="1116" spans="1:14" x14ac:dyDescent="0.2">
      <c r="A1116" s="6" t="s">
        <v>334</v>
      </c>
      <c r="B1116" s="6" t="s">
        <v>807</v>
      </c>
      <c r="C1116" s="6" t="s">
        <v>20</v>
      </c>
      <c r="D1116" s="7"/>
      <c r="E1116" s="7"/>
      <c r="F1116" s="7">
        <v>45930</v>
      </c>
      <c r="G1116" s="9">
        <v>80000</v>
      </c>
      <c r="H1116" s="9">
        <v>75471.7</v>
      </c>
      <c r="I1116" s="9">
        <v>4528.3</v>
      </c>
      <c r="J1116" s="7">
        <v>45959</v>
      </c>
      <c r="K1116" s="8" t="str">
        <f t="shared" si="52"/>
        <v/>
      </c>
      <c r="L1116" s="8" t="str">
        <f t="shared" si="53"/>
        <v/>
      </c>
      <c r="M1116" s="8">
        <f t="shared" si="51"/>
        <v>29</v>
      </c>
      <c r="N1116" s="6" t="s">
        <v>26</v>
      </c>
    </row>
    <row r="1117" spans="1:14" x14ac:dyDescent="0.2">
      <c r="A1117" s="6" t="s">
        <v>808</v>
      </c>
      <c r="B1117" s="6" t="s">
        <v>809</v>
      </c>
      <c r="C1117" s="6" t="s">
        <v>33</v>
      </c>
      <c r="D1117" s="7"/>
      <c r="E1117" s="7"/>
      <c r="F1117" s="7">
        <v>45930</v>
      </c>
      <c r="G1117" s="9">
        <v>15000</v>
      </c>
      <c r="H1117" s="9">
        <v>13274.34</v>
      </c>
      <c r="I1117" s="9">
        <v>1725.66</v>
      </c>
      <c r="J1117" s="7">
        <v>45930</v>
      </c>
      <c r="K1117" s="8" t="str">
        <f t="shared" si="52"/>
        <v/>
      </c>
      <c r="L1117" s="8" t="str">
        <f t="shared" si="53"/>
        <v/>
      </c>
      <c r="M1117" s="8">
        <f t="shared" si="51"/>
        <v>0</v>
      </c>
      <c r="N1117" s="6" t="s">
        <v>26</v>
      </c>
    </row>
    <row r="1118" spans="1:14" x14ac:dyDescent="0.2">
      <c r="A1118" s="6" t="s">
        <v>425</v>
      </c>
      <c r="B1118" s="6" t="s">
        <v>810</v>
      </c>
      <c r="C1118" s="6" t="s">
        <v>811</v>
      </c>
      <c r="D1118" s="7"/>
      <c r="E1118" s="7"/>
      <c r="F1118" s="7">
        <v>45863</v>
      </c>
      <c r="G1118" s="9">
        <v>400000</v>
      </c>
      <c r="H1118" s="9">
        <v>366972.48</v>
      </c>
      <c r="I1118" s="9">
        <v>33027.519999999997</v>
      </c>
      <c r="J1118" s="7">
        <v>45868</v>
      </c>
      <c r="K1118" s="8" t="str">
        <f t="shared" si="52"/>
        <v/>
      </c>
      <c r="L1118" s="8" t="str">
        <f t="shared" si="53"/>
        <v/>
      </c>
      <c r="M1118" s="8">
        <f t="shared" si="51"/>
        <v>5</v>
      </c>
      <c r="N1118" s="6" t="s">
        <v>26</v>
      </c>
    </row>
    <row r="1119" spans="1:14" x14ac:dyDescent="0.2">
      <c r="A1119" s="6" t="s">
        <v>417</v>
      </c>
      <c r="B1119" s="6" t="s">
        <v>812</v>
      </c>
      <c r="C1119" s="6" t="s">
        <v>20</v>
      </c>
      <c r="D1119" s="7"/>
      <c r="E1119" s="7"/>
      <c r="F1119" s="7">
        <v>45939</v>
      </c>
      <c r="G1119" s="9">
        <v>34000</v>
      </c>
      <c r="H1119" s="9">
        <v>31192.66</v>
      </c>
      <c r="I1119" s="9">
        <v>2807.34</v>
      </c>
      <c r="J1119" s="7"/>
      <c r="K1119" s="8" t="str">
        <f t="shared" si="52"/>
        <v/>
      </c>
      <c r="L1119" s="8" t="str">
        <f t="shared" si="53"/>
        <v/>
      </c>
      <c r="M1119" s="8" t="str">
        <f t="shared" si="51"/>
        <v/>
      </c>
      <c r="N1119" s="6" t="s">
        <v>21</v>
      </c>
    </row>
    <row r="1120" spans="1:14" x14ac:dyDescent="0.2">
      <c r="A1120" s="6" t="s">
        <v>694</v>
      </c>
      <c r="B1120" s="6" t="s">
        <v>695</v>
      </c>
      <c r="C1120" s="6" t="s">
        <v>20</v>
      </c>
      <c r="D1120" s="7"/>
      <c r="E1120" s="7"/>
      <c r="F1120" s="7">
        <v>45941</v>
      </c>
      <c r="G1120" s="9">
        <v>342581</v>
      </c>
      <c r="H1120" s="9">
        <v>314294.5</v>
      </c>
      <c r="I1120" s="9">
        <v>28286.5</v>
      </c>
      <c r="J1120" s="7">
        <v>45953</v>
      </c>
      <c r="K1120" s="8" t="str">
        <f t="shared" si="52"/>
        <v/>
      </c>
      <c r="L1120" s="8" t="str">
        <f t="shared" si="53"/>
        <v/>
      </c>
      <c r="M1120" s="8">
        <f t="shared" si="51"/>
        <v>12</v>
      </c>
      <c r="N1120" s="6" t="s">
        <v>26</v>
      </c>
    </row>
    <row r="1121" spans="1:14" x14ac:dyDescent="0.2">
      <c r="A1121" s="6" t="s">
        <v>47</v>
      </c>
      <c r="B1121" s="6" t="s">
        <v>813</v>
      </c>
      <c r="C1121" s="6" t="s">
        <v>20</v>
      </c>
      <c r="D1121" s="7"/>
      <c r="E1121" s="7"/>
      <c r="F1121" s="7">
        <v>45946</v>
      </c>
      <c r="G1121" s="9">
        <v>240000</v>
      </c>
      <c r="H1121" s="9">
        <v>220183.49</v>
      </c>
      <c r="I1121" s="9">
        <v>19816.509999999998</v>
      </c>
      <c r="J1121" s="7">
        <v>45957</v>
      </c>
      <c r="K1121" s="8" t="str">
        <f t="shared" si="52"/>
        <v/>
      </c>
      <c r="L1121" s="8" t="str">
        <f t="shared" si="53"/>
        <v/>
      </c>
      <c r="M1121" s="8">
        <f t="shared" si="51"/>
        <v>11</v>
      </c>
      <c r="N1121" s="6" t="s">
        <v>26</v>
      </c>
    </row>
    <row r="1122" spans="1:14" x14ac:dyDescent="0.2">
      <c r="A1122" s="6" t="s">
        <v>47</v>
      </c>
      <c r="B1122" s="6" t="s">
        <v>716</v>
      </c>
      <c r="C1122" s="6" t="s">
        <v>20</v>
      </c>
      <c r="D1122" s="7"/>
      <c r="E1122" s="7"/>
      <c r="F1122" s="7">
        <v>45946</v>
      </c>
      <c r="G1122" s="9">
        <v>195000</v>
      </c>
      <c r="H1122" s="9">
        <v>172566.37</v>
      </c>
      <c r="I1122" s="9">
        <v>22433.63</v>
      </c>
      <c r="J1122" s="7">
        <v>45957</v>
      </c>
      <c r="K1122" s="8" t="str">
        <f t="shared" si="52"/>
        <v/>
      </c>
      <c r="L1122" s="8" t="str">
        <f t="shared" si="53"/>
        <v/>
      </c>
      <c r="M1122" s="8">
        <f t="shared" si="51"/>
        <v>11</v>
      </c>
      <c r="N1122" s="6" t="s">
        <v>26</v>
      </c>
    </row>
    <row r="1123" spans="1:14" x14ac:dyDescent="0.2">
      <c r="A1123" s="6" t="s">
        <v>814</v>
      </c>
      <c r="B1123" s="6" t="s">
        <v>815</v>
      </c>
      <c r="C1123" s="6" t="s">
        <v>20</v>
      </c>
      <c r="D1123" s="7"/>
      <c r="E1123" s="7"/>
      <c r="F1123" s="7">
        <v>45951</v>
      </c>
      <c r="G1123" s="9">
        <v>68000</v>
      </c>
      <c r="H1123" s="9">
        <v>62385.32</v>
      </c>
      <c r="I1123" s="9">
        <v>5614.68</v>
      </c>
      <c r="J1123" s="7"/>
      <c r="K1123" s="8" t="str">
        <f t="shared" si="52"/>
        <v/>
      </c>
      <c r="L1123" s="8" t="str">
        <f t="shared" si="53"/>
        <v/>
      </c>
      <c r="M1123" s="8" t="str">
        <f t="shared" si="51"/>
        <v/>
      </c>
      <c r="N1123" s="6" t="s">
        <v>21</v>
      </c>
    </row>
    <row r="1124" spans="1:14" x14ac:dyDescent="0.2">
      <c r="A1124" s="6" t="s">
        <v>425</v>
      </c>
      <c r="B1124" s="6" t="s">
        <v>816</v>
      </c>
      <c r="C1124" s="6" t="s">
        <v>20</v>
      </c>
      <c r="D1124" s="7"/>
      <c r="E1124" s="7"/>
      <c r="F1124" s="7">
        <v>45952</v>
      </c>
      <c r="G1124" s="9">
        <v>40008</v>
      </c>
      <c r="H1124" s="9">
        <v>36704.589999999997</v>
      </c>
      <c r="I1124" s="9">
        <v>3303.41</v>
      </c>
      <c r="J1124" s="7">
        <v>45958</v>
      </c>
      <c r="K1124" s="8" t="str">
        <f t="shared" si="52"/>
        <v/>
      </c>
      <c r="L1124" s="8" t="str">
        <f t="shared" si="53"/>
        <v/>
      </c>
      <c r="M1124" s="8">
        <f t="shared" si="51"/>
        <v>6</v>
      </c>
      <c r="N1124" s="6" t="s">
        <v>26</v>
      </c>
    </row>
    <row r="1125" spans="1:14" x14ac:dyDescent="0.2">
      <c r="A1125" s="6" t="s">
        <v>817</v>
      </c>
      <c r="B1125" s="6" t="s">
        <v>818</v>
      </c>
      <c r="C1125" s="6" t="s">
        <v>20</v>
      </c>
      <c r="D1125" s="7"/>
      <c r="E1125" s="7"/>
      <c r="F1125" s="7">
        <v>45957</v>
      </c>
      <c r="G1125" s="9">
        <v>617999.99</v>
      </c>
      <c r="H1125" s="9">
        <v>546902.65</v>
      </c>
      <c r="I1125" s="9">
        <v>71097.34</v>
      </c>
      <c r="J1125" s="7"/>
      <c r="K1125" s="8" t="str">
        <f t="shared" si="52"/>
        <v/>
      </c>
      <c r="L1125" s="8" t="str">
        <f t="shared" si="53"/>
        <v/>
      </c>
      <c r="M1125" s="8" t="str">
        <f t="shared" si="51"/>
        <v/>
      </c>
      <c r="N1125" s="6" t="s">
        <v>21</v>
      </c>
    </row>
    <row r="1126" spans="1:14" x14ac:dyDescent="0.2">
      <c r="A1126" s="6" t="s">
        <v>425</v>
      </c>
      <c r="B1126" s="6" t="s">
        <v>819</v>
      </c>
      <c r="C1126" s="6" t="s">
        <v>20</v>
      </c>
      <c r="D1126" s="7"/>
      <c r="E1126" s="7"/>
      <c r="F1126" s="7">
        <v>45958</v>
      </c>
      <c r="G1126" s="9">
        <v>351823</v>
      </c>
      <c r="H1126" s="9">
        <v>322773.39</v>
      </c>
      <c r="I1126" s="9">
        <v>29049.61</v>
      </c>
      <c r="J1126" s="7">
        <v>45958</v>
      </c>
      <c r="K1126" s="8" t="str">
        <f t="shared" si="52"/>
        <v/>
      </c>
      <c r="L1126" s="8" t="str">
        <f t="shared" si="53"/>
        <v/>
      </c>
      <c r="M1126" s="8">
        <f t="shared" si="51"/>
        <v>0</v>
      </c>
      <c r="N1126" s="6" t="s">
        <v>26</v>
      </c>
    </row>
    <row r="1127" spans="1:14" x14ac:dyDescent="0.2">
      <c r="A1127" s="6" t="s">
        <v>558</v>
      </c>
      <c r="C1127" s="6" t="s">
        <v>33</v>
      </c>
      <c r="D1127" s="7"/>
      <c r="E1127" s="7"/>
      <c r="F1127" s="7">
        <v>45960</v>
      </c>
      <c r="G1127" s="9">
        <v>85880</v>
      </c>
      <c r="H1127" s="9">
        <v>76000</v>
      </c>
      <c r="I1127" s="9">
        <v>9880</v>
      </c>
      <c r="J1127" s="7"/>
      <c r="K1127" s="8" t="str">
        <f t="shared" si="52"/>
        <v/>
      </c>
      <c r="L1127" s="8" t="str">
        <f t="shared" si="53"/>
        <v/>
      </c>
      <c r="M1127" s="8" t="str">
        <f t="shared" si="51"/>
        <v/>
      </c>
      <c r="N1127" s="6" t="s">
        <v>21</v>
      </c>
    </row>
    <row r="1128" spans="1:14" x14ac:dyDescent="0.2">
      <c r="A1128" s="6" t="s">
        <v>558</v>
      </c>
      <c r="C1128" s="6" t="s">
        <v>33</v>
      </c>
      <c r="D1128" s="7"/>
      <c r="E1128" s="7"/>
      <c r="F1128" s="7">
        <v>45960</v>
      </c>
      <c r="G1128" s="9">
        <v>169500</v>
      </c>
      <c r="H1128" s="9">
        <v>150000</v>
      </c>
      <c r="I1128" s="9">
        <v>19500</v>
      </c>
      <c r="J1128" s="7"/>
      <c r="K1128" s="8" t="str">
        <f t="shared" si="52"/>
        <v/>
      </c>
      <c r="L1128" s="8" t="str">
        <f t="shared" si="53"/>
        <v/>
      </c>
      <c r="M1128" s="8" t="str">
        <f t="shared" si="51"/>
        <v/>
      </c>
      <c r="N1128" s="6" t="s">
        <v>21</v>
      </c>
    </row>
    <row r="1129" spans="1:14" x14ac:dyDescent="0.2">
      <c r="A1129" s="6" t="s">
        <v>558</v>
      </c>
      <c r="C1129" s="6" t="s">
        <v>33</v>
      </c>
      <c r="D1129" s="7"/>
      <c r="E1129" s="7"/>
      <c r="F1129" s="7">
        <v>45960</v>
      </c>
      <c r="G1129" s="9">
        <v>305100</v>
      </c>
      <c r="H1129" s="9">
        <v>270000</v>
      </c>
      <c r="I1129" s="9">
        <v>35100</v>
      </c>
      <c r="J1129" s="7"/>
      <c r="K1129" s="8" t="str">
        <f t="shared" si="52"/>
        <v/>
      </c>
      <c r="L1129" s="8" t="str">
        <f t="shared" si="53"/>
        <v/>
      </c>
      <c r="M1129" s="8" t="str">
        <f t="shared" si="51"/>
        <v/>
      </c>
      <c r="N1129" s="6" t="s">
        <v>21</v>
      </c>
    </row>
    <row r="1130" spans="1:14" x14ac:dyDescent="0.2">
      <c r="A1130" s="6" t="s">
        <v>558</v>
      </c>
      <c r="C1130" s="6" t="s">
        <v>33</v>
      </c>
      <c r="D1130" s="7"/>
      <c r="E1130" s="7"/>
      <c r="F1130" s="7">
        <v>45960</v>
      </c>
      <c r="G1130" s="9">
        <v>454429.5</v>
      </c>
      <c r="H1130" s="9">
        <v>402150</v>
      </c>
      <c r="I1130" s="9">
        <v>52279.5</v>
      </c>
      <c r="J1130" s="7"/>
      <c r="K1130" s="8" t="str">
        <f t="shared" si="52"/>
        <v/>
      </c>
      <c r="L1130" s="8" t="str">
        <f t="shared" si="53"/>
        <v/>
      </c>
      <c r="M1130" s="8" t="str">
        <f t="shared" si="51"/>
        <v/>
      </c>
      <c r="N1130" s="6" t="s">
        <v>21</v>
      </c>
    </row>
    <row r="1131" spans="1:14" x14ac:dyDescent="0.2">
      <c r="A1131" s="6" t="s">
        <v>558</v>
      </c>
      <c r="C1131" s="6" t="s">
        <v>33</v>
      </c>
      <c r="D1131" s="7"/>
      <c r="E1131" s="7"/>
      <c r="F1131" s="7">
        <v>45960</v>
      </c>
      <c r="G1131" s="9">
        <v>361600</v>
      </c>
      <c r="H1131" s="9">
        <v>320000</v>
      </c>
      <c r="I1131" s="9">
        <v>41600</v>
      </c>
      <c r="J1131" s="7"/>
      <c r="K1131" s="8" t="str">
        <f t="shared" si="52"/>
        <v/>
      </c>
      <c r="L1131" s="8" t="str">
        <f t="shared" si="53"/>
        <v/>
      </c>
      <c r="M1131" s="8" t="str">
        <f t="shared" si="51"/>
        <v/>
      </c>
      <c r="N1131" s="6" t="s">
        <v>21</v>
      </c>
    </row>
    <row r="1132" spans="1:14" x14ac:dyDescent="0.2">
      <c r="A1132" s="6" t="s">
        <v>558</v>
      </c>
      <c r="C1132" s="6" t="s">
        <v>33</v>
      </c>
      <c r="D1132" s="7"/>
      <c r="E1132" s="7"/>
      <c r="F1132" s="7">
        <v>45960</v>
      </c>
      <c r="G1132" s="9">
        <v>214700</v>
      </c>
      <c r="H1132" s="9">
        <v>190000</v>
      </c>
      <c r="I1132" s="9">
        <v>24700</v>
      </c>
      <c r="J1132" s="7"/>
      <c r="K1132" s="8" t="str">
        <f t="shared" si="52"/>
        <v/>
      </c>
      <c r="L1132" s="8" t="str">
        <f t="shared" si="53"/>
        <v/>
      </c>
      <c r="M1132" s="8" t="str">
        <f t="shared" si="51"/>
        <v/>
      </c>
      <c r="N1132" s="6" t="s">
        <v>21</v>
      </c>
    </row>
    <row r="1133" spans="1:14" x14ac:dyDescent="0.2">
      <c r="A1133" s="6" t="s">
        <v>558</v>
      </c>
      <c r="C1133" s="6" t="s">
        <v>33</v>
      </c>
      <c r="D1133" s="7"/>
      <c r="E1133" s="7"/>
      <c r="F1133" s="7">
        <v>45960</v>
      </c>
      <c r="G1133" s="9">
        <v>314140</v>
      </c>
      <c r="H1133" s="9">
        <v>278000</v>
      </c>
      <c r="I1133" s="9">
        <v>36140</v>
      </c>
      <c r="J1133" s="7"/>
      <c r="K1133" s="8" t="str">
        <f t="shared" si="52"/>
        <v/>
      </c>
      <c r="L1133" s="8" t="str">
        <f t="shared" si="53"/>
        <v/>
      </c>
      <c r="M1133" s="8" t="str">
        <f t="shared" si="51"/>
        <v/>
      </c>
      <c r="N1133" s="6" t="s">
        <v>21</v>
      </c>
    </row>
    <row r="1134" spans="1:14" x14ac:dyDescent="0.2">
      <c r="A1134" s="6" t="s">
        <v>558</v>
      </c>
      <c r="C1134" s="6" t="s">
        <v>33</v>
      </c>
      <c r="D1134" s="7"/>
      <c r="E1134" s="7"/>
      <c r="F1134" s="7">
        <v>45960</v>
      </c>
      <c r="G1134" s="9">
        <v>406800</v>
      </c>
      <c r="H1134" s="9">
        <v>360000</v>
      </c>
      <c r="I1134" s="9">
        <v>46800</v>
      </c>
      <c r="J1134" s="7"/>
      <c r="K1134" s="8" t="str">
        <f t="shared" si="52"/>
        <v/>
      </c>
      <c r="L1134" s="8" t="str">
        <f t="shared" si="53"/>
        <v/>
      </c>
      <c r="M1134" s="8" t="str">
        <f t="shared" si="51"/>
        <v/>
      </c>
      <c r="N1134" s="6" t="s">
        <v>21</v>
      </c>
    </row>
    <row r="1135" spans="1:14" x14ac:dyDescent="0.2">
      <c r="A1135" s="6" t="s">
        <v>677</v>
      </c>
      <c r="C1135" s="6" t="s">
        <v>652</v>
      </c>
      <c r="D1135" s="7"/>
      <c r="E1135" s="7"/>
      <c r="F1135" s="7">
        <v>45960</v>
      </c>
      <c r="G1135" s="9">
        <v>83620</v>
      </c>
      <c r="H1135" s="9">
        <v>74000</v>
      </c>
      <c r="I1135" s="9">
        <v>9620</v>
      </c>
      <c r="J1135" s="7"/>
      <c r="K1135" s="8" t="str">
        <f t="shared" si="52"/>
        <v/>
      </c>
      <c r="L1135" s="8" t="str">
        <f t="shared" si="53"/>
        <v/>
      </c>
      <c r="M1135" s="8" t="str">
        <f t="shared" si="51"/>
        <v/>
      </c>
      <c r="N1135" s="6" t="s">
        <v>21</v>
      </c>
    </row>
    <row r="1136" spans="1:14" x14ac:dyDescent="0.2">
      <c r="A1136" s="6" t="s">
        <v>677</v>
      </c>
      <c r="C1136" s="6" t="s">
        <v>652</v>
      </c>
      <c r="D1136" s="7"/>
      <c r="E1136" s="7"/>
      <c r="F1136" s="7">
        <v>45960</v>
      </c>
      <c r="G1136" s="9">
        <v>284760</v>
      </c>
      <c r="H1136" s="9">
        <v>252000</v>
      </c>
      <c r="I1136" s="9">
        <v>32760</v>
      </c>
      <c r="J1136" s="7"/>
      <c r="K1136" s="8" t="str">
        <f t="shared" si="52"/>
        <v/>
      </c>
      <c r="L1136" s="8" t="str">
        <f t="shared" si="53"/>
        <v/>
      </c>
      <c r="M1136" s="8" t="str">
        <f t="shared" si="51"/>
        <v/>
      </c>
      <c r="N1136" s="6" t="s">
        <v>21</v>
      </c>
    </row>
    <row r="1137" spans="1:14" x14ac:dyDescent="0.2">
      <c r="A1137" s="6" t="s">
        <v>677</v>
      </c>
      <c r="C1137" s="6" t="s">
        <v>652</v>
      </c>
      <c r="D1137" s="7"/>
      <c r="E1137" s="7"/>
      <c r="F1137" s="7">
        <v>45960</v>
      </c>
      <c r="G1137" s="9">
        <v>201140</v>
      </c>
      <c r="H1137" s="9">
        <v>178000</v>
      </c>
      <c r="I1137" s="9">
        <v>23140</v>
      </c>
      <c r="J1137" s="7"/>
      <c r="K1137" s="8" t="str">
        <f t="shared" si="52"/>
        <v/>
      </c>
      <c r="L1137" s="8" t="str">
        <f t="shared" si="53"/>
        <v/>
      </c>
      <c r="M1137" s="8" t="str">
        <f t="shared" si="51"/>
        <v/>
      </c>
      <c r="N1137" s="6" t="s">
        <v>21</v>
      </c>
    </row>
    <row r="1138" spans="1:14" x14ac:dyDescent="0.2">
      <c r="A1138" s="6" t="s">
        <v>677</v>
      </c>
      <c r="C1138" s="6" t="s">
        <v>87</v>
      </c>
      <c r="D1138" s="7"/>
      <c r="E1138" s="7"/>
      <c r="F1138" s="7">
        <v>45960</v>
      </c>
      <c r="G1138" s="9">
        <v>169500</v>
      </c>
      <c r="H1138" s="9">
        <v>150000</v>
      </c>
      <c r="I1138" s="9">
        <v>19500</v>
      </c>
      <c r="J1138" s="7"/>
      <c r="K1138" s="8" t="str">
        <f t="shared" si="52"/>
        <v/>
      </c>
      <c r="L1138" s="8" t="str">
        <f t="shared" si="53"/>
        <v/>
      </c>
      <c r="M1138" s="8" t="str">
        <f t="shared" si="51"/>
        <v/>
      </c>
      <c r="N1138" s="6" t="s">
        <v>21</v>
      </c>
    </row>
    <row r="1139" spans="1:14" x14ac:dyDescent="0.2">
      <c r="A1139" s="6" t="s">
        <v>677</v>
      </c>
      <c r="C1139" s="6" t="s">
        <v>87</v>
      </c>
      <c r="D1139" s="7"/>
      <c r="E1139" s="7"/>
      <c r="F1139" s="7">
        <v>45960</v>
      </c>
      <c r="G1139" s="9">
        <v>192100</v>
      </c>
      <c r="H1139" s="9">
        <v>170000</v>
      </c>
      <c r="I1139" s="9">
        <v>22100</v>
      </c>
      <c r="J1139" s="7"/>
      <c r="K1139" s="8" t="str">
        <f t="shared" si="52"/>
        <v/>
      </c>
      <c r="L1139" s="8" t="str">
        <f t="shared" si="53"/>
        <v/>
      </c>
      <c r="M1139" s="8" t="str">
        <f t="shared" si="51"/>
        <v/>
      </c>
      <c r="N1139" s="6" t="s">
        <v>21</v>
      </c>
    </row>
    <row r="1140" spans="1:14" x14ac:dyDescent="0.2">
      <c r="A1140" s="6" t="s">
        <v>677</v>
      </c>
      <c r="C1140" s="6" t="s">
        <v>87</v>
      </c>
      <c r="D1140" s="7"/>
      <c r="E1140" s="7"/>
      <c r="F1140" s="7">
        <v>45960</v>
      </c>
      <c r="G1140" s="9">
        <v>395500</v>
      </c>
      <c r="H1140" s="9">
        <v>350000</v>
      </c>
      <c r="I1140" s="9">
        <v>45500</v>
      </c>
      <c r="J1140" s="7"/>
      <c r="K1140" s="8" t="str">
        <f t="shared" si="52"/>
        <v/>
      </c>
      <c r="L1140" s="8" t="str">
        <f t="shared" si="53"/>
        <v/>
      </c>
      <c r="M1140" s="8" t="str">
        <f t="shared" si="51"/>
        <v/>
      </c>
      <c r="N1140" s="6" t="s">
        <v>21</v>
      </c>
    </row>
    <row r="1141" spans="1:14" x14ac:dyDescent="0.2">
      <c r="A1141" s="6" t="s">
        <v>677</v>
      </c>
      <c r="C1141" s="6" t="s">
        <v>87</v>
      </c>
      <c r="D1141" s="7"/>
      <c r="E1141" s="7"/>
      <c r="F1141" s="7">
        <v>45960</v>
      </c>
      <c r="G1141" s="9">
        <v>322163</v>
      </c>
      <c r="H1141" s="9">
        <v>285100</v>
      </c>
      <c r="I1141" s="9">
        <v>37063</v>
      </c>
      <c r="J1141" s="7"/>
      <c r="K1141" s="8" t="str">
        <f t="shared" si="52"/>
        <v/>
      </c>
      <c r="L1141" s="8" t="str">
        <f t="shared" si="53"/>
        <v/>
      </c>
      <c r="M1141" s="8" t="str">
        <f t="shared" si="51"/>
        <v/>
      </c>
      <c r="N1141" s="6" t="s">
        <v>21</v>
      </c>
    </row>
    <row r="1142" spans="1:14" x14ac:dyDescent="0.2">
      <c r="A1142" s="6" t="s">
        <v>677</v>
      </c>
      <c r="C1142" s="6" t="s">
        <v>87</v>
      </c>
      <c r="D1142" s="7"/>
      <c r="E1142" s="7"/>
      <c r="F1142" s="7">
        <v>45960</v>
      </c>
      <c r="G1142" s="9">
        <v>426010</v>
      </c>
      <c r="H1142" s="9">
        <v>377000</v>
      </c>
      <c r="I1142" s="9">
        <v>49010</v>
      </c>
      <c r="J1142" s="7"/>
      <c r="K1142" s="8" t="str">
        <f t="shared" si="52"/>
        <v/>
      </c>
      <c r="L1142" s="8" t="str">
        <f t="shared" si="53"/>
        <v/>
      </c>
      <c r="M1142" s="8" t="str">
        <f t="shared" si="51"/>
        <v/>
      </c>
      <c r="N1142" s="6" t="s">
        <v>21</v>
      </c>
    </row>
    <row r="1143" spans="1:14" x14ac:dyDescent="0.2">
      <c r="A1143" s="6" t="s">
        <v>677</v>
      </c>
      <c r="C1143" s="6" t="s">
        <v>87</v>
      </c>
      <c r="D1143" s="7"/>
      <c r="E1143" s="7"/>
      <c r="F1143" s="7">
        <v>45960</v>
      </c>
      <c r="G1143" s="9">
        <v>242407.6</v>
      </c>
      <c r="H1143" s="9">
        <v>214520</v>
      </c>
      <c r="I1143" s="9">
        <v>27887.599999999999</v>
      </c>
      <c r="J1143" s="7"/>
      <c r="K1143" s="8" t="str">
        <f t="shared" si="52"/>
        <v/>
      </c>
      <c r="L1143" s="8" t="str">
        <f t="shared" si="53"/>
        <v/>
      </c>
      <c r="M1143" s="8" t="str">
        <f t="shared" si="51"/>
        <v/>
      </c>
      <c r="N1143" s="6" t="s">
        <v>21</v>
      </c>
    </row>
    <row r="1144" spans="1:14" x14ac:dyDescent="0.2">
      <c r="A1144" s="6" t="s">
        <v>697</v>
      </c>
      <c r="C1144" s="6" t="s">
        <v>20</v>
      </c>
      <c r="D1144" s="7"/>
      <c r="E1144" s="7"/>
      <c r="F1144" s="7">
        <v>45960</v>
      </c>
      <c r="G1144" s="9">
        <v>169500</v>
      </c>
      <c r="H1144" s="9">
        <v>150000</v>
      </c>
      <c r="I1144" s="9">
        <v>19500</v>
      </c>
      <c r="J1144" s="7"/>
      <c r="K1144" s="8" t="str">
        <f t="shared" si="52"/>
        <v/>
      </c>
      <c r="L1144" s="8" t="str">
        <f t="shared" si="53"/>
        <v/>
      </c>
      <c r="M1144" s="8" t="str">
        <f t="shared" si="51"/>
        <v/>
      </c>
      <c r="N1144" s="6" t="s">
        <v>21</v>
      </c>
    </row>
    <row r="1145" spans="1:14" x14ac:dyDescent="0.2">
      <c r="A1145" s="6" t="s">
        <v>697</v>
      </c>
      <c r="C1145" s="6" t="s">
        <v>20</v>
      </c>
      <c r="D1145" s="7"/>
      <c r="E1145" s="7"/>
      <c r="F1145" s="7">
        <v>45960</v>
      </c>
      <c r="G1145" s="9">
        <v>420360</v>
      </c>
      <c r="H1145" s="9">
        <v>372000</v>
      </c>
      <c r="I1145" s="9">
        <v>48360</v>
      </c>
      <c r="J1145" s="7"/>
      <c r="K1145" s="8" t="str">
        <f t="shared" si="52"/>
        <v/>
      </c>
      <c r="L1145" s="8" t="str">
        <f t="shared" si="53"/>
        <v/>
      </c>
      <c r="M1145" s="8" t="str">
        <f t="shared" si="51"/>
        <v/>
      </c>
      <c r="N1145" s="6" t="s">
        <v>21</v>
      </c>
    </row>
    <row r="1146" spans="1:14" x14ac:dyDescent="0.2">
      <c r="A1146" s="6" t="s">
        <v>697</v>
      </c>
      <c r="C1146" s="6" t="s">
        <v>20</v>
      </c>
      <c r="D1146" s="7"/>
      <c r="E1146" s="7"/>
      <c r="F1146" s="7">
        <v>45960</v>
      </c>
      <c r="G1146" s="9">
        <v>384200</v>
      </c>
      <c r="H1146" s="9">
        <v>340000</v>
      </c>
      <c r="I1146" s="9">
        <v>44200</v>
      </c>
      <c r="J1146" s="7"/>
      <c r="K1146" s="8" t="str">
        <f t="shared" si="52"/>
        <v/>
      </c>
      <c r="L1146" s="8" t="str">
        <f t="shared" si="53"/>
        <v/>
      </c>
      <c r="M1146" s="8" t="str">
        <f t="shared" si="51"/>
        <v/>
      </c>
      <c r="N1146" s="6" t="s">
        <v>21</v>
      </c>
    </row>
    <row r="1147" spans="1:14" x14ac:dyDescent="0.2">
      <c r="A1147" s="6" t="s">
        <v>697</v>
      </c>
      <c r="C1147" s="6" t="s">
        <v>20</v>
      </c>
      <c r="D1147" s="7"/>
      <c r="E1147" s="7"/>
      <c r="F1147" s="7">
        <v>45960</v>
      </c>
      <c r="G1147" s="9">
        <v>242950</v>
      </c>
      <c r="H1147" s="9">
        <v>215000</v>
      </c>
      <c r="I1147" s="9">
        <v>27950</v>
      </c>
      <c r="J1147" s="7"/>
      <c r="K1147" s="8" t="str">
        <f t="shared" si="52"/>
        <v/>
      </c>
      <c r="L1147" s="8" t="str">
        <f t="shared" si="53"/>
        <v/>
      </c>
      <c r="M1147" s="8" t="str">
        <f t="shared" si="51"/>
        <v/>
      </c>
      <c r="N1147" s="6" t="s">
        <v>21</v>
      </c>
    </row>
    <row r="1148" spans="1:14" x14ac:dyDescent="0.2">
      <c r="A1148" s="6" t="s">
        <v>600</v>
      </c>
      <c r="C1148" s="6" t="s">
        <v>20</v>
      </c>
      <c r="D1148" s="7"/>
      <c r="E1148" s="7"/>
      <c r="F1148" s="7">
        <v>45960</v>
      </c>
      <c r="G1148" s="9">
        <v>282500</v>
      </c>
      <c r="H1148" s="9">
        <v>250000</v>
      </c>
      <c r="I1148" s="9">
        <v>32500</v>
      </c>
      <c r="J1148" s="7"/>
      <c r="K1148" s="8" t="str">
        <f t="shared" si="52"/>
        <v/>
      </c>
      <c r="L1148" s="8" t="str">
        <f t="shared" si="53"/>
        <v/>
      </c>
      <c r="M1148" s="8" t="str">
        <f t="shared" si="51"/>
        <v/>
      </c>
      <c r="N1148" s="6" t="s">
        <v>21</v>
      </c>
    </row>
    <row r="1149" spans="1:14" x14ac:dyDescent="0.2">
      <c r="A1149" s="6" t="s">
        <v>600</v>
      </c>
      <c r="C1149" s="6" t="s">
        <v>20</v>
      </c>
      <c r="D1149" s="7"/>
      <c r="E1149" s="7"/>
      <c r="F1149" s="7">
        <v>45960</v>
      </c>
      <c r="G1149" s="9">
        <v>226000</v>
      </c>
      <c r="H1149" s="9">
        <v>200000</v>
      </c>
      <c r="I1149" s="9">
        <v>26000</v>
      </c>
      <c r="J1149" s="7"/>
      <c r="K1149" s="8" t="str">
        <f t="shared" si="52"/>
        <v/>
      </c>
      <c r="L1149" s="8" t="str">
        <f t="shared" si="53"/>
        <v/>
      </c>
      <c r="M1149" s="8" t="str">
        <f t="shared" si="51"/>
        <v/>
      </c>
      <c r="N1149" s="6" t="s">
        <v>21</v>
      </c>
    </row>
    <row r="1150" spans="1:14" x14ac:dyDescent="0.2">
      <c r="A1150" s="6" t="s">
        <v>600</v>
      </c>
      <c r="C1150" s="6" t="s">
        <v>20</v>
      </c>
      <c r="D1150" s="7"/>
      <c r="E1150" s="7"/>
      <c r="F1150" s="7">
        <v>45960</v>
      </c>
      <c r="G1150" s="9">
        <v>429230.5</v>
      </c>
      <c r="H1150" s="9">
        <v>379850</v>
      </c>
      <c r="I1150" s="9">
        <v>49380.5</v>
      </c>
      <c r="J1150" s="7"/>
      <c r="K1150" s="8" t="str">
        <f t="shared" si="52"/>
        <v/>
      </c>
      <c r="L1150" s="8" t="str">
        <f t="shared" si="53"/>
        <v/>
      </c>
      <c r="M1150" s="8" t="str">
        <f t="shared" si="51"/>
        <v/>
      </c>
      <c r="N1150" s="6" t="s">
        <v>21</v>
      </c>
    </row>
    <row r="1151" spans="1:14" x14ac:dyDescent="0.2">
      <c r="A1151" s="6" t="s">
        <v>600</v>
      </c>
      <c r="C1151" s="6" t="s">
        <v>20</v>
      </c>
      <c r="D1151" s="7"/>
      <c r="E1151" s="7"/>
      <c r="F1151" s="7">
        <v>45960</v>
      </c>
      <c r="G1151" s="9">
        <v>179670</v>
      </c>
      <c r="H1151" s="9">
        <v>159000</v>
      </c>
      <c r="I1151" s="9">
        <v>20670</v>
      </c>
      <c r="J1151" s="7"/>
      <c r="K1151" s="8" t="str">
        <f t="shared" si="52"/>
        <v/>
      </c>
      <c r="L1151" s="8" t="str">
        <f t="shared" si="53"/>
        <v/>
      </c>
      <c r="M1151" s="8" t="str">
        <f t="shared" si="51"/>
        <v/>
      </c>
      <c r="N1151" s="6" t="s">
        <v>21</v>
      </c>
    </row>
    <row r="1152" spans="1:14" x14ac:dyDescent="0.2">
      <c r="A1152" s="6" t="s">
        <v>600</v>
      </c>
      <c r="C1152" s="6" t="s">
        <v>20</v>
      </c>
      <c r="D1152" s="7"/>
      <c r="E1152" s="7"/>
      <c r="F1152" s="7">
        <v>45960</v>
      </c>
      <c r="G1152" s="9">
        <v>237300</v>
      </c>
      <c r="H1152" s="9">
        <v>210000</v>
      </c>
      <c r="I1152" s="9">
        <v>27300</v>
      </c>
      <c r="J1152" s="7"/>
      <c r="K1152" s="8" t="str">
        <f t="shared" si="52"/>
        <v/>
      </c>
      <c r="L1152" s="8" t="str">
        <f t="shared" si="53"/>
        <v/>
      </c>
      <c r="M1152" s="8" t="str">
        <f t="shared" si="51"/>
        <v/>
      </c>
      <c r="N1152" s="6" t="s">
        <v>21</v>
      </c>
    </row>
    <row r="1153" spans="1:14" x14ac:dyDescent="0.2">
      <c r="A1153" s="6" t="s">
        <v>600</v>
      </c>
      <c r="C1153" s="6" t="s">
        <v>20</v>
      </c>
      <c r="D1153" s="7"/>
      <c r="E1153" s="7"/>
      <c r="F1153" s="7">
        <v>45960</v>
      </c>
      <c r="G1153" s="9">
        <v>339000</v>
      </c>
      <c r="H1153" s="9">
        <v>300000</v>
      </c>
      <c r="I1153" s="9">
        <v>39000</v>
      </c>
      <c r="J1153" s="7"/>
      <c r="K1153" s="8" t="str">
        <f t="shared" si="52"/>
        <v/>
      </c>
      <c r="L1153" s="8" t="str">
        <f t="shared" si="53"/>
        <v/>
      </c>
      <c r="M1153" s="8" t="str">
        <f t="shared" si="51"/>
        <v/>
      </c>
      <c r="N1153" s="6" t="s">
        <v>21</v>
      </c>
    </row>
    <row r="1154" spans="1:14" x14ac:dyDescent="0.2">
      <c r="A1154" s="6" t="s">
        <v>425</v>
      </c>
      <c r="B1154" s="6" t="s">
        <v>810</v>
      </c>
      <c r="C1154" s="6" t="s">
        <v>811</v>
      </c>
      <c r="D1154" s="7"/>
      <c r="E1154" s="7"/>
      <c r="F1154" s="7">
        <v>45965</v>
      </c>
      <c r="G1154" s="9">
        <v>273256</v>
      </c>
      <c r="H1154" s="9">
        <v>250693.58</v>
      </c>
      <c r="I1154" s="9">
        <v>22562.42</v>
      </c>
      <c r="J1154" s="7">
        <v>45985</v>
      </c>
      <c r="K1154" s="8" t="str">
        <f t="shared" si="52"/>
        <v/>
      </c>
      <c r="L1154" s="8" t="str">
        <f t="shared" si="53"/>
        <v/>
      </c>
      <c r="M1154" s="8">
        <f t="shared" ref="M1154:M1217" si="54">IF(OR($F1154="", $J1154=""),"", $J1154-$F1154)</f>
        <v>20</v>
      </c>
      <c r="N1154" s="6" t="s">
        <v>26</v>
      </c>
    </row>
    <row r="1155" spans="1:14" x14ac:dyDescent="0.2">
      <c r="A1155" s="6" t="s">
        <v>425</v>
      </c>
      <c r="B1155" s="6" t="s">
        <v>775</v>
      </c>
      <c r="C1155" s="6" t="s">
        <v>20</v>
      </c>
      <c r="D1155" s="7"/>
      <c r="E1155" s="7"/>
      <c r="F1155" s="7">
        <v>45964</v>
      </c>
      <c r="G1155" s="9">
        <v>429008</v>
      </c>
      <c r="H1155" s="9">
        <v>393585.32</v>
      </c>
      <c r="I1155" s="9">
        <v>35422.68</v>
      </c>
      <c r="J1155" s="7">
        <v>45985</v>
      </c>
      <c r="K1155" s="8" t="str">
        <f t="shared" ref="K1155:K1218" si="55">IF(OR($D1155="", $F1155=""),"", $E1155-$D1155)</f>
        <v/>
      </c>
      <c r="L1155" s="8" t="str">
        <f t="shared" ref="L1155:L1218" si="56">IF(OR($D1155="", $F1155=""),"", $F1155-$E1155)</f>
        <v/>
      </c>
      <c r="M1155" s="8">
        <f t="shared" si="54"/>
        <v>21</v>
      </c>
      <c r="N1155" s="6" t="s">
        <v>26</v>
      </c>
    </row>
    <row r="1156" spans="1:14" x14ac:dyDescent="0.2">
      <c r="A1156" s="6" t="s">
        <v>409</v>
      </c>
      <c r="B1156" s="6" t="s">
        <v>820</v>
      </c>
      <c r="C1156" s="6" t="s">
        <v>20</v>
      </c>
      <c r="D1156" s="7"/>
      <c r="E1156" s="7"/>
      <c r="F1156" s="7">
        <v>45972</v>
      </c>
      <c r="G1156" s="9">
        <v>189120</v>
      </c>
      <c r="H1156" s="9">
        <v>167362.82999999999</v>
      </c>
      <c r="I1156" s="9">
        <v>21757.17</v>
      </c>
      <c r="J1156" s="7">
        <v>45986</v>
      </c>
      <c r="K1156" s="8" t="str">
        <f t="shared" si="55"/>
        <v/>
      </c>
      <c r="L1156" s="8" t="str">
        <f t="shared" si="56"/>
        <v/>
      </c>
      <c r="M1156" s="8">
        <f t="shared" si="54"/>
        <v>14</v>
      </c>
      <c r="N1156" s="6" t="s">
        <v>26</v>
      </c>
    </row>
    <row r="1157" spans="1:14" x14ac:dyDescent="0.2">
      <c r="A1157" s="6" t="s">
        <v>821</v>
      </c>
      <c r="B1157" s="6" t="s">
        <v>822</v>
      </c>
      <c r="C1157" s="6" t="s">
        <v>652</v>
      </c>
      <c r="D1157" s="7"/>
      <c r="E1157" s="7"/>
      <c r="F1157" s="7">
        <v>45973</v>
      </c>
      <c r="G1157" s="9">
        <v>228000</v>
      </c>
      <c r="H1157" s="9">
        <v>201769.91</v>
      </c>
      <c r="I1157" s="9">
        <v>26230.09</v>
      </c>
      <c r="J1157" s="7">
        <v>46020</v>
      </c>
      <c r="K1157" s="8" t="str">
        <f t="shared" si="55"/>
        <v/>
      </c>
      <c r="L1157" s="8" t="str">
        <f t="shared" si="56"/>
        <v/>
      </c>
      <c r="M1157" s="8">
        <f t="shared" si="54"/>
        <v>47</v>
      </c>
      <c r="N1157" s="6" t="s">
        <v>26</v>
      </c>
    </row>
    <row r="1158" spans="1:14" x14ac:dyDescent="0.2">
      <c r="A1158" s="6" t="s">
        <v>823</v>
      </c>
      <c r="B1158" s="6" t="s">
        <v>824</v>
      </c>
      <c r="C1158" s="6" t="s">
        <v>20</v>
      </c>
      <c r="D1158" s="7"/>
      <c r="E1158" s="7"/>
      <c r="F1158" s="7">
        <v>45974</v>
      </c>
      <c r="G1158" s="9">
        <v>105000</v>
      </c>
      <c r="H1158" s="9">
        <v>99056.6</v>
      </c>
      <c r="I1158" s="9">
        <v>5943.4</v>
      </c>
      <c r="J1158" s="7">
        <v>46001</v>
      </c>
      <c r="K1158" s="8" t="str">
        <f t="shared" si="55"/>
        <v/>
      </c>
      <c r="L1158" s="8" t="str">
        <f t="shared" si="56"/>
        <v/>
      </c>
      <c r="M1158" s="8">
        <f t="shared" si="54"/>
        <v>27</v>
      </c>
      <c r="N1158" s="6" t="s">
        <v>26</v>
      </c>
    </row>
    <row r="1159" spans="1:14" x14ac:dyDescent="0.2">
      <c r="A1159" s="6" t="s">
        <v>417</v>
      </c>
      <c r="B1159" s="6" t="s">
        <v>700</v>
      </c>
      <c r="C1159" s="6" t="s">
        <v>20</v>
      </c>
      <c r="D1159" s="7"/>
      <c r="E1159" s="7"/>
      <c r="F1159" s="7">
        <v>45974</v>
      </c>
      <c r="G1159" s="9">
        <v>127000</v>
      </c>
      <c r="H1159" s="9">
        <v>116513.76</v>
      </c>
      <c r="I1159" s="9">
        <v>10486.24</v>
      </c>
      <c r="J1159" s="7"/>
      <c r="K1159" s="8" t="str">
        <f t="shared" si="55"/>
        <v/>
      </c>
      <c r="L1159" s="8" t="str">
        <f t="shared" si="56"/>
        <v/>
      </c>
      <c r="M1159" s="8" t="str">
        <f t="shared" si="54"/>
        <v/>
      </c>
      <c r="N1159" s="6" t="s">
        <v>21</v>
      </c>
    </row>
    <row r="1160" spans="1:14" x14ac:dyDescent="0.2">
      <c r="A1160" s="6" t="s">
        <v>637</v>
      </c>
      <c r="B1160" s="6" t="s">
        <v>638</v>
      </c>
      <c r="C1160" s="6" t="s">
        <v>20</v>
      </c>
      <c r="D1160" s="7"/>
      <c r="E1160" s="7"/>
      <c r="F1160" s="7">
        <v>45978</v>
      </c>
      <c r="G1160" s="9">
        <v>51410.080000000002</v>
      </c>
      <c r="H1160" s="9">
        <v>47165.21</v>
      </c>
      <c r="I1160" s="9">
        <v>4244.87</v>
      </c>
      <c r="J1160" s="7">
        <v>46017</v>
      </c>
      <c r="K1160" s="8" t="str">
        <f t="shared" si="55"/>
        <v/>
      </c>
      <c r="L1160" s="8" t="str">
        <f t="shared" si="56"/>
        <v/>
      </c>
      <c r="M1160" s="8">
        <f t="shared" si="54"/>
        <v>39</v>
      </c>
      <c r="N1160" s="6" t="s">
        <v>26</v>
      </c>
    </row>
    <row r="1161" spans="1:14" x14ac:dyDescent="0.2">
      <c r="A1161" s="6" t="s">
        <v>825</v>
      </c>
      <c r="C1161" s="6" t="s">
        <v>355</v>
      </c>
      <c r="D1161" s="7"/>
      <c r="E1161" s="7"/>
      <c r="F1161" s="7">
        <v>45980</v>
      </c>
      <c r="G1161" s="9">
        <v>98000</v>
      </c>
      <c r="H1161" s="9">
        <v>97029.7</v>
      </c>
      <c r="I1161" s="9">
        <v>970.30000000000302</v>
      </c>
      <c r="J1161" s="7"/>
      <c r="K1161" s="8" t="str">
        <f t="shared" si="55"/>
        <v/>
      </c>
      <c r="L1161" s="8" t="str">
        <f t="shared" si="56"/>
        <v/>
      </c>
      <c r="M1161" s="8" t="str">
        <f t="shared" si="54"/>
        <v/>
      </c>
      <c r="N1161" s="6" t="s">
        <v>21</v>
      </c>
    </row>
    <row r="1162" spans="1:14" x14ac:dyDescent="0.2">
      <c r="A1162" s="6" t="s">
        <v>637</v>
      </c>
      <c r="B1162" s="6" t="s">
        <v>638</v>
      </c>
      <c r="C1162" s="6" t="s">
        <v>20</v>
      </c>
      <c r="D1162" s="7"/>
      <c r="E1162" s="7"/>
      <c r="F1162" s="7">
        <v>45982</v>
      </c>
      <c r="G1162" s="9">
        <v>69789.919999999998</v>
      </c>
      <c r="H1162" s="9">
        <v>64027.45</v>
      </c>
      <c r="I1162" s="9">
        <v>5762.47</v>
      </c>
      <c r="J1162" s="7">
        <v>46017</v>
      </c>
      <c r="K1162" s="8" t="str">
        <f t="shared" si="55"/>
        <v/>
      </c>
      <c r="L1162" s="8" t="str">
        <f t="shared" si="56"/>
        <v/>
      </c>
      <c r="M1162" s="8">
        <f t="shared" si="54"/>
        <v>35</v>
      </c>
      <c r="N1162" s="6" t="s">
        <v>26</v>
      </c>
    </row>
    <row r="1163" spans="1:14" x14ac:dyDescent="0.2">
      <c r="A1163" s="6" t="s">
        <v>417</v>
      </c>
      <c r="B1163" s="6" t="s">
        <v>700</v>
      </c>
      <c r="C1163" s="6" t="s">
        <v>20</v>
      </c>
      <c r="D1163" s="7"/>
      <c r="E1163" s="7"/>
      <c r="F1163" s="7">
        <v>45982</v>
      </c>
      <c r="G1163" s="9">
        <v>-127000</v>
      </c>
      <c r="H1163" s="9">
        <v>-116513.76</v>
      </c>
      <c r="I1163" s="9">
        <v>-10486.24</v>
      </c>
      <c r="J1163" s="7"/>
      <c r="K1163" s="8" t="str">
        <f t="shared" si="55"/>
        <v/>
      </c>
      <c r="L1163" s="8" t="str">
        <f t="shared" si="56"/>
        <v/>
      </c>
      <c r="M1163" s="8" t="str">
        <f t="shared" si="54"/>
        <v/>
      </c>
      <c r="N1163" s="6" t="s">
        <v>21</v>
      </c>
    </row>
    <row r="1164" spans="1:14" x14ac:dyDescent="0.2">
      <c r="A1164" s="6" t="s">
        <v>54</v>
      </c>
      <c r="B1164" s="6" t="s">
        <v>700</v>
      </c>
      <c r="C1164" s="6" t="s">
        <v>20</v>
      </c>
      <c r="D1164" s="7"/>
      <c r="E1164" s="7"/>
      <c r="F1164" s="7">
        <v>45982</v>
      </c>
      <c r="G1164" s="9">
        <v>127000</v>
      </c>
      <c r="H1164" s="9">
        <v>116513.76</v>
      </c>
      <c r="I1164" s="9">
        <v>10486.24</v>
      </c>
      <c r="J1164" s="7"/>
      <c r="K1164" s="8" t="str">
        <f t="shared" si="55"/>
        <v/>
      </c>
      <c r="L1164" s="8" t="str">
        <f t="shared" si="56"/>
        <v/>
      </c>
      <c r="M1164" s="8" t="str">
        <f t="shared" si="54"/>
        <v/>
      </c>
      <c r="N1164" s="6" t="s">
        <v>21</v>
      </c>
    </row>
    <row r="1165" spans="1:14" x14ac:dyDescent="0.2">
      <c r="A1165" s="6" t="s">
        <v>54</v>
      </c>
      <c r="B1165" s="6" t="s">
        <v>700</v>
      </c>
      <c r="C1165" s="6" t="s">
        <v>20</v>
      </c>
      <c r="D1165" s="7"/>
      <c r="E1165" s="7"/>
      <c r="F1165" s="7">
        <v>45986</v>
      </c>
      <c r="G1165" s="9">
        <v>147000</v>
      </c>
      <c r="H1165" s="9">
        <v>134862.39000000001</v>
      </c>
      <c r="I1165" s="9">
        <v>12137.61</v>
      </c>
      <c r="J1165" s="7"/>
      <c r="K1165" s="8" t="str">
        <f t="shared" si="55"/>
        <v/>
      </c>
      <c r="L1165" s="8" t="str">
        <f t="shared" si="56"/>
        <v/>
      </c>
      <c r="M1165" s="8" t="str">
        <f t="shared" si="54"/>
        <v/>
      </c>
      <c r="N1165" s="6" t="s">
        <v>21</v>
      </c>
    </row>
    <row r="1166" spans="1:14" x14ac:dyDescent="0.2">
      <c r="A1166" s="6" t="s">
        <v>826</v>
      </c>
      <c r="B1166" s="6" t="s">
        <v>827</v>
      </c>
      <c r="C1166" s="6" t="s">
        <v>652</v>
      </c>
      <c r="D1166" s="7"/>
      <c r="E1166" s="7"/>
      <c r="F1166" s="7">
        <v>45986</v>
      </c>
      <c r="G1166" s="9">
        <v>325543.2</v>
      </c>
      <c r="H1166" s="9">
        <v>298663.49</v>
      </c>
      <c r="I1166" s="9">
        <v>26879.71</v>
      </c>
      <c r="J1166" s="7">
        <v>46022</v>
      </c>
      <c r="K1166" s="8" t="str">
        <f t="shared" si="55"/>
        <v/>
      </c>
      <c r="L1166" s="8" t="str">
        <f t="shared" si="56"/>
        <v/>
      </c>
      <c r="M1166" s="8">
        <f t="shared" si="54"/>
        <v>36</v>
      </c>
      <c r="N1166" s="6" t="s">
        <v>26</v>
      </c>
    </row>
    <row r="1167" spans="1:14" x14ac:dyDescent="0.2">
      <c r="A1167" s="6" t="s">
        <v>828</v>
      </c>
      <c r="B1167" s="6" t="s">
        <v>829</v>
      </c>
      <c r="C1167" s="6" t="s">
        <v>20</v>
      </c>
      <c r="D1167" s="7"/>
      <c r="E1167" s="7"/>
      <c r="F1167" s="7">
        <v>45988</v>
      </c>
      <c r="G1167" s="9">
        <v>99400</v>
      </c>
      <c r="H1167" s="9">
        <v>91192.66</v>
      </c>
      <c r="I1167" s="9">
        <v>8207.34</v>
      </c>
      <c r="J1167" s="7">
        <v>46006</v>
      </c>
      <c r="K1167" s="8" t="str">
        <f t="shared" si="55"/>
        <v/>
      </c>
      <c r="L1167" s="8" t="str">
        <f t="shared" si="56"/>
        <v/>
      </c>
      <c r="M1167" s="8">
        <f t="shared" si="54"/>
        <v>18</v>
      </c>
      <c r="N1167" s="6" t="s">
        <v>26</v>
      </c>
    </row>
    <row r="1168" spans="1:14" x14ac:dyDescent="0.2">
      <c r="A1168" s="6" t="s">
        <v>689</v>
      </c>
      <c r="B1168" s="6" t="s">
        <v>830</v>
      </c>
      <c r="C1168" s="6" t="s">
        <v>20</v>
      </c>
      <c r="D1168" s="7"/>
      <c r="E1168" s="7"/>
      <c r="F1168" s="7">
        <v>45988</v>
      </c>
      <c r="G1168" s="9">
        <v>60000</v>
      </c>
      <c r="H1168" s="9">
        <v>53097.35</v>
      </c>
      <c r="I1168" s="9">
        <v>6902.65</v>
      </c>
      <c r="J1168" s="7"/>
      <c r="K1168" s="8" t="str">
        <f t="shared" si="55"/>
        <v/>
      </c>
      <c r="L1168" s="8" t="str">
        <f t="shared" si="56"/>
        <v/>
      </c>
      <c r="M1168" s="8" t="str">
        <f t="shared" si="54"/>
        <v/>
      </c>
      <c r="N1168" s="6" t="s">
        <v>21</v>
      </c>
    </row>
    <row r="1169" spans="1:14" x14ac:dyDescent="0.2">
      <c r="A1169" s="6" t="s">
        <v>689</v>
      </c>
      <c r="B1169" s="6" t="s">
        <v>831</v>
      </c>
      <c r="C1169" s="6" t="s">
        <v>20</v>
      </c>
      <c r="D1169" s="7"/>
      <c r="E1169" s="7"/>
      <c r="F1169" s="7">
        <v>45988</v>
      </c>
      <c r="G1169" s="9">
        <v>60000</v>
      </c>
      <c r="H1169" s="9">
        <v>53097.35</v>
      </c>
      <c r="I1169" s="9">
        <v>6902.65</v>
      </c>
      <c r="J1169" s="7"/>
      <c r="K1169" s="8" t="str">
        <f t="shared" si="55"/>
        <v/>
      </c>
      <c r="L1169" s="8" t="str">
        <f t="shared" si="56"/>
        <v/>
      </c>
      <c r="M1169" s="8" t="str">
        <f t="shared" si="54"/>
        <v/>
      </c>
      <c r="N1169" s="6" t="s">
        <v>21</v>
      </c>
    </row>
    <row r="1170" spans="1:14" x14ac:dyDescent="0.2">
      <c r="A1170" s="6" t="s">
        <v>558</v>
      </c>
      <c r="C1170" s="6" t="s">
        <v>33</v>
      </c>
      <c r="D1170" s="7"/>
      <c r="E1170" s="7"/>
      <c r="F1170" s="7">
        <v>45988</v>
      </c>
      <c r="G1170" s="9">
        <v>316400</v>
      </c>
      <c r="H1170" s="9">
        <v>280000</v>
      </c>
      <c r="I1170" s="9">
        <v>36400</v>
      </c>
      <c r="J1170" s="7"/>
      <c r="K1170" s="8" t="str">
        <f t="shared" si="55"/>
        <v/>
      </c>
      <c r="L1170" s="8" t="str">
        <f t="shared" si="56"/>
        <v/>
      </c>
      <c r="M1170" s="8" t="str">
        <f t="shared" si="54"/>
        <v/>
      </c>
      <c r="N1170" s="6" t="s">
        <v>21</v>
      </c>
    </row>
    <row r="1171" spans="1:14" x14ac:dyDescent="0.2">
      <c r="A1171" s="6" t="s">
        <v>558</v>
      </c>
      <c r="C1171" s="6" t="s">
        <v>33</v>
      </c>
      <c r="D1171" s="7"/>
      <c r="E1171" s="7"/>
      <c r="F1171" s="7">
        <v>45988</v>
      </c>
      <c r="G1171" s="9">
        <v>271200</v>
      </c>
      <c r="H1171" s="9">
        <v>240000</v>
      </c>
      <c r="I1171" s="9">
        <v>31200</v>
      </c>
      <c r="J1171" s="7"/>
      <c r="K1171" s="8" t="str">
        <f t="shared" si="55"/>
        <v/>
      </c>
      <c r="L1171" s="8" t="str">
        <f t="shared" si="56"/>
        <v/>
      </c>
      <c r="M1171" s="8" t="str">
        <f t="shared" si="54"/>
        <v/>
      </c>
      <c r="N1171" s="6" t="s">
        <v>21</v>
      </c>
    </row>
    <row r="1172" spans="1:14" x14ac:dyDescent="0.2">
      <c r="A1172" s="6" t="s">
        <v>558</v>
      </c>
      <c r="C1172" s="6" t="s">
        <v>33</v>
      </c>
      <c r="D1172" s="7"/>
      <c r="E1172" s="7"/>
      <c r="F1172" s="7">
        <v>45988</v>
      </c>
      <c r="G1172" s="9">
        <v>200000</v>
      </c>
      <c r="H1172" s="9">
        <v>176991.15</v>
      </c>
      <c r="I1172" s="9">
        <v>23008.85</v>
      </c>
      <c r="J1172" s="7"/>
      <c r="K1172" s="8" t="str">
        <f t="shared" si="55"/>
        <v/>
      </c>
      <c r="L1172" s="8" t="str">
        <f t="shared" si="56"/>
        <v/>
      </c>
      <c r="M1172" s="8" t="str">
        <f t="shared" si="54"/>
        <v/>
      </c>
      <c r="N1172" s="6" t="s">
        <v>21</v>
      </c>
    </row>
    <row r="1173" spans="1:14" x14ac:dyDescent="0.2">
      <c r="A1173" s="6" t="s">
        <v>558</v>
      </c>
      <c r="C1173" s="6" t="s">
        <v>33</v>
      </c>
      <c r="D1173" s="7"/>
      <c r="E1173" s="7"/>
      <c r="F1173" s="7">
        <v>45988</v>
      </c>
      <c r="G1173" s="9">
        <v>282500</v>
      </c>
      <c r="H1173" s="9">
        <v>250000</v>
      </c>
      <c r="I1173" s="9">
        <v>32500</v>
      </c>
      <c r="J1173" s="7"/>
      <c r="K1173" s="8" t="str">
        <f t="shared" si="55"/>
        <v/>
      </c>
      <c r="L1173" s="8" t="str">
        <f t="shared" si="56"/>
        <v/>
      </c>
      <c r="M1173" s="8" t="str">
        <f t="shared" si="54"/>
        <v/>
      </c>
      <c r="N1173" s="6" t="s">
        <v>21</v>
      </c>
    </row>
    <row r="1174" spans="1:14" x14ac:dyDescent="0.2">
      <c r="A1174" s="6" t="s">
        <v>558</v>
      </c>
      <c r="C1174" s="6" t="s">
        <v>33</v>
      </c>
      <c r="D1174" s="7"/>
      <c r="E1174" s="7"/>
      <c r="F1174" s="7">
        <v>45988</v>
      </c>
      <c r="G1174" s="9">
        <v>418100</v>
      </c>
      <c r="H1174" s="9">
        <v>370000</v>
      </c>
      <c r="I1174" s="9">
        <v>48100</v>
      </c>
      <c r="J1174" s="7"/>
      <c r="K1174" s="8" t="str">
        <f t="shared" si="55"/>
        <v/>
      </c>
      <c r="L1174" s="8" t="str">
        <f t="shared" si="56"/>
        <v/>
      </c>
      <c r="M1174" s="8" t="str">
        <f t="shared" si="54"/>
        <v/>
      </c>
      <c r="N1174" s="6" t="s">
        <v>21</v>
      </c>
    </row>
    <row r="1175" spans="1:14" x14ac:dyDescent="0.2">
      <c r="A1175" s="6" t="s">
        <v>558</v>
      </c>
      <c r="C1175" s="6" t="s">
        <v>33</v>
      </c>
      <c r="D1175" s="7"/>
      <c r="E1175" s="7"/>
      <c r="F1175" s="7">
        <v>45988</v>
      </c>
      <c r="G1175" s="9">
        <v>175210</v>
      </c>
      <c r="H1175" s="9">
        <v>155053.1</v>
      </c>
      <c r="I1175" s="9">
        <v>20156.900000000001</v>
      </c>
      <c r="J1175" s="7"/>
      <c r="K1175" s="8" t="str">
        <f t="shared" si="55"/>
        <v/>
      </c>
      <c r="L1175" s="8" t="str">
        <f t="shared" si="56"/>
        <v/>
      </c>
      <c r="M1175" s="8" t="str">
        <f t="shared" si="54"/>
        <v/>
      </c>
      <c r="N1175" s="6" t="s">
        <v>21</v>
      </c>
    </row>
    <row r="1176" spans="1:14" x14ac:dyDescent="0.2">
      <c r="A1176" s="6" t="s">
        <v>558</v>
      </c>
      <c r="C1176" s="6" t="s">
        <v>33</v>
      </c>
      <c r="D1176" s="7"/>
      <c r="E1176" s="7"/>
      <c r="F1176" s="7">
        <v>45988</v>
      </c>
      <c r="G1176" s="9">
        <v>170000</v>
      </c>
      <c r="H1176" s="9">
        <v>150442.48000000001</v>
      </c>
      <c r="I1176" s="9">
        <v>19557.52</v>
      </c>
      <c r="J1176" s="7"/>
      <c r="K1176" s="8" t="str">
        <f t="shared" si="55"/>
        <v/>
      </c>
      <c r="L1176" s="8" t="str">
        <f t="shared" si="56"/>
        <v/>
      </c>
      <c r="M1176" s="8" t="str">
        <f t="shared" si="54"/>
        <v/>
      </c>
      <c r="N1176" s="6" t="s">
        <v>21</v>
      </c>
    </row>
    <row r="1177" spans="1:14" x14ac:dyDescent="0.2">
      <c r="A1177" s="6" t="s">
        <v>558</v>
      </c>
      <c r="C1177" s="6" t="s">
        <v>33</v>
      </c>
      <c r="D1177" s="7"/>
      <c r="E1177" s="7"/>
      <c r="F1177" s="7">
        <v>45988</v>
      </c>
      <c r="G1177" s="9">
        <v>120000</v>
      </c>
      <c r="H1177" s="9">
        <v>106194.69</v>
      </c>
      <c r="I1177" s="9">
        <v>13805.31</v>
      </c>
      <c r="J1177" s="7"/>
      <c r="K1177" s="8" t="str">
        <f t="shared" si="55"/>
        <v/>
      </c>
      <c r="L1177" s="8" t="str">
        <f t="shared" si="56"/>
        <v/>
      </c>
      <c r="M1177" s="8" t="str">
        <f t="shared" si="54"/>
        <v/>
      </c>
      <c r="N1177" s="6" t="s">
        <v>21</v>
      </c>
    </row>
    <row r="1178" spans="1:14" x14ac:dyDescent="0.2">
      <c r="A1178" s="6" t="s">
        <v>558</v>
      </c>
      <c r="C1178" s="6" t="s">
        <v>33</v>
      </c>
      <c r="D1178" s="7"/>
      <c r="E1178" s="7"/>
      <c r="F1178" s="7">
        <v>45988</v>
      </c>
      <c r="G1178" s="9">
        <v>200000</v>
      </c>
      <c r="H1178" s="9">
        <v>176991.15</v>
      </c>
      <c r="I1178" s="9">
        <v>23008.85</v>
      </c>
      <c r="J1178" s="7"/>
      <c r="K1178" s="8" t="str">
        <f t="shared" si="55"/>
        <v/>
      </c>
      <c r="L1178" s="8" t="str">
        <f t="shared" si="56"/>
        <v/>
      </c>
      <c r="M1178" s="8" t="str">
        <f t="shared" si="54"/>
        <v/>
      </c>
      <c r="N1178" s="6" t="s">
        <v>21</v>
      </c>
    </row>
    <row r="1179" spans="1:14" x14ac:dyDescent="0.2">
      <c r="A1179" s="6" t="s">
        <v>558</v>
      </c>
      <c r="C1179" s="6" t="s">
        <v>33</v>
      </c>
      <c r="D1179" s="7"/>
      <c r="E1179" s="7"/>
      <c r="F1179" s="7">
        <v>45988</v>
      </c>
      <c r="G1179" s="9">
        <v>250000</v>
      </c>
      <c r="H1179" s="9">
        <v>221238.94</v>
      </c>
      <c r="I1179" s="9">
        <v>28761.06</v>
      </c>
      <c r="J1179" s="7"/>
      <c r="K1179" s="8" t="str">
        <f t="shared" si="55"/>
        <v/>
      </c>
      <c r="L1179" s="8" t="str">
        <f t="shared" si="56"/>
        <v/>
      </c>
      <c r="M1179" s="8" t="str">
        <f t="shared" si="54"/>
        <v/>
      </c>
      <c r="N1179" s="6" t="s">
        <v>21</v>
      </c>
    </row>
    <row r="1180" spans="1:14" x14ac:dyDescent="0.2">
      <c r="A1180" s="6" t="s">
        <v>558</v>
      </c>
      <c r="C1180" s="6" t="s">
        <v>33</v>
      </c>
      <c r="D1180" s="7"/>
      <c r="E1180" s="7"/>
      <c r="F1180" s="7">
        <v>45988</v>
      </c>
      <c r="G1180" s="9">
        <v>375550</v>
      </c>
      <c r="H1180" s="9">
        <v>332345.13</v>
      </c>
      <c r="I1180" s="9">
        <v>43204.87</v>
      </c>
      <c r="J1180" s="7"/>
      <c r="K1180" s="8" t="str">
        <f t="shared" si="55"/>
        <v/>
      </c>
      <c r="L1180" s="8" t="str">
        <f t="shared" si="56"/>
        <v/>
      </c>
      <c r="M1180" s="8" t="str">
        <f t="shared" si="54"/>
        <v/>
      </c>
      <c r="N1180" s="6" t="s">
        <v>21</v>
      </c>
    </row>
    <row r="1181" spans="1:14" x14ac:dyDescent="0.2">
      <c r="A1181" s="6" t="s">
        <v>558</v>
      </c>
      <c r="C1181" s="6" t="s">
        <v>33</v>
      </c>
      <c r="D1181" s="7"/>
      <c r="E1181" s="7"/>
      <c r="F1181" s="7">
        <v>45988</v>
      </c>
      <c r="G1181" s="9">
        <v>210000</v>
      </c>
      <c r="H1181" s="9">
        <v>185840.71</v>
      </c>
      <c r="I1181" s="9">
        <v>24159.29</v>
      </c>
      <c r="J1181" s="7"/>
      <c r="K1181" s="8" t="str">
        <f t="shared" si="55"/>
        <v/>
      </c>
      <c r="L1181" s="8" t="str">
        <f t="shared" si="56"/>
        <v/>
      </c>
      <c r="M1181" s="8" t="str">
        <f t="shared" si="54"/>
        <v/>
      </c>
      <c r="N1181" s="6" t="s">
        <v>21</v>
      </c>
    </row>
    <row r="1182" spans="1:14" x14ac:dyDescent="0.2">
      <c r="A1182" s="6" t="s">
        <v>558</v>
      </c>
      <c r="C1182" s="6" t="s">
        <v>33</v>
      </c>
      <c r="D1182" s="7"/>
      <c r="E1182" s="7"/>
      <c r="F1182" s="7">
        <v>45988</v>
      </c>
      <c r="G1182" s="9">
        <v>169500</v>
      </c>
      <c r="H1182" s="9">
        <v>150000</v>
      </c>
      <c r="I1182" s="9">
        <v>19500</v>
      </c>
      <c r="J1182" s="7"/>
      <c r="K1182" s="8" t="str">
        <f t="shared" si="55"/>
        <v/>
      </c>
      <c r="L1182" s="8" t="str">
        <f t="shared" si="56"/>
        <v/>
      </c>
      <c r="M1182" s="8" t="str">
        <f t="shared" si="54"/>
        <v/>
      </c>
      <c r="N1182" s="6" t="s">
        <v>21</v>
      </c>
    </row>
    <row r="1183" spans="1:14" x14ac:dyDescent="0.2">
      <c r="A1183" s="6" t="s">
        <v>600</v>
      </c>
      <c r="C1183" s="6" t="s">
        <v>20</v>
      </c>
      <c r="D1183" s="7"/>
      <c r="E1183" s="7"/>
      <c r="F1183" s="7">
        <v>45988</v>
      </c>
      <c r="G1183" s="9">
        <v>327700</v>
      </c>
      <c r="H1183" s="9">
        <v>290000</v>
      </c>
      <c r="I1183" s="9">
        <v>37700</v>
      </c>
      <c r="J1183" s="7"/>
      <c r="K1183" s="8" t="str">
        <f t="shared" si="55"/>
        <v/>
      </c>
      <c r="L1183" s="8" t="str">
        <f t="shared" si="56"/>
        <v/>
      </c>
      <c r="M1183" s="8" t="str">
        <f t="shared" si="54"/>
        <v/>
      </c>
      <c r="N1183" s="6" t="s">
        <v>21</v>
      </c>
    </row>
    <row r="1184" spans="1:14" x14ac:dyDescent="0.2">
      <c r="A1184" s="6" t="s">
        <v>600</v>
      </c>
      <c r="C1184" s="6" t="s">
        <v>20</v>
      </c>
      <c r="D1184" s="7"/>
      <c r="E1184" s="7"/>
      <c r="F1184" s="7">
        <v>45988</v>
      </c>
      <c r="G1184" s="9">
        <v>293800</v>
      </c>
      <c r="H1184" s="9">
        <v>260000</v>
      </c>
      <c r="I1184" s="9">
        <v>33800</v>
      </c>
      <c r="J1184" s="7"/>
      <c r="K1184" s="8" t="str">
        <f t="shared" si="55"/>
        <v/>
      </c>
      <c r="L1184" s="8" t="str">
        <f t="shared" si="56"/>
        <v/>
      </c>
      <c r="M1184" s="8" t="str">
        <f t="shared" si="54"/>
        <v/>
      </c>
      <c r="N1184" s="6" t="s">
        <v>21</v>
      </c>
    </row>
    <row r="1185" spans="1:14" x14ac:dyDescent="0.2">
      <c r="A1185" s="6" t="s">
        <v>600</v>
      </c>
      <c r="C1185" s="6" t="s">
        <v>20</v>
      </c>
      <c r="D1185" s="7"/>
      <c r="E1185" s="7"/>
      <c r="F1185" s="7">
        <v>45988</v>
      </c>
      <c r="G1185" s="9">
        <v>141250</v>
      </c>
      <c r="H1185" s="9">
        <v>125000</v>
      </c>
      <c r="I1185" s="9">
        <v>16250</v>
      </c>
      <c r="J1185" s="7"/>
      <c r="K1185" s="8" t="str">
        <f t="shared" si="55"/>
        <v/>
      </c>
      <c r="L1185" s="8" t="str">
        <f t="shared" si="56"/>
        <v/>
      </c>
      <c r="M1185" s="8" t="str">
        <f t="shared" si="54"/>
        <v/>
      </c>
      <c r="N1185" s="6" t="s">
        <v>21</v>
      </c>
    </row>
    <row r="1186" spans="1:14" x14ac:dyDescent="0.2">
      <c r="A1186" s="6" t="s">
        <v>600</v>
      </c>
      <c r="C1186" s="6" t="s">
        <v>20</v>
      </c>
      <c r="D1186" s="7"/>
      <c r="E1186" s="7"/>
      <c r="F1186" s="7">
        <v>45988</v>
      </c>
      <c r="G1186" s="9">
        <v>259900</v>
      </c>
      <c r="H1186" s="9">
        <v>230000</v>
      </c>
      <c r="I1186" s="9">
        <v>29900</v>
      </c>
      <c r="J1186" s="7"/>
      <c r="K1186" s="8" t="str">
        <f t="shared" si="55"/>
        <v/>
      </c>
      <c r="L1186" s="8" t="str">
        <f t="shared" si="56"/>
        <v/>
      </c>
      <c r="M1186" s="8" t="str">
        <f t="shared" si="54"/>
        <v/>
      </c>
      <c r="N1186" s="6" t="s">
        <v>21</v>
      </c>
    </row>
    <row r="1187" spans="1:14" x14ac:dyDescent="0.2">
      <c r="A1187" s="6" t="s">
        <v>600</v>
      </c>
      <c r="C1187" s="6" t="s">
        <v>20</v>
      </c>
      <c r="D1187" s="7"/>
      <c r="E1187" s="7"/>
      <c r="F1187" s="7">
        <v>45988</v>
      </c>
      <c r="G1187" s="9">
        <v>214700</v>
      </c>
      <c r="H1187" s="9">
        <v>190000</v>
      </c>
      <c r="I1187" s="9">
        <v>24700</v>
      </c>
      <c r="J1187" s="7"/>
      <c r="K1187" s="8" t="str">
        <f t="shared" si="55"/>
        <v/>
      </c>
      <c r="L1187" s="8" t="str">
        <f t="shared" si="56"/>
        <v/>
      </c>
      <c r="M1187" s="8" t="str">
        <f t="shared" si="54"/>
        <v/>
      </c>
      <c r="N1187" s="6" t="s">
        <v>21</v>
      </c>
    </row>
    <row r="1188" spans="1:14" x14ac:dyDescent="0.2">
      <c r="A1188" s="6" t="s">
        <v>600</v>
      </c>
      <c r="C1188" s="6" t="s">
        <v>20</v>
      </c>
      <c r="D1188" s="7"/>
      <c r="E1188" s="7"/>
      <c r="F1188" s="7">
        <v>45988</v>
      </c>
      <c r="G1188" s="9">
        <v>231786.38</v>
      </c>
      <c r="H1188" s="9">
        <v>205120.69</v>
      </c>
      <c r="I1188" s="9">
        <v>26665.69</v>
      </c>
      <c r="J1188" s="7"/>
      <c r="K1188" s="8" t="str">
        <f t="shared" si="55"/>
        <v/>
      </c>
      <c r="L1188" s="8" t="str">
        <f t="shared" si="56"/>
        <v/>
      </c>
      <c r="M1188" s="8" t="str">
        <f t="shared" si="54"/>
        <v/>
      </c>
      <c r="N1188" s="6" t="s">
        <v>21</v>
      </c>
    </row>
    <row r="1189" spans="1:14" x14ac:dyDescent="0.2">
      <c r="A1189" s="6" t="s">
        <v>600</v>
      </c>
      <c r="C1189" s="6" t="s">
        <v>20</v>
      </c>
      <c r="D1189" s="7"/>
      <c r="E1189" s="7"/>
      <c r="F1189" s="7">
        <v>45988</v>
      </c>
      <c r="G1189" s="9">
        <v>305100</v>
      </c>
      <c r="H1189" s="9">
        <v>270000</v>
      </c>
      <c r="I1189" s="9">
        <v>35100</v>
      </c>
      <c r="J1189" s="7"/>
      <c r="K1189" s="8" t="str">
        <f t="shared" si="55"/>
        <v/>
      </c>
      <c r="L1189" s="8" t="str">
        <f t="shared" si="56"/>
        <v/>
      </c>
      <c r="M1189" s="8" t="str">
        <f t="shared" si="54"/>
        <v/>
      </c>
      <c r="N1189" s="6" t="s">
        <v>21</v>
      </c>
    </row>
    <row r="1190" spans="1:14" x14ac:dyDescent="0.2">
      <c r="A1190" s="6" t="s">
        <v>600</v>
      </c>
      <c r="C1190" s="6" t="s">
        <v>20</v>
      </c>
      <c r="D1190" s="7"/>
      <c r="E1190" s="7"/>
      <c r="F1190" s="7">
        <v>45988</v>
      </c>
      <c r="G1190" s="9">
        <v>178370.75</v>
      </c>
      <c r="H1190" s="9">
        <v>157850.22</v>
      </c>
      <c r="I1190" s="9">
        <v>20520.53</v>
      </c>
      <c r="J1190" s="7"/>
      <c r="K1190" s="8" t="str">
        <f t="shared" si="55"/>
        <v/>
      </c>
      <c r="L1190" s="8" t="str">
        <f t="shared" si="56"/>
        <v/>
      </c>
      <c r="M1190" s="8" t="str">
        <f t="shared" si="54"/>
        <v/>
      </c>
      <c r="N1190" s="6" t="s">
        <v>21</v>
      </c>
    </row>
    <row r="1191" spans="1:14" x14ac:dyDescent="0.2">
      <c r="A1191" s="6" t="s">
        <v>600</v>
      </c>
      <c r="C1191" s="6" t="s">
        <v>20</v>
      </c>
      <c r="D1191" s="7"/>
      <c r="E1191" s="7"/>
      <c r="F1191" s="7">
        <v>45988</v>
      </c>
      <c r="G1191" s="9">
        <v>226000</v>
      </c>
      <c r="H1191" s="9">
        <v>200000</v>
      </c>
      <c r="I1191" s="9">
        <v>26000</v>
      </c>
      <c r="J1191" s="7"/>
      <c r="K1191" s="8" t="str">
        <f t="shared" si="55"/>
        <v/>
      </c>
      <c r="L1191" s="8" t="str">
        <f t="shared" si="56"/>
        <v/>
      </c>
      <c r="M1191" s="8" t="str">
        <f t="shared" si="54"/>
        <v/>
      </c>
      <c r="N1191" s="6" t="s">
        <v>21</v>
      </c>
    </row>
    <row r="1192" spans="1:14" x14ac:dyDescent="0.2">
      <c r="A1192" s="6" t="s">
        <v>600</v>
      </c>
      <c r="C1192" s="6" t="s">
        <v>20</v>
      </c>
      <c r="D1192" s="7"/>
      <c r="E1192" s="7"/>
      <c r="F1192" s="7">
        <v>45988</v>
      </c>
      <c r="G1192" s="9">
        <v>282500</v>
      </c>
      <c r="H1192" s="9">
        <v>250000</v>
      </c>
      <c r="I1192" s="9">
        <v>32500</v>
      </c>
      <c r="J1192" s="7"/>
      <c r="K1192" s="8" t="str">
        <f t="shared" si="55"/>
        <v/>
      </c>
      <c r="L1192" s="8" t="str">
        <f t="shared" si="56"/>
        <v/>
      </c>
      <c r="M1192" s="8" t="str">
        <f t="shared" si="54"/>
        <v/>
      </c>
      <c r="N1192" s="6" t="s">
        <v>21</v>
      </c>
    </row>
    <row r="1193" spans="1:14" x14ac:dyDescent="0.2">
      <c r="A1193" s="6" t="s">
        <v>697</v>
      </c>
      <c r="C1193" s="6" t="s">
        <v>20</v>
      </c>
      <c r="D1193" s="7"/>
      <c r="E1193" s="7"/>
      <c r="F1193" s="7">
        <v>45988</v>
      </c>
      <c r="G1193" s="9">
        <v>192100</v>
      </c>
      <c r="H1193" s="9">
        <v>170000</v>
      </c>
      <c r="I1193" s="9">
        <v>22100</v>
      </c>
      <c r="J1193" s="7"/>
      <c r="K1193" s="8" t="str">
        <f t="shared" si="55"/>
        <v/>
      </c>
      <c r="L1193" s="8" t="str">
        <f t="shared" si="56"/>
        <v/>
      </c>
      <c r="M1193" s="8" t="str">
        <f t="shared" si="54"/>
        <v/>
      </c>
      <c r="N1193" s="6" t="s">
        <v>21</v>
      </c>
    </row>
    <row r="1194" spans="1:14" x14ac:dyDescent="0.2">
      <c r="A1194" s="6" t="s">
        <v>697</v>
      </c>
      <c r="C1194" s="6" t="s">
        <v>20</v>
      </c>
      <c r="D1194" s="7"/>
      <c r="E1194" s="7"/>
      <c r="F1194" s="7">
        <v>45988</v>
      </c>
      <c r="G1194" s="9">
        <v>190000</v>
      </c>
      <c r="H1194" s="9">
        <v>168141.59</v>
      </c>
      <c r="I1194" s="9">
        <v>21858.41</v>
      </c>
      <c r="J1194" s="7"/>
      <c r="K1194" s="8" t="str">
        <f t="shared" si="55"/>
        <v/>
      </c>
      <c r="L1194" s="8" t="str">
        <f t="shared" si="56"/>
        <v/>
      </c>
      <c r="M1194" s="8" t="str">
        <f t="shared" si="54"/>
        <v/>
      </c>
      <c r="N1194" s="6" t="s">
        <v>21</v>
      </c>
    </row>
    <row r="1195" spans="1:14" x14ac:dyDescent="0.2">
      <c r="A1195" s="6" t="s">
        <v>697</v>
      </c>
      <c r="C1195" s="6" t="s">
        <v>20</v>
      </c>
      <c r="D1195" s="7"/>
      <c r="E1195" s="7"/>
      <c r="F1195" s="7">
        <v>45988</v>
      </c>
      <c r="G1195" s="9">
        <v>169500</v>
      </c>
      <c r="H1195" s="9">
        <v>150000</v>
      </c>
      <c r="I1195" s="9">
        <v>19500</v>
      </c>
      <c r="J1195" s="7"/>
      <c r="K1195" s="8" t="str">
        <f t="shared" si="55"/>
        <v/>
      </c>
      <c r="L1195" s="8" t="str">
        <f t="shared" si="56"/>
        <v/>
      </c>
      <c r="M1195" s="8" t="str">
        <f t="shared" si="54"/>
        <v/>
      </c>
      <c r="N1195" s="6" t="s">
        <v>21</v>
      </c>
    </row>
    <row r="1196" spans="1:14" x14ac:dyDescent="0.2">
      <c r="A1196" s="6" t="s">
        <v>677</v>
      </c>
      <c r="C1196" s="6" t="s">
        <v>87</v>
      </c>
      <c r="D1196" s="7"/>
      <c r="E1196" s="7"/>
      <c r="F1196" s="7">
        <v>45988</v>
      </c>
      <c r="G1196" s="9">
        <v>241707</v>
      </c>
      <c r="H1196" s="9">
        <v>213900</v>
      </c>
      <c r="I1196" s="9">
        <v>27807</v>
      </c>
      <c r="J1196" s="7"/>
      <c r="K1196" s="8" t="str">
        <f t="shared" si="55"/>
        <v/>
      </c>
      <c r="L1196" s="8" t="str">
        <f t="shared" si="56"/>
        <v/>
      </c>
      <c r="M1196" s="8" t="str">
        <f t="shared" si="54"/>
        <v/>
      </c>
      <c r="N1196" s="6" t="s">
        <v>21</v>
      </c>
    </row>
    <row r="1197" spans="1:14" x14ac:dyDescent="0.2">
      <c r="A1197" s="6" t="s">
        <v>677</v>
      </c>
      <c r="C1197" s="6" t="s">
        <v>87</v>
      </c>
      <c r="D1197" s="7"/>
      <c r="E1197" s="7"/>
      <c r="F1197" s="7">
        <v>45988</v>
      </c>
      <c r="G1197" s="9">
        <v>226000</v>
      </c>
      <c r="H1197" s="9">
        <v>200000</v>
      </c>
      <c r="I1197" s="9">
        <v>26000</v>
      </c>
      <c r="J1197" s="7"/>
      <c r="K1197" s="8" t="str">
        <f t="shared" si="55"/>
        <v/>
      </c>
      <c r="L1197" s="8" t="str">
        <f t="shared" si="56"/>
        <v/>
      </c>
      <c r="M1197" s="8" t="str">
        <f t="shared" si="54"/>
        <v/>
      </c>
      <c r="N1197" s="6" t="s">
        <v>21</v>
      </c>
    </row>
    <row r="1198" spans="1:14" x14ac:dyDescent="0.2">
      <c r="A1198" s="6" t="s">
        <v>677</v>
      </c>
      <c r="C1198" s="6" t="s">
        <v>87</v>
      </c>
      <c r="D1198" s="7"/>
      <c r="E1198" s="7"/>
      <c r="F1198" s="7">
        <v>45988</v>
      </c>
      <c r="G1198" s="9">
        <v>203400</v>
      </c>
      <c r="H1198" s="9">
        <v>180000</v>
      </c>
      <c r="I1198" s="9">
        <v>23400</v>
      </c>
      <c r="J1198" s="7"/>
      <c r="K1198" s="8" t="str">
        <f t="shared" si="55"/>
        <v/>
      </c>
      <c r="L1198" s="8" t="str">
        <f t="shared" si="56"/>
        <v/>
      </c>
      <c r="M1198" s="8" t="str">
        <f t="shared" si="54"/>
        <v/>
      </c>
      <c r="N1198" s="6" t="s">
        <v>21</v>
      </c>
    </row>
    <row r="1199" spans="1:14" x14ac:dyDescent="0.2">
      <c r="A1199" s="6" t="s">
        <v>677</v>
      </c>
      <c r="C1199" s="6" t="s">
        <v>87</v>
      </c>
      <c r="D1199" s="7"/>
      <c r="E1199" s="7"/>
      <c r="F1199" s="7">
        <v>45988</v>
      </c>
      <c r="G1199" s="9">
        <v>110740</v>
      </c>
      <c r="H1199" s="9">
        <v>98000</v>
      </c>
      <c r="I1199" s="9">
        <v>12740</v>
      </c>
      <c r="J1199" s="7"/>
      <c r="K1199" s="8" t="str">
        <f t="shared" si="55"/>
        <v/>
      </c>
      <c r="L1199" s="8" t="str">
        <f t="shared" si="56"/>
        <v/>
      </c>
      <c r="M1199" s="8" t="str">
        <f t="shared" si="54"/>
        <v/>
      </c>
      <c r="N1199" s="6" t="s">
        <v>21</v>
      </c>
    </row>
    <row r="1200" spans="1:14" x14ac:dyDescent="0.2">
      <c r="A1200" s="6" t="s">
        <v>677</v>
      </c>
      <c r="C1200" s="6" t="s">
        <v>87</v>
      </c>
      <c r="D1200" s="7"/>
      <c r="E1200" s="7"/>
      <c r="F1200" s="7">
        <v>45988</v>
      </c>
      <c r="G1200" s="9">
        <v>135600</v>
      </c>
      <c r="H1200" s="9">
        <v>120000</v>
      </c>
      <c r="I1200" s="9">
        <v>15600</v>
      </c>
      <c r="J1200" s="7"/>
      <c r="K1200" s="8" t="str">
        <f t="shared" si="55"/>
        <v/>
      </c>
      <c r="L1200" s="8" t="str">
        <f t="shared" si="56"/>
        <v/>
      </c>
      <c r="M1200" s="8" t="str">
        <f t="shared" si="54"/>
        <v/>
      </c>
      <c r="N1200" s="6" t="s">
        <v>21</v>
      </c>
    </row>
    <row r="1201" spans="1:14" x14ac:dyDescent="0.2">
      <c r="A1201" s="6" t="s">
        <v>677</v>
      </c>
      <c r="C1201" s="6" t="s">
        <v>87</v>
      </c>
      <c r="D1201" s="7"/>
      <c r="E1201" s="7"/>
      <c r="F1201" s="7">
        <v>45988</v>
      </c>
      <c r="G1201" s="9">
        <v>180800</v>
      </c>
      <c r="H1201" s="9">
        <v>160000</v>
      </c>
      <c r="I1201" s="9">
        <v>20800</v>
      </c>
      <c r="J1201" s="7"/>
      <c r="K1201" s="8" t="str">
        <f t="shared" si="55"/>
        <v/>
      </c>
      <c r="L1201" s="8" t="str">
        <f t="shared" si="56"/>
        <v/>
      </c>
      <c r="M1201" s="8" t="str">
        <f t="shared" si="54"/>
        <v/>
      </c>
      <c r="N1201" s="6" t="s">
        <v>21</v>
      </c>
    </row>
    <row r="1202" spans="1:14" x14ac:dyDescent="0.2">
      <c r="A1202" s="6" t="s">
        <v>677</v>
      </c>
      <c r="C1202" s="6" t="s">
        <v>87</v>
      </c>
      <c r="D1202" s="7"/>
      <c r="E1202" s="7"/>
      <c r="F1202" s="7">
        <v>45988</v>
      </c>
      <c r="G1202" s="9">
        <v>237300</v>
      </c>
      <c r="H1202" s="9">
        <v>210000</v>
      </c>
      <c r="I1202" s="9">
        <v>27300</v>
      </c>
      <c r="J1202" s="7"/>
      <c r="K1202" s="8" t="str">
        <f t="shared" si="55"/>
        <v/>
      </c>
      <c r="L1202" s="8" t="str">
        <f t="shared" si="56"/>
        <v/>
      </c>
      <c r="M1202" s="8" t="str">
        <f t="shared" si="54"/>
        <v/>
      </c>
      <c r="N1202" s="6" t="s">
        <v>21</v>
      </c>
    </row>
    <row r="1203" spans="1:14" x14ac:dyDescent="0.2">
      <c r="A1203" s="6" t="s">
        <v>677</v>
      </c>
      <c r="C1203" s="6" t="s">
        <v>87</v>
      </c>
      <c r="D1203" s="7"/>
      <c r="E1203" s="7"/>
      <c r="F1203" s="7">
        <v>45988</v>
      </c>
      <c r="G1203" s="9">
        <v>203400</v>
      </c>
      <c r="H1203" s="9">
        <v>180000</v>
      </c>
      <c r="I1203" s="9">
        <v>23400</v>
      </c>
      <c r="J1203" s="7"/>
      <c r="K1203" s="8" t="str">
        <f t="shared" si="55"/>
        <v/>
      </c>
      <c r="L1203" s="8" t="str">
        <f t="shared" si="56"/>
        <v/>
      </c>
      <c r="M1203" s="8" t="str">
        <f t="shared" si="54"/>
        <v/>
      </c>
      <c r="N1203" s="6" t="s">
        <v>21</v>
      </c>
    </row>
    <row r="1204" spans="1:14" x14ac:dyDescent="0.2">
      <c r="A1204" s="6" t="s">
        <v>677</v>
      </c>
      <c r="C1204" s="6" t="s">
        <v>87</v>
      </c>
      <c r="D1204" s="7"/>
      <c r="E1204" s="7"/>
      <c r="F1204" s="7">
        <v>45988</v>
      </c>
      <c r="G1204" s="9">
        <v>163850</v>
      </c>
      <c r="H1204" s="9">
        <v>145000</v>
      </c>
      <c r="I1204" s="9">
        <v>18850</v>
      </c>
      <c r="J1204" s="7"/>
      <c r="K1204" s="8" t="str">
        <f t="shared" si="55"/>
        <v/>
      </c>
      <c r="L1204" s="8" t="str">
        <f t="shared" si="56"/>
        <v/>
      </c>
      <c r="M1204" s="8" t="str">
        <f t="shared" si="54"/>
        <v/>
      </c>
      <c r="N1204" s="6" t="s">
        <v>21</v>
      </c>
    </row>
    <row r="1205" spans="1:14" x14ac:dyDescent="0.2">
      <c r="A1205" s="6" t="s">
        <v>677</v>
      </c>
      <c r="C1205" s="6" t="s">
        <v>87</v>
      </c>
      <c r="D1205" s="7"/>
      <c r="E1205" s="7"/>
      <c r="F1205" s="7">
        <v>45988</v>
      </c>
      <c r="G1205" s="9">
        <v>169500</v>
      </c>
      <c r="H1205" s="9">
        <v>150000</v>
      </c>
      <c r="I1205" s="9">
        <v>19500</v>
      </c>
      <c r="J1205" s="7"/>
      <c r="K1205" s="8" t="str">
        <f t="shared" si="55"/>
        <v/>
      </c>
      <c r="L1205" s="8" t="str">
        <f t="shared" si="56"/>
        <v/>
      </c>
      <c r="M1205" s="8" t="str">
        <f t="shared" si="54"/>
        <v/>
      </c>
      <c r="N1205" s="6" t="s">
        <v>21</v>
      </c>
    </row>
    <row r="1206" spans="1:14" x14ac:dyDescent="0.2">
      <c r="A1206" s="6" t="s">
        <v>240</v>
      </c>
      <c r="B1206" s="6" t="s">
        <v>832</v>
      </c>
      <c r="C1206" s="6" t="s">
        <v>20</v>
      </c>
      <c r="D1206" s="7"/>
      <c r="E1206" s="7"/>
      <c r="F1206" s="7">
        <v>45989</v>
      </c>
      <c r="G1206" s="9">
        <v>327870</v>
      </c>
      <c r="H1206" s="9">
        <v>318320.39</v>
      </c>
      <c r="I1206" s="9">
        <v>9549.6099999999897</v>
      </c>
      <c r="J1206" s="7">
        <v>46014</v>
      </c>
      <c r="K1206" s="8" t="str">
        <f t="shared" si="55"/>
        <v/>
      </c>
      <c r="L1206" s="8" t="str">
        <f t="shared" si="56"/>
        <v/>
      </c>
      <c r="M1206" s="8">
        <f t="shared" si="54"/>
        <v>25</v>
      </c>
      <c r="N1206" s="6" t="s">
        <v>26</v>
      </c>
    </row>
    <row r="1207" spans="1:14" x14ac:dyDescent="0.2">
      <c r="A1207" s="6" t="s">
        <v>833</v>
      </c>
      <c r="B1207" s="6" t="s">
        <v>834</v>
      </c>
      <c r="C1207" s="6" t="s">
        <v>20</v>
      </c>
      <c r="D1207" s="7"/>
      <c r="E1207" s="7"/>
      <c r="F1207" s="7">
        <v>45992</v>
      </c>
      <c r="G1207" s="9">
        <v>666731.03</v>
      </c>
      <c r="H1207" s="9">
        <v>590027.46</v>
      </c>
      <c r="I1207" s="9">
        <v>76703.570000000094</v>
      </c>
      <c r="J1207" s="7"/>
      <c r="K1207" s="8" t="str">
        <f t="shared" si="55"/>
        <v/>
      </c>
      <c r="L1207" s="8" t="str">
        <f t="shared" si="56"/>
        <v/>
      </c>
      <c r="M1207" s="8" t="str">
        <f t="shared" si="54"/>
        <v/>
      </c>
      <c r="N1207" s="6" t="s">
        <v>21</v>
      </c>
    </row>
    <row r="1208" spans="1:14" x14ac:dyDescent="0.2">
      <c r="A1208" s="6" t="s">
        <v>835</v>
      </c>
      <c r="B1208" s="6" t="s">
        <v>836</v>
      </c>
      <c r="C1208" s="6" t="s">
        <v>20</v>
      </c>
      <c r="D1208" s="7"/>
      <c r="E1208" s="7"/>
      <c r="F1208" s="7">
        <v>45994</v>
      </c>
      <c r="G1208" s="9">
        <v>26000</v>
      </c>
      <c r="H1208" s="9">
        <v>23008.85</v>
      </c>
      <c r="I1208" s="9">
        <v>2991.15</v>
      </c>
      <c r="J1208" s="7">
        <v>46020</v>
      </c>
      <c r="K1208" s="8" t="str">
        <f t="shared" si="55"/>
        <v/>
      </c>
      <c r="L1208" s="8" t="str">
        <f t="shared" si="56"/>
        <v/>
      </c>
      <c r="M1208" s="8">
        <f t="shared" si="54"/>
        <v>26</v>
      </c>
      <c r="N1208" s="6" t="s">
        <v>26</v>
      </c>
    </row>
    <row r="1209" spans="1:14" x14ac:dyDescent="0.2">
      <c r="A1209" s="6" t="s">
        <v>425</v>
      </c>
      <c r="B1209" s="6" t="s">
        <v>651</v>
      </c>
      <c r="C1209" s="6" t="s">
        <v>652</v>
      </c>
      <c r="D1209" s="7"/>
      <c r="E1209" s="7"/>
      <c r="F1209" s="7">
        <v>45999</v>
      </c>
      <c r="G1209" s="9">
        <v>271797.25</v>
      </c>
      <c r="H1209" s="9">
        <v>249355.28</v>
      </c>
      <c r="I1209" s="9">
        <v>22441.97</v>
      </c>
      <c r="J1209" s="7">
        <v>46020</v>
      </c>
      <c r="K1209" s="8" t="str">
        <f t="shared" si="55"/>
        <v/>
      </c>
      <c r="L1209" s="8" t="str">
        <f t="shared" si="56"/>
        <v/>
      </c>
      <c r="M1209" s="8">
        <f t="shared" si="54"/>
        <v>21</v>
      </c>
      <c r="N1209" s="6" t="s">
        <v>26</v>
      </c>
    </row>
    <row r="1210" spans="1:14" x14ac:dyDescent="0.2">
      <c r="A1210" s="6" t="s">
        <v>47</v>
      </c>
      <c r="B1210" s="6" t="s">
        <v>813</v>
      </c>
      <c r="C1210" s="6" t="s">
        <v>20</v>
      </c>
      <c r="D1210" s="7"/>
      <c r="E1210" s="7"/>
      <c r="F1210" s="7">
        <v>46000</v>
      </c>
      <c r="G1210" s="9">
        <v>100000</v>
      </c>
      <c r="H1210" s="9">
        <v>91743.12</v>
      </c>
      <c r="I1210" s="9">
        <v>8256.8799999999992</v>
      </c>
      <c r="J1210" s="7">
        <v>46009</v>
      </c>
      <c r="K1210" s="8" t="str">
        <f t="shared" si="55"/>
        <v/>
      </c>
      <c r="L1210" s="8" t="str">
        <f t="shared" si="56"/>
        <v/>
      </c>
      <c r="M1210" s="8">
        <f t="shared" si="54"/>
        <v>9</v>
      </c>
      <c r="N1210" s="6" t="s">
        <v>26</v>
      </c>
    </row>
    <row r="1211" spans="1:14" x14ac:dyDescent="0.2">
      <c r="A1211" s="6" t="s">
        <v>47</v>
      </c>
      <c r="B1211" s="6" t="s">
        <v>521</v>
      </c>
      <c r="C1211" s="6" t="s">
        <v>20</v>
      </c>
      <c r="D1211" s="7"/>
      <c r="E1211" s="7"/>
      <c r="F1211" s="7">
        <v>46003</v>
      </c>
      <c r="G1211" s="9">
        <v>292474.48</v>
      </c>
      <c r="H1211" s="9">
        <v>268325.21000000002</v>
      </c>
      <c r="I1211" s="9">
        <v>24149.27</v>
      </c>
      <c r="J1211" s="7">
        <v>46009</v>
      </c>
      <c r="K1211" s="8" t="str">
        <f t="shared" si="55"/>
        <v/>
      </c>
      <c r="L1211" s="8" t="str">
        <f t="shared" si="56"/>
        <v/>
      </c>
      <c r="M1211" s="8">
        <f t="shared" si="54"/>
        <v>6</v>
      </c>
      <c r="N1211" s="6" t="s">
        <v>26</v>
      </c>
    </row>
    <row r="1212" spans="1:14" x14ac:dyDescent="0.2">
      <c r="A1212" s="6" t="s">
        <v>47</v>
      </c>
      <c r="B1212" s="6" t="s">
        <v>521</v>
      </c>
      <c r="C1212" s="6" t="s">
        <v>20</v>
      </c>
      <c r="D1212" s="7"/>
      <c r="E1212" s="7"/>
      <c r="F1212" s="7">
        <v>46003</v>
      </c>
      <c r="G1212" s="9">
        <v>-292474.48</v>
      </c>
      <c r="H1212" s="9">
        <v>-268325.21000000002</v>
      </c>
      <c r="I1212" s="9">
        <v>-24149.27</v>
      </c>
      <c r="J1212" s="7">
        <v>46009</v>
      </c>
      <c r="K1212" s="8" t="str">
        <f t="shared" si="55"/>
        <v/>
      </c>
      <c r="L1212" s="8" t="str">
        <f t="shared" si="56"/>
        <v/>
      </c>
      <c r="M1212" s="8">
        <f t="shared" si="54"/>
        <v>6</v>
      </c>
      <c r="N1212" s="6" t="s">
        <v>26</v>
      </c>
    </row>
    <row r="1213" spans="1:14" x14ac:dyDescent="0.2">
      <c r="A1213" s="6" t="s">
        <v>47</v>
      </c>
      <c r="B1213" s="6" t="s">
        <v>521</v>
      </c>
      <c r="C1213" s="6" t="s">
        <v>20</v>
      </c>
      <c r="D1213" s="7"/>
      <c r="E1213" s="7"/>
      <c r="F1213" s="7">
        <v>46003</v>
      </c>
      <c r="G1213" s="9">
        <v>292474.48</v>
      </c>
      <c r="H1213" s="9">
        <v>258826.97</v>
      </c>
      <c r="I1213" s="9">
        <v>33647.51</v>
      </c>
      <c r="J1213" s="7">
        <v>46009</v>
      </c>
      <c r="K1213" s="8" t="str">
        <f t="shared" si="55"/>
        <v/>
      </c>
      <c r="L1213" s="8" t="str">
        <f t="shared" si="56"/>
        <v/>
      </c>
      <c r="M1213" s="8">
        <f t="shared" si="54"/>
        <v>6</v>
      </c>
      <c r="N1213" s="6" t="s">
        <v>26</v>
      </c>
    </row>
    <row r="1214" spans="1:14" x14ac:dyDescent="0.2">
      <c r="A1214" s="6" t="s">
        <v>54</v>
      </c>
      <c r="B1214" s="6" t="s">
        <v>837</v>
      </c>
      <c r="C1214" s="6" t="s">
        <v>20</v>
      </c>
      <c r="D1214" s="7"/>
      <c r="E1214" s="7"/>
      <c r="F1214" s="7">
        <v>46003</v>
      </c>
      <c r="G1214" s="9">
        <v>783400</v>
      </c>
      <c r="H1214" s="9">
        <v>718715.6</v>
      </c>
      <c r="I1214" s="9">
        <v>64684.4</v>
      </c>
      <c r="J1214" s="7"/>
      <c r="K1214" s="8" t="str">
        <f t="shared" si="55"/>
        <v/>
      </c>
      <c r="L1214" s="8" t="str">
        <f t="shared" si="56"/>
        <v/>
      </c>
      <c r="M1214" s="8" t="str">
        <f t="shared" si="54"/>
        <v/>
      </c>
      <c r="N1214" s="6" t="s">
        <v>21</v>
      </c>
    </row>
    <row r="1215" spans="1:14" x14ac:dyDescent="0.2">
      <c r="A1215" s="6" t="s">
        <v>54</v>
      </c>
      <c r="B1215" s="6" t="s">
        <v>837</v>
      </c>
      <c r="C1215" s="6" t="s">
        <v>20</v>
      </c>
      <c r="D1215" s="7"/>
      <c r="E1215" s="7"/>
      <c r="F1215" s="7">
        <v>46003</v>
      </c>
      <c r="G1215" s="9">
        <v>206000</v>
      </c>
      <c r="H1215" s="9">
        <v>188990.83</v>
      </c>
      <c r="I1215" s="9">
        <v>17009.169999999998</v>
      </c>
      <c r="J1215" s="7"/>
      <c r="K1215" s="8" t="str">
        <f t="shared" si="55"/>
        <v/>
      </c>
      <c r="L1215" s="8" t="str">
        <f t="shared" si="56"/>
        <v/>
      </c>
      <c r="M1215" s="8" t="str">
        <f t="shared" si="54"/>
        <v/>
      </c>
      <c r="N1215" s="6" t="s">
        <v>21</v>
      </c>
    </row>
    <row r="1216" spans="1:14" x14ac:dyDescent="0.2">
      <c r="A1216" s="6" t="s">
        <v>54</v>
      </c>
      <c r="B1216" s="6" t="s">
        <v>838</v>
      </c>
      <c r="C1216" s="6" t="s">
        <v>20</v>
      </c>
      <c r="D1216" s="7"/>
      <c r="E1216" s="7"/>
      <c r="F1216" s="7">
        <v>46003</v>
      </c>
      <c r="G1216" s="9">
        <v>135000</v>
      </c>
      <c r="H1216" s="9">
        <v>123853.21</v>
      </c>
      <c r="I1216" s="9">
        <v>11146.79</v>
      </c>
      <c r="J1216" s="7"/>
      <c r="K1216" s="8" t="str">
        <f t="shared" si="55"/>
        <v/>
      </c>
      <c r="L1216" s="8" t="str">
        <f t="shared" si="56"/>
        <v/>
      </c>
      <c r="M1216" s="8" t="str">
        <f t="shared" si="54"/>
        <v/>
      </c>
      <c r="N1216" s="6" t="s">
        <v>21</v>
      </c>
    </row>
    <row r="1217" spans="1:14" x14ac:dyDescent="0.2">
      <c r="A1217" s="6" t="s">
        <v>47</v>
      </c>
      <c r="B1217" s="6" t="s">
        <v>521</v>
      </c>
      <c r="C1217" s="6" t="s">
        <v>20</v>
      </c>
      <c r="D1217" s="7"/>
      <c r="E1217" s="7"/>
      <c r="F1217" s="7">
        <v>46006</v>
      </c>
      <c r="G1217" s="9">
        <v>-292474.48</v>
      </c>
      <c r="H1217" s="9">
        <v>-258826.97</v>
      </c>
      <c r="I1217" s="9">
        <v>-33647.51</v>
      </c>
      <c r="J1217" s="7">
        <v>46009</v>
      </c>
      <c r="K1217" s="8" t="str">
        <f t="shared" si="55"/>
        <v/>
      </c>
      <c r="L1217" s="8" t="str">
        <f t="shared" si="56"/>
        <v/>
      </c>
      <c r="M1217" s="8">
        <f t="shared" si="54"/>
        <v>3</v>
      </c>
      <c r="N1217" s="6" t="s">
        <v>26</v>
      </c>
    </row>
    <row r="1218" spans="1:14" x14ac:dyDescent="0.2">
      <c r="A1218" s="6" t="s">
        <v>47</v>
      </c>
      <c r="B1218" s="6" t="s">
        <v>521</v>
      </c>
      <c r="C1218" s="6" t="s">
        <v>20</v>
      </c>
      <c r="D1218" s="7"/>
      <c r="E1218" s="7"/>
      <c r="F1218" s="7">
        <v>46006</v>
      </c>
      <c r="G1218" s="9">
        <v>292474.48</v>
      </c>
      <c r="H1218" s="9">
        <v>258826.98</v>
      </c>
      <c r="I1218" s="9">
        <v>33647.5</v>
      </c>
      <c r="J1218" s="7">
        <v>46009</v>
      </c>
      <c r="K1218" s="8" t="str">
        <f t="shared" si="55"/>
        <v/>
      </c>
      <c r="L1218" s="8" t="str">
        <f t="shared" si="56"/>
        <v/>
      </c>
      <c r="M1218" s="8">
        <f t="shared" ref="M1218:M1232" si="57">IF(OR($F1218="", $J1218=""),"", $J1218-$F1218)</f>
        <v>3</v>
      </c>
      <c r="N1218" s="6" t="s">
        <v>26</v>
      </c>
    </row>
    <row r="1219" spans="1:14" x14ac:dyDescent="0.2">
      <c r="A1219" s="6" t="s">
        <v>54</v>
      </c>
      <c r="B1219" s="6" t="s">
        <v>837</v>
      </c>
      <c r="C1219" s="6" t="s">
        <v>20</v>
      </c>
      <c r="D1219" s="7"/>
      <c r="E1219" s="7"/>
      <c r="F1219" s="7">
        <v>46008</v>
      </c>
      <c r="G1219" s="9">
        <v>129000</v>
      </c>
      <c r="H1219" s="9">
        <v>118348.62</v>
      </c>
      <c r="I1219" s="9">
        <v>10651.38</v>
      </c>
      <c r="J1219" s="7"/>
      <c r="K1219" s="8" t="str">
        <f t="shared" ref="K1219:K1232" si="58">IF(OR($D1219="", $F1219=""),"", $E1219-$D1219)</f>
        <v/>
      </c>
      <c r="L1219" s="8" t="str">
        <f t="shared" ref="L1219:L1232" si="59">IF(OR($D1219="", $F1219=""),"", $F1219-$E1219)</f>
        <v/>
      </c>
      <c r="M1219" s="8" t="str">
        <f t="shared" si="57"/>
        <v/>
      </c>
      <c r="N1219" s="6" t="s">
        <v>21</v>
      </c>
    </row>
    <row r="1220" spans="1:14" x14ac:dyDescent="0.2">
      <c r="A1220" s="6" t="s">
        <v>182</v>
      </c>
      <c r="B1220" s="6" t="s">
        <v>839</v>
      </c>
      <c r="C1220" s="6" t="s">
        <v>20</v>
      </c>
      <c r="D1220" s="7"/>
      <c r="E1220" s="7"/>
      <c r="F1220" s="7">
        <v>46010</v>
      </c>
      <c r="G1220" s="9">
        <v>471214</v>
      </c>
      <c r="H1220" s="9">
        <v>417003.54</v>
      </c>
      <c r="I1220" s="9">
        <v>54210.46</v>
      </c>
      <c r="J1220" s="7"/>
      <c r="K1220" s="8" t="str">
        <f t="shared" si="58"/>
        <v/>
      </c>
      <c r="L1220" s="8" t="str">
        <f t="shared" si="59"/>
        <v/>
      </c>
      <c r="M1220" s="8" t="str">
        <f t="shared" si="57"/>
        <v/>
      </c>
      <c r="N1220" s="6" t="s">
        <v>21</v>
      </c>
    </row>
    <row r="1221" spans="1:14" x14ac:dyDescent="0.2">
      <c r="A1221" s="6" t="s">
        <v>425</v>
      </c>
      <c r="B1221" s="6" t="s">
        <v>816</v>
      </c>
      <c r="C1221" s="6" t="s">
        <v>20</v>
      </c>
      <c r="D1221" s="7"/>
      <c r="E1221" s="7"/>
      <c r="F1221" s="7">
        <v>46010</v>
      </c>
      <c r="G1221" s="9">
        <v>134718</v>
      </c>
      <c r="H1221" s="9">
        <v>123594.5</v>
      </c>
      <c r="I1221" s="9">
        <v>11123.5</v>
      </c>
      <c r="J1221" s="7">
        <v>46020</v>
      </c>
      <c r="K1221" s="8" t="str">
        <f t="shared" si="58"/>
        <v/>
      </c>
      <c r="L1221" s="8" t="str">
        <f t="shared" si="59"/>
        <v/>
      </c>
      <c r="M1221" s="8">
        <f t="shared" si="57"/>
        <v>10</v>
      </c>
      <c r="N1221" s="6" t="s">
        <v>26</v>
      </c>
    </row>
    <row r="1222" spans="1:14" x14ac:dyDescent="0.2">
      <c r="A1222" s="6" t="s">
        <v>425</v>
      </c>
      <c r="B1222" s="6" t="s">
        <v>816</v>
      </c>
      <c r="C1222" s="6" t="s">
        <v>20</v>
      </c>
      <c r="D1222" s="7"/>
      <c r="E1222" s="7"/>
      <c r="F1222" s="7">
        <v>46010</v>
      </c>
      <c r="G1222" s="9">
        <v>42890</v>
      </c>
      <c r="H1222" s="9">
        <v>39348.620000000003</v>
      </c>
      <c r="I1222" s="9">
        <v>3541.38</v>
      </c>
      <c r="J1222" s="7">
        <v>46020</v>
      </c>
      <c r="K1222" s="8" t="str">
        <f t="shared" si="58"/>
        <v/>
      </c>
      <c r="L1222" s="8" t="str">
        <f t="shared" si="59"/>
        <v/>
      </c>
      <c r="M1222" s="8">
        <f t="shared" si="57"/>
        <v>10</v>
      </c>
      <c r="N1222" s="6" t="s">
        <v>26</v>
      </c>
    </row>
    <row r="1223" spans="1:14" x14ac:dyDescent="0.2">
      <c r="A1223" s="6" t="s">
        <v>425</v>
      </c>
      <c r="B1223" s="6" t="s">
        <v>816</v>
      </c>
      <c r="C1223" s="6" t="s">
        <v>20</v>
      </c>
      <c r="D1223" s="7"/>
      <c r="E1223" s="7"/>
      <c r="F1223" s="7">
        <v>46013</v>
      </c>
      <c r="G1223" s="9">
        <v>102799</v>
      </c>
      <c r="H1223" s="9">
        <v>94311.01</v>
      </c>
      <c r="I1223" s="9">
        <v>8487.9900000000107</v>
      </c>
      <c r="J1223" s="7">
        <v>46020</v>
      </c>
      <c r="K1223" s="8" t="str">
        <f t="shared" si="58"/>
        <v/>
      </c>
      <c r="L1223" s="8" t="str">
        <f t="shared" si="59"/>
        <v/>
      </c>
      <c r="M1223" s="8">
        <f t="shared" si="57"/>
        <v>7</v>
      </c>
      <c r="N1223" s="6" t="s">
        <v>26</v>
      </c>
    </row>
    <row r="1224" spans="1:14" x14ac:dyDescent="0.2">
      <c r="A1224" s="6" t="s">
        <v>840</v>
      </c>
      <c r="B1224" s="6" t="s">
        <v>841</v>
      </c>
      <c r="C1224" s="6" t="s">
        <v>20</v>
      </c>
      <c r="D1224" s="7"/>
      <c r="E1224" s="7"/>
      <c r="F1224" s="7">
        <v>46013</v>
      </c>
      <c r="G1224" s="9">
        <v>87912</v>
      </c>
      <c r="H1224" s="9">
        <v>77798.23</v>
      </c>
      <c r="I1224" s="9">
        <v>10113.77</v>
      </c>
      <c r="J1224" s="7"/>
      <c r="K1224" s="8" t="str">
        <f t="shared" si="58"/>
        <v/>
      </c>
      <c r="L1224" s="8" t="str">
        <f t="shared" si="59"/>
        <v/>
      </c>
      <c r="M1224" s="8" t="str">
        <f t="shared" si="57"/>
        <v/>
      </c>
      <c r="N1224" s="6" t="s">
        <v>21</v>
      </c>
    </row>
    <row r="1225" spans="1:14" x14ac:dyDescent="0.2">
      <c r="A1225" s="6" t="s">
        <v>223</v>
      </c>
      <c r="B1225" s="6" t="s">
        <v>792</v>
      </c>
      <c r="C1225" s="6" t="s">
        <v>20</v>
      </c>
      <c r="D1225" s="7"/>
      <c r="E1225" s="7"/>
      <c r="F1225" s="7">
        <v>46014</v>
      </c>
      <c r="G1225" s="9">
        <v>-25390</v>
      </c>
      <c r="H1225" s="9">
        <v>-22469.03</v>
      </c>
      <c r="I1225" s="9">
        <v>2920.97</v>
      </c>
      <c r="J1225" s="7"/>
      <c r="K1225" s="8" t="str">
        <f t="shared" si="58"/>
        <v/>
      </c>
      <c r="L1225" s="8" t="str">
        <f t="shared" si="59"/>
        <v/>
      </c>
      <c r="M1225" s="8" t="str">
        <f t="shared" si="57"/>
        <v/>
      </c>
      <c r="N1225" s="6" t="s">
        <v>21</v>
      </c>
    </row>
    <row r="1226" spans="1:14" x14ac:dyDescent="0.2">
      <c r="A1226" s="6" t="s">
        <v>223</v>
      </c>
      <c r="B1226" s="6" t="s">
        <v>792</v>
      </c>
      <c r="C1226" s="6" t="s">
        <v>20</v>
      </c>
      <c r="D1226" s="7"/>
      <c r="E1226" s="7"/>
      <c r="F1226" s="7">
        <v>46014</v>
      </c>
      <c r="G1226" s="9">
        <v>25390</v>
      </c>
      <c r="H1226" s="9">
        <v>22469.03</v>
      </c>
      <c r="I1226" s="9">
        <v>2920.97</v>
      </c>
      <c r="J1226" s="7"/>
      <c r="K1226" s="8" t="str">
        <f t="shared" si="58"/>
        <v/>
      </c>
      <c r="L1226" s="8" t="str">
        <f t="shared" si="59"/>
        <v/>
      </c>
      <c r="M1226" s="8" t="str">
        <f t="shared" si="57"/>
        <v/>
      </c>
      <c r="N1226" s="6" t="s">
        <v>21</v>
      </c>
    </row>
    <row r="1227" spans="1:14" x14ac:dyDescent="0.2">
      <c r="A1227" s="6" t="s">
        <v>54</v>
      </c>
      <c r="B1227" s="6" t="s">
        <v>700</v>
      </c>
      <c r="C1227" s="6" t="s">
        <v>20</v>
      </c>
      <c r="D1227" s="7"/>
      <c r="E1227" s="7"/>
      <c r="F1227" s="7">
        <v>46014</v>
      </c>
      <c r="G1227" s="9">
        <v>-127000</v>
      </c>
      <c r="H1227" s="9">
        <v>-116513.76</v>
      </c>
      <c r="I1227" s="9">
        <v>-10486.24</v>
      </c>
      <c r="J1227" s="7"/>
      <c r="K1227" s="8" t="str">
        <f t="shared" si="58"/>
        <v/>
      </c>
      <c r="L1227" s="8" t="str">
        <f t="shared" si="59"/>
        <v/>
      </c>
      <c r="M1227" s="8" t="str">
        <f t="shared" si="57"/>
        <v/>
      </c>
      <c r="N1227" s="6" t="s">
        <v>21</v>
      </c>
    </row>
    <row r="1228" spans="1:14" x14ac:dyDescent="0.2">
      <c r="A1228" s="6" t="s">
        <v>425</v>
      </c>
      <c r="B1228" s="6" t="s">
        <v>842</v>
      </c>
      <c r="C1228" s="6" t="s">
        <v>20</v>
      </c>
      <c r="D1228" s="7"/>
      <c r="E1228" s="7"/>
      <c r="F1228" s="7">
        <v>46015</v>
      </c>
      <c r="G1228" s="9">
        <v>534166</v>
      </c>
      <c r="H1228" s="9">
        <v>490060.55</v>
      </c>
      <c r="I1228" s="9">
        <v>44105.45</v>
      </c>
      <c r="J1228" s="7">
        <v>46020</v>
      </c>
      <c r="K1228" s="8" t="str">
        <f t="shared" si="58"/>
        <v/>
      </c>
      <c r="L1228" s="8" t="str">
        <f t="shared" si="59"/>
        <v/>
      </c>
      <c r="M1228" s="8">
        <f t="shared" si="57"/>
        <v>5</v>
      </c>
      <c r="N1228" s="6" t="s">
        <v>26</v>
      </c>
    </row>
    <row r="1229" spans="1:14" x14ac:dyDescent="0.2">
      <c r="A1229" s="6" t="s">
        <v>637</v>
      </c>
      <c r="B1229" s="6" t="s">
        <v>843</v>
      </c>
      <c r="C1229" s="6" t="s">
        <v>20</v>
      </c>
      <c r="D1229" s="7"/>
      <c r="E1229" s="7"/>
      <c r="F1229" s="7">
        <v>46015</v>
      </c>
      <c r="G1229" s="9">
        <v>120000</v>
      </c>
      <c r="H1229" s="9">
        <v>106194.69</v>
      </c>
      <c r="I1229" s="9">
        <v>13805.31</v>
      </c>
      <c r="J1229" s="7">
        <v>46017</v>
      </c>
      <c r="K1229" s="8" t="str">
        <f t="shared" si="58"/>
        <v/>
      </c>
      <c r="L1229" s="8" t="str">
        <f t="shared" si="59"/>
        <v/>
      </c>
      <c r="M1229" s="8">
        <f t="shared" si="57"/>
        <v>2</v>
      </c>
      <c r="N1229" s="6" t="s">
        <v>26</v>
      </c>
    </row>
    <row r="1230" spans="1:14" x14ac:dyDescent="0.2">
      <c r="A1230" s="6" t="s">
        <v>840</v>
      </c>
      <c r="B1230" s="6" t="s">
        <v>841</v>
      </c>
      <c r="C1230" s="6" t="s">
        <v>20</v>
      </c>
      <c r="D1230" s="7"/>
      <c r="E1230" s="7"/>
      <c r="F1230" s="7">
        <v>46015</v>
      </c>
      <c r="G1230" s="9">
        <v>-87912</v>
      </c>
      <c r="H1230" s="9">
        <v>-77798.23</v>
      </c>
      <c r="I1230" s="9">
        <v>-10113.77</v>
      </c>
      <c r="J1230" s="7"/>
      <c r="K1230" s="8" t="str">
        <f t="shared" si="58"/>
        <v/>
      </c>
      <c r="L1230" s="8" t="str">
        <f t="shared" si="59"/>
        <v/>
      </c>
      <c r="M1230" s="8" t="str">
        <f t="shared" si="57"/>
        <v/>
      </c>
      <c r="N1230" s="6" t="s">
        <v>21</v>
      </c>
    </row>
    <row r="1231" spans="1:14" x14ac:dyDescent="0.2">
      <c r="A1231" s="6" t="s">
        <v>840</v>
      </c>
      <c r="B1231" s="6" t="s">
        <v>841</v>
      </c>
      <c r="C1231" s="6" t="s">
        <v>20</v>
      </c>
      <c r="D1231" s="7"/>
      <c r="E1231" s="7"/>
      <c r="F1231" s="7">
        <v>46015</v>
      </c>
      <c r="G1231" s="9">
        <v>65686.5</v>
      </c>
      <c r="H1231" s="9">
        <v>58129.65</v>
      </c>
      <c r="I1231" s="9">
        <v>7556.85</v>
      </c>
      <c r="J1231" s="7"/>
      <c r="K1231" s="8" t="str">
        <f t="shared" si="58"/>
        <v/>
      </c>
      <c r="L1231" s="8" t="str">
        <f t="shared" si="59"/>
        <v/>
      </c>
      <c r="M1231" s="8" t="str">
        <f t="shared" si="57"/>
        <v/>
      </c>
      <c r="N1231" s="6" t="s">
        <v>21</v>
      </c>
    </row>
    <row r="1232" spans="1:14" x14ac:dyDescent="0.2">
      <c r="A1232" s="6" t="s">
        <v>826</v>
      </c>
      <c r="B1232" s="6" t="s">
        <v>844</v>
      </c>
      <c r="C1232" s="6" t="s">
        <v>20</v>
      </c>
      <c r="D1232" s="7"/>
      <c r="E1232" s="7"/>
      <c r="F1232" s="7">
        <v>46022</v>
      </c>
      <c r="G1232" s="9">
        <v>615178</v>
      </c>
      <c r="H1232" s="9">
        <v>564383.49</v>
      </c>
      <c r="I1232" s="9">
        <v>50794.51</v>
      </c>
      <c r="J1232" s="7">
        <v>46022</v>
      </c>
      <c r="K1232" s="8" t="str">
        <f t="shared" si="58"/>
        <v/>
      </c>
      <c r="L1232" s="8" t="str">
        <f t="shared" si="59"/>
        <v/>
      </c>
      <c r="M1232" s="8">
        <f t="shared" si="57"/>
        <v>0</v>
      </c>
      <c r="N1232" s="6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73"/>
  <sheetViews>
    <sheetView workbookViewId="0">
      <selection activeCell="F39" sqref="F39"/>
    </sheetView>
  </sheetViews>
  <sheetFormatPr baseColWidth="10" defaultColWidth="8.83203125" defaultRowHeight="15" x14ac:dyDescent="0.2"/>
  <cols>
    <col min="1" max="1" width="18" style="6" customWidth="1"/>
    <col min="2" max="2" width="24" style="6" customWidth="1"/>
    <col min="3" max="6" width="12" style="6" customWidth="1"/>
    <col min="7" max="7" width="12.6640625" style="6" customWidth="1"/>
    <col min="8" max="8" width="12" style="6" hidden="1" customWidth="1"/>
    <col min="9" max="9" width="10.83203125" style="6" customWidth="1"/>
    <col min="10" max="10" width="10" style="6" customWidth="1"/>
    <col min="11" max="12" width="14" style="6" customWidth="1"/>
    <col min="13" max="16384" width="8.83203125" style="6"/>
  </cols>
  <sheetData>
    <row r="1" spans="1:12" ht="16" x14ac:dyDescent="0.2">
      <c r="A1" s="10" t="s">
        <v>845</v>
      </c>
      <c r="B1" s="10" t="s">
        <v>6</v>
      </c>
      <c r="C1" s="10" t="s">
        <v>909</v>
      </c>
      <c r="D1" s="10" t="s">
        <v>10</v>
      </c>
      <c r="E1" s="10" t="s">
        <v>1299</v>
      </c>
      <c r="F1" s="10" t="s">
        <v>11</v>
      </c>
      <c r="G1" s="10" t="s">
        <v>1300</v>
      </c>
      <c r="H1" s="10" t="s">
        <v>910</v>
      </c>
      <c r="I1" s="10" t="s">
        <v>911</v>
      </c>
      <c r="J1" s="10" t="s">
        <v>912</v>
      </c>
      <c r="K1" s="10" t="s">
        <v>913</v>
      </c>
      <c r="L1" s="10" t="s">
        <v>914</v>
      </c>
    </row>
    <row r="2" spans="1:12" x14ac:dyDescent="0.2">
      <c r="A2" s="6" t="s">
        <v>916</v>
      </c>
      <c r="B2" s="6" t="s">
        <v>915</v>
      </c>
      <c r="C2" s="7">
        <v>39363</v>
      </c>
      <c r="D2" s="7">
        <v>39453</v>
      </c>
      <c r="E2" s="8">
        <f>IF(OR($C2="", $D2=""),"", $D2-$C2)</f>
        <v>90</v>
      </c>
      <c r="F2" s="7"/>
      <c r="G2" s="8" t="str">
        <f>IF(OR($C2="", $D2="",$F2=""),"", $F2-$D2)</f>
        <v/>
      </c>
      <c r="H2" s="7">
        <v>39453</v>
      </c>
      <c r="I2" s="8">
        <f>IF($H2="", "", 参数!$B$3-$H2)</f>
        <v>6571</v>
      </c>
      <c r="J2" s="6" t="s">
        <v>917</v>
      </c>
      <c r="K2" s="9">
        <v>35460</v>
      </c>
      <c r="L2" s="9"/>
    </row>
    <row r="3" spans="1:12" x14ac:dyDescent="0.2">
      <c r="A3" s="6" t="s">
        <v>919</v>
      </c>
      <c r="B3" s="6" t="s">
        <v>918</v>
      </c>
      <c r="C3" s="7">
        <v>39700</v>
      </c>
      <c r="D3" s="7">
        <v>39717</v>
      </c>
      <c r="E3" s="8">
        <f t="shared" ref="E3:E66" si="0">IF(OR($C3="", $D3=""),"", $D3-$C3)</f>
        <v>17</v>
      </c>
      <c r="F3" s="7">
        <v>39717</v>
      </c>
      <c r="G3" s="8">
        <f t="shared" ref="G3:G66" si="1">IF(OR($C3="", $D3="",$F3=""),"", $F3-$D3)</f>
        <v>0</v>
      </c>
      <c r="H3" s="7">
        <v>39717</v>
      </c>
      <c r="I3" s="8">
        <f>IF($H3="", "", 参数!$B$3-$H3)</f>
        <v>6307</v>
      </c>
      <c r="J3" s="6" t="s">
        <v>917</v>
      </c>
      <c r="K3" s="9">
        <v>5900</v>
      </c>
      <c r="L3" s="9"/>
    </row>
    <row r="4" spans="1:12" x14ac:dyDescent="0.2">
      <c r="A4" s="6" t="s">
        <v>921</v>
      </c>
      <c r="B4" s="6" t="s">
        <v>920</v>
      </c>
      <c r="C4" s="7">
        <v>39731</v>
      </c>
      <c r="D4" s="7">
        <v>39749</v>
      </c>
      <c r="E4" s="8">
        <f t="shared" si="0"/>
        <v>18</v>
      </c>
      <c r="F4" s="7">
        <v>39749</v>
      </c>
      <c r="G4" s="8">
        <f t="shared" si="1"/>
        <v>0</v>
      </c>
      <c r="H4" s="7">
        <v>39749</v>
      </c>
      <c r="I4" s="8">
        <f>IF($H4="", "", 参数!$B$3-$H4)</f>
        <v>6275</v>
      </c>
      <c r="J4" s="6" t="s">
        <v>917</v>
      </c>
      <c r="K4" s="9">
        <v>7500</v>
      </c>
      <c r="L4" s="9"/>
    </row>
    <row r="5" spans="1:12" x14ac:dyDescent="0.2">
      <c r="A5" s="6" t="s">
        <v>923</v>
      </c>
      <c r="B5" s="6" t="s">
        <v>922</v>
      </c>
      <c r="C5" s="7">
        <v>40032</v>
      </c>
      <c r="D5" s="7">
        <v>40122</v>
      </c>
      <c r="E5" s="8">
        <f t="shared" si="0"/>
        <v>90</v>
      </c>
      <c r="F5" s="7"/>
      <c r="G5" s="8" t="str">
        <f t="shared" si="1"/>
        <v/>
      </c>
      <c r="H5" s="7">
        <v>40122</v>
      </c>
      <c r="I5" s="8">
        <f>IF($H5="", "", 参数!$B$3-$H5)</f>
        <v>5902</v>
      </c>
      <c r="J5" s="6" t="s">
        <v>917</v>
      </c>
      <c r="K5" s="9">
        <v>26400</v>
      </c>
      <c r="L5" s="9"/>
    </row>
    <row r="6" spans="1:12" x14ac:dyDescent="0.2">
      <c r="A6" s="6" t="s">
        <v>925</v>
      </c>
      <c r="B6" s="6" t="s">
        <v>924</v>
      </c>
      <c r="C6" s="7">
        <v>40137</v>
      </c>
      <c r="D6" s="7">
        <v>40227</v>
      </c>
      <c r="E6" s="8">
        <f t="shared" si="0"/>
        <v>90</v>
      </c>
      <c r="F6" s="7"/>
      <c r="G6" s="8" t="str">
        <f t="shared" si="1"/>
        <v/>
      </c>
      <c r="H6" s="7">
        <v>40227</v>
      </c>
      <c r="I6" s="8">
        <f>IF($H6="", "", 参数!$B$3-$H6)</f>
        <v>5797</v>
      </c>
      <c r="J6" s="6" t="s">
        <v>917</v>
      </c>
      <c r="K6" s="9">
        <v>27000</v>
      </c>
      <c r="L6" s="9"/>
    </row>
    <row r="7" spans="1:12" x14ac:dyDescent="0.2">
      <c r="A7" s="6" t="s">
        <v>927</v>
      </c>
      <c r="B7" s="6" t="s">
        <v>926</v>
      </c>
      <c r="C7" s="7">
        <v>40140</v>
      </c>
      <c r="D7" s="7">
        <v>40170</v>
      </c>
      <c r="E7" s="8">
        <f t="shared" si="0"/>
        <v>30</v>
      </c>
      <c r="F7" s="7">
        <v>40170</v>
      </c>
      <c r="G7" s="8">
        <f t="shared" si="1"/>
        <v>0</v>
      </c>
      <c r="H7" s="7">
        <v>40170</v>
      </c>
      <c r="I7" s="8">
        <f>IF($H7="", "", 参数!$B$3-$H7)</f>
        <v>5854</v>
      </c>
      <c r="J7" s="6" t="s">
        <v>917</v>
      </c>
      <c r="K7" s="9">
        <v>18000</v>
      </c>
      <c r="L7" s="9"/>
    </row>
    <row r="8" spans="1:12" x14ac:dyDescent="0.2">
      <c r="A8" s="6" t="s">
        <v>928</v>
      </c>
      <c r="B8" s="6" t="s">
        <v>918</v>
      </c>
      <c r="C8" s="7">
        <v>40341</v>
      </c>
      <c r="D8" s="7">
        <v>40431</v>
      </c>
      <c r="E8" s="8">
        <f t="shared" si="0"/>
        <v>90</v>
      </c>
      <c r="F8" s="7"/>
      <c r="G8" s="8" t="str">
        <f t="shared" si="1"/>
        <v/>
      </c>
      <c r="H8" s="7">
        <v>40431</v>
      </c>
      <c r="I8" s="8">
        <f>IF($H8="", "", 参数!$B$3-$H8)</f>
        <v>5593</v>
      </c>
      <c r="J8" s="6" t="s">
        <v>917</v>
      </c>
      <c r="K8" s="9">
        <v>2400</v>
      </c>
      <c r="L8" s="9"/>
    </row>
    <row r="9" spans="1:12" x14ac:dyDescent="0.2">
      <c r="A9" s="6" t="s">
        <v>930</v>
      </c>
      <c r="B9" s="6" t="s">
        <v>929</v>
      </c>
      <c r="C9" s="7">
        <v>40478</v>
      </c>
      <c r="D9" s="7">
        <v>40479</v>
      </c>
      <c r="E9" s="8">
        <f t="shared" si="0"/>
        <v>1</v>
      </c>
      <c r="F9" s="7">
        <v>40479</v>
      </c>
      <c r="G9" s="8">
        <f t="shared" si="1"/>
        <v>0</v>
      </c>
      <c r="H9" s="7">
        <v>40479</v>
      </c>
      <c r="I9" s="8">
        <f>IF($H9="", "", 参数!$B$3-$H9)</f>
        <v>5545</v>
      </c>
      <c r="J9" s="6" t="s">
        <v>917</v>
      </c>
      <c r="K9" s="9">
        <v>6000</v>
      </c>
      <c r="L9" s="9"/>
    </row>
    <row r="10" spans="1:12" x14ac:dyDescent="0.2">
      <c r="A10" s="6" t="s">
        <v>932</v>
      </c>
      <c r="B10" s="6" t="s">
        <v>931</v>
      </c>
      <c r="C10" s="7">
        <v>40535</v>
      </c>
      <c r="D10" s="7">
        <v>40549</v>
      </c>
      <c r="E10" s="8">
        <f t="shared" si="0"/>
        <v>14</v>
      </c>
      <c r="F10" s="7">
        <v>40549</v>
      </c>
      <c r="G10" s="8">
        <f t="shared" si="1"/>
        <v>0</v>
      </c>
      <c r="H10" s="7">
        <v>40549</v>
      </c>
      <c r="I10" s="8">
        <f>IF($H10="", "", 参数!$B$3-$H10)</f>
        <v>5475</v>
      </c>
      <c r="J10" s="6" t="s">
        <v>917</v>
      </c>
      <c r="K10" s="9">
        <v>740</v>
      </c>
      <c r="L10" s="9"/>
    </row>
    <row r="11" spans="1:12" x14ac:dyDescent="0.2">
      <c r="A11" s="6" t="s">
        <v>934</v>
      </c>
      <c r="B11" s="6" t="s">
        <v>933</v>
      </c>
      <c r="C11" s="7">
        <v>40549</v>
      </c>
      <c r="D11" s="7">
        <v>40563</v>
      </c>
      <c r="E11" s="8">
        <f t="shared" si="0"/>
        <v>14</v>
      </c>
      <c r="F11" s="7">
        <v>40563</v>
      </c>
      <c r="G11" s="8">
        <f t="shared" si="1"/>
        <v>0</v>
      </c>
      <c r="H11" s="7">
        <v>40563</v>
      </c>
      <c r="I11" s="8">
        <f>IF($H11="", "", 参数!$B$3-$H11)</f>
        <v>5461</v>
      </c>
      <c r="J11" s="6" t="s">
        <v>917</v>
      </c>
      <c r="K11" s="9">
        <v>7800</v>
      </c>
      <c r="L11" s="9"/>
    </row>
    <row r="12" spans="1:12" x14ac:dyDescent="0.2">
      <c r="A12" s="6" t="s">
        <v>935</v>
      </c>
      <c r="B12" s="6" t="s">
        <v>495</v>
      </c>
      <c r="C12" s="7">
        <v>40583</v>
      </c>
      <c r="D12" s="7">
        <v>40732</v>
      </c>
      <c r="E12" s="8">
        <f t="shared" si="0"/>
        <v>149</v>
      </c>
      <c r="F12" s="7">
        <v>40732</v>
      </c>
      <c r="G12" s="8">
        <f t="shared" si="1"/>
        <v>0</v>
      </c>
      <c r="H12" s="7">
        <v>40732</v>
      </c>
      <c r="I12" s="8">
        <f>IF($H12="", "", 参数!$B$3-$H12)</f>
        <v>5292</v>
      </c>
      <c r="J12" s="6" t="s">
        <v>917</v>
      </c>
      <c r="K12" s="9">
        <v>19000</v>
      </c>
      <c r="L12" s="9"/>
    </row>
    <row r="13" spans="1:12" x14ac:dyDescent="0.2">
      <c r="A13" s="6" t="s">
        <v>936</v>
      </c>
      <c r="B13" s="6" t="s">
        <v>926</v>
      </c>
      <c r="C13" s="7">
        <v>40693</v>
      </c>
      <c r="D13" s="7">
        <v>40792</v>
      </c>
      <c r="E13" s="8">
        <f t="shared" si="0"/>
        <v>99</v>
      </c>
      <c r="F13" s="7">
        <v>40792</v>
      </c>
      <c r="G13" s="8">
        <f t="shared" si="1"/>
        <v>0</v>
      </c>
      <c r="H13" s="7">
        <v>40792</v>
      </c>
      <c r="I13" s="8">
        <f>IF($H13="", "", 参数!$B$3-$H13)</f>
        <v>5232</v>
      </c>
      <c r="J13" s="6" t="s">
        <v>917</v>
      </c>
      <c r="K13" s="9">
        <v>18000</v>
      </c>
      <c r="L13" s="9"/>
    </row>
    <row r="14" spans="1:12" x14ac:dyDescent="0.2">
      <c r="A14" s="6" t="s">
        <v>938</v>
      </c>
      <c r="B14" s="6" t="s">
        <v>937</v>
      </c>
      <c r="C14" s="7">
        <v>40773</v>
      </c>
      <c r="D14" s="7">
        <v>41234</v>
      </c>
      <c r="E14" s="8">
        <f t="shared" si="0"/>
        <v>461</v>
      </c>
      <c r="F14" s="7"/>
      <c r="G14" s="8" t="str">
        <f t="shared" si="1"/>
        <v/>
      </c>
      <c r="H14" s="7">
        <v>41234</v>
      </c>
      <c r="I14" s="8">
        <f>IF($H14="", "", 参数!$B$3-$H14)</f>
        <v>4790</v>
      </c>
      <c r="J14" s="6" t="s">
        <v>917</v>
      </c>
      <c r="K14" s="9">
        <v>46000</v>
      </c>
      <c r="L14" s="9"/>
    </row>
    <row r="15" spans="1:12" x14ac:dyDescent="0.2">
      <c r="A15" s="6" t="s">
        <v>940</v>
      </c>
      <c r="B15" s="6" t="s">
        <v>939</v>
      </c>
      <c r="C15" s="7">
        <v>40791</v>
      </c>
      <c r="D15" s="7">
        <v>40881</v>
      </c>
      <c r="E15" s="8">
        <f t="shared" si="0"/>
        <v>90</v>
      </c>
      <c r="F15" s="7"/>
      <c r="G15" s="8" t="str">
        <f t="shared" si="1"/>
        <v/>
      </c>
      <c r="H15" s="7">
        <v>40881</v>
      </c>
      <c r="I15" s="8">
        <f>IF($H15="", "", 参数!$B$3-$H15)</f>
        <v>5143</v>
      </c>
      <c r="J15" s="6" t="s">
        <v>917</v>
      </c>
      <c r="K15" s="9">
        <v>5100</v>
      </c>
      <c r="L15" s="9"/>
    </row>
    <row r="16" spans="1:12" x14ac:dyDescent="0.2">
      <c r="A16" s="6" t="s">
        <v>942</v>
      </c>
      <c r="B16" s="6" t="s">
        <v>941</v>
      </c>
      <c r="C16" s="7">
        <v>40808</v>
      </c>
      <c r="D16" s="7">
        <v>40898</v>
      </c>
      <c r="E16" s="8">
        <f t="shared" si="0"/>
        <v>90</v>
      </c>
      <c r="F16" s="7"/>
      <c r="G16" s="8" t="str">
        <f t="shared" si="1"/>
        <v/>
      </c>
      <c r="H16" s="7">
        <v>40898</v>
      </c>
      <c r="I16" s="8">
        <f>IF($H16="", "", 参数!$B$3-$H16)</f>
        <v>5126</v>
      </c>
      <c r="J16" s="6" t="s">
        <v>917</v>
      </c>
      <c r="K16" s="9">
        <v>5800</v>
      </c>
      <c r="L16" s="9"/>
    </row>
    <row r="17" spans="1:12" x14ac:dyDescent="0.2">
      <c r="A17" s="6" t="s">
        <v>944</v>
      </c>
      <c r="B17" s="6" t="s">
        <v>943</v>
      </c>
      <c r="C17" s="7">
        <v>40841</v>
      </c>
      <c r="D17" s="7">
        <v>40931</v>
      </c>
      <c r="E17" s="8">
        <f t="shared" si="0"/>
        <v>90</v>
      </c>
      <c r="F17" s="7"/>
      <c r="G17" s="8" t="str">
        <f t="shared" si="1"/>
        <v/>
      </c>
      <c r="H17" s="7">
        <v>40931</v>
      </c>
      <c r="I17" s="8">
        <f>IF($H17="", "", 参数!$B$3-$H17)</f>
        <v>5093</v>
      </c>
      <c r="J17" s="6" t="s">
        <v>917</v>
      </c>
      <c r="K17" s="9">
        <v>3400</v>
      </c>
      <c r="L17" s="9"/>
    </row>
    <row r="18" spans="1:12" x14ac:dyDescent="0.2">
      <c r="A18" s="6" t="s">
        <v>946</v>
      </c>
      <c r="B18" s="6" t="s">
        <v>945</v>
      </c>
      <c r="C18" s="7">
        <v>40841</v>
      </c>
      <c r="D18" s="7">
        <v>40931</v>
      </c>
      <c r="E18" s="8">
        <f t="shared" si="0"/>
        <v>90</v>
      </c>
      <c r="F18" s="7"/>
      <c r="G18" s="8" t="str">
        <f t="shared" si="1"/>
        <v/>
      </c>
      <c r="H18" s="7">
        <v>40931</v>
      </c>
      <c r="I18" s="8">
        <f>IF($H18="", "", 参数!$B$3-$H18)</f>
        <v>5093</v>
      </c>
      <c r="J18" s="6" t="s">
        <v>917</v>
      </c>
      <c r="K18" s="9">
        <v>37600</v>
      </c>
      <c r="L18" s="9"/>
    </row>
    <row r="19" spans="1:12" x14ac:dyDescent="0.2">
      <c r="A19" s="6" t="s">
        <v>948</v>
      </c>
      <c r="B19" s="6" t="s">
        <v>947</v>
      </c>
      <c r="C19" s="7">
        <v>40877</v>
      </c>
      <c r="D19" s="7">
        <v>40967</v>
      </c>
      <c r="E19" s="8">
        <f t="shared" si="0"/>
        <v>90</v>
      </c>
      <c r="F19" s="7"/>
      <c r="G19" s="8" t="str">
        <f t="shared" si="1"/>
        <v/>
      </c>
      <c r="H19" s="7">
        <v>40967</v>
      </c>
      <c r="I19" s="8">
        <f>IF($H19="", "", 参数!$B$3-$H19)</f>
        <v>5057</v>
      </c>
      <c r="J19" s="6" t="s">
        <v>917</v>
      </c>
      <c r="K19" s="9">
        <v>10000</v>
      </c>
      <c r="L19" s="9"/>
    </row>
    <row r="20" spans="1:12" x14ac:dyDescent="0.2">
      <c r="A20" s="6" t="s">
        <v>949</v>
      </c>
      <c r="B20" s="6" t="s">
        <v>926</v>
      </c>
      <c r="C20" s="7">
        <v>40922</v>
      </c>
      <c r="D20" s="7">
        <v>40963</v>
      </c>
      <c r="E20" s="8">
        <f t="shared" si="0"/>
        <v>41</v>
      </c>
      <c r="F20" s="7">
        <v>40963</v>
      </c>
      <c r="G20" s="8">
        <f t="shared" si="1"/>
        <v>0</v>
      </c>
      <c r="H20" s="7">
        <v>40963</v>
      </c>
      <c r="I20" s="8">
        <f>IF($H20="", "", 参数!$B$3-$H20)</f>
        <v>5061</v>
      </c>
      <c r="J20" s="6" t="s">
        <v>917</v>
      </c>
      <c r="K20" s="9">
        <v>2800</v>
      </c>
      <c r="L20" s="9"/>
    </row>
    <row r="21" spans="1:12" x14ac:dyDescent="0.2">
      <c r="A21" s="6" t="s">
        <v>950</v>
      </c>
      <c r="B21" s="6" t="s">
        <v>947</v>
      </c>
      <c r="C21" s="7">
        <v>41008</v>
      </c>
      <c r="D21" s="7">
        <v>41098</v>
      </c>
      <c r="E21" s="8">
        <f t="shared" si="0"/>
        <v>90</v>
      </c>
      <c r="F21" s="7"/>
      <c r="G21" s="8" t="str">
        <f t="shared" si="1"/>
        <v/>
      </c>
      <c r="H21" s="7">
        <v>41098</v>
      </c>
      <c r="I21" s="8">
        <f>IF($H21="", "", 参数!$B$3-$H21)</f>
        <v>4926</v>
      </c>
      <c r="J21" s="6" t="s">
        <v>917</v>
      </c>
      <c r="K21" s="9">
        <v>800</v>
      </c>
      <c r="L21" s="9"/>
    </row>
    <row r="22" spans="1:12" x14ac:dyDescent="0.2">
      <c r="A22" s="6" t="s">
        <v>952</v>
      </c>
      <c r="B22" s="6" t="s">
        <v>951</v>
      </c>
      <c r="C22" s="7">
        <v>41028</v>
      </c>
      <c r="D22" s="7">
        <v>41118</v>
      </c>
      <c r="E22" s="8">
        <f t="shared" si="0"/>
        <v>90</v>
      </c>
      <c r="F22" s="7"/>
      <c r="G22" s="8" t="str">
        <f t="shared" si="1"/>
        <v/>
      </c>
      <c r="H22" s="7">
        <v>41118</v>
      </c>
      <c r="I22" s="8">
        <f>IF($H22="", "", 参数!$B$3-$H22)</f>
        <v>4906</v>
      </c>
      <c r="J22" s="6" t="s">
        <v>917</v>
      </c>
      <c r="K22" s="9">
        <v>36000</v>
      </c>
      <c r="L22" s="9"/>
    </row>
    <row r="23" spans="1:12" x14ac:dyDescent="0.2">
      <c r="A23" s="6" t="s">
        <v>953</v>
      </c>
      <c r="B23" s="6" t="s">
        <v>931</v>
      </c>
      <c r="C23" s="7">
        <v>41041</v>
      </c>
      <c r="D23" s="7">
        <v>41047</v>
      </c>
      <c r="E23" s="8">
        <f t="shared" si="0"/>
        <v>6</v>
      </c>
      <c r="F23" s="7">
        <v>41047</v>
      </c>
      <c r="G23" s="8">
        <f t="shared" si="1"/>
        <v>0</v>
      </c>
      <c r="H23" s="7">
        <v>41047</v>
      </c>
      <c r="I23" s="8">
        <f>IF($H23="", "", 参数!$B$3-$H23)</f>
        <v>4977</v>
      </c>
      <c r="J23" s="6" t="s">
        <v>917</v>
      </c>
      <c r="K23" s="9">
        <v>2000</v>
      </c>
      <c r="L23" s="9"/>
    </row>
    <row r="24" spans="1:12" x14ac:dyDescent="0.2">
      <c r="A24" s="6" t="s">
        <v>954</v>
      </c>
      <c r="B24" s="6" t="s">
        <v>937</v>
      </c>
      <c r="C24" s="7">
        <v>41094</v>
      </c>
      <c r="D24" s="7">
        <v>41184</v>
      </c>
      <c r="E24" s="8">
        <f t="shared" si="0"/>
        <v>90</v>
      </c>
      <c r="F24" s="7"/>
      <c r="G24" s="8" t="str">
        <f t="shared" si="1"/>
        <v/>
      </c>
      <c r="H24" s="7">
        <v>41184</v>
      </c>
      <c r="I24" s="8">
        <f>IF($H24="", "", 参数!$B$3-$H24)</f>
        <v>4840</v>
      </c>
      <c r="J24" s="6" t="s">
        <v>917</v>
      </c>
      <c r="K24" s="9">
        <v>27800</v>
      </c>
      <c r="L24" s="9"/>
    </row>
    <row r="25" spans="1:12" x14ac:dyDescent="0.2">
      <c r="A25" s="6" t="s">
        <v>956</v>
      </c>
      <c r="B25" s="6" t="s">
        <v>955</v>
      </c>
      <c r="C25" s="7">
        <v>41331</v>
      </c>
      <c r="D25" s="7">
        <v>41411</v>
      </c>
      <c r="E25" s="8">
        <f t="shared" si="0"/>
        <v>80</v>
      </c>
      <c r="F25" s="7">
        <v>41411</v>
      </c>
      <c r="G25" s="8">
        <f t="shared" si="1"/>
        <v>0</v>
      </c>
      <c r="H25" s="7">
        <v>41411</v>
      </c>
      <c r="I25" s="8">
        <f>IF($H25="", "", 参数!$B$3-$H25)</f>
        <v>4613</v>
      </c>
      <c r="J25" s="6" t="s">
        <v>917</v>
      </c>
      <c r="K25" s="9">
        <v>20000</v>
      </c>
      <c r="L25" s="9"/>
    </row>
    <row r="26" spans="1:12" x14ac:dyDescent="0.2">
      <c r="A26" s="6" t="s">
        <v>957</v>
      </c>
      <c r="B26" s="6" t="s">
        <v>495</v>
      </c>
      <c r="C26" s="7">
        <v>41335</v>
      </c>
      <c r="D26" s="7">
        <v>41591</v>
      </c>
      <c r="E26" s="8">
        <f t="shared" si="0"/>
        <v>256</v>
      </c>
      <c r="F26" s="7">
        <v>41591</v>
      </c>
      <c r="G26" s="8">
        <f t="shared" si="1"/>
        <v>0</v>
      </c>
      <c r="H26" s="7">
        <v>41591</v>
      </c>
      <c r="I26" s="8">
        <f>IF($H26="", "", 参数!$B$3-$H26)</f>
        <v>4433</v>
      </c>
      <c r="J26" s="6" t="s">
        <v>917</v>
      </c>
      <c r="K26" s="9">
        <v>6500</v>
      </c>
      <c r="L26" s="9"/>
    </row>
    <row r="27" spans="1:12" x14ac:dyDescent="0.2">
      <c r="A27" s="6" t="s">
        <v>959</v>
      </c>
      <c r="B27" s="6" t="s">
        <v>958</v>
      </c>
      <c r="C27" s="7">
        <v>41338</v>
      </c>
      <c r="D27" s="7">
        <v>41410</v>
      </c>
      <c r="E27" s="8">
        <f t="shared" si="0"/>
        <v>72</v>
      </c>
      <c r="F27" s="7">
        <v>41410</v>
      </c>
      <c r="G27" s="8">
        <f t="shared" si="1"/>
        <v>0</v>
      </c>
      <c r="H27" s="7">
        <v>41410</v>
      </c>
      <c r="I27" s="8">
        <f>IF($H27="", "", 参数!$B$3-$H27)</f>
        <v>4614</v>
      </c>
      <c r="J27" s="6" t="s">
        <v>917</v>
      </c>
      <c r="K27" s="9">
        <v>6160</v>
      </c>
      <c r="L27" s="9"/>
    </row>
    <row r="28" spans="1:12" x14ac:dyDescent="0.2">
      <c r="A28" s="6" t="s">
        <v>961</v>
      </c>
      <c r="B28" s="6" t="s">
        <v>960</v>
      </c>
      <c r="C28" s="7">
        <v>41613</v>
      </c>
      <c r="D28" s="7">
        <v>41764</v>
      </c>
      <c r="E28" s="8">
        <f t="shared" si="0"/>
        <v>151</v>
      </c>
      <c r="F28" s="7">
        <v>41764</v>
      </c>
      <c r="G28" s="8">
        <f t="shared" si="1"/>
        <v>0</v>
      </c>
      <c r="H28" s="7">
        <v>41764</v>
      </c>
      <c r="I28" s="8">
        <f>IF($H28="", "", 参数!$B$3-$H28)</f>
        <v>4260</v>
      </c>
      <c r="J28" s="6" t="s">
        <v>917</v>
      </c>
      <c r="K28" s="9">
        <v>15800</v>
      </c>
      <c r="L28" s="9"/>
    </row>
    <row r="29" spans="1:12" x14ac:dyDescent="0.2">
      <c r="A29" s="6" t="s">
        <v>963</v>
      </c>
      <c r="B29" s="6" t="s">
        <v>962</v>
      </c>
      <c r="C29" s="7">
        <v>41650</v>
      </c>
      <c r="D29" s="7">
        <v>41774</v>
      </c>
      <c r="E29" s="8">
        <f t="shared" si="0"/>
        <v>124</v>
      </c>
      <c r="F29" s="7">
        <v>41774</v>
      </c>
      <c r="G29" s="8">
        <f t="shared" si="1"/>
        <v>0</v>
      </c>
      <c r="H29" s="7">
        <v>41774</v>
      </c>
      <c r="I29" s="8">
        <f>IF($H29="", "", 参数!$B$3-$H29)</f>
        <v>4250</v>
      </c>
      <c r="J29" s="6" t="s">
        <v>917</v>
      </c>
      <c r="K29" s="9">
        <v>6514</v>
      </c>
      <c r="L29" s="9"/>
    </row>
    <row r="30" spans="1:12" x14ac:dyDescent="0.2">
      <c r="A30" s="6" t="s">
        <v>965</v>
      </c>
      <c r="B30" s="6" t="s">
        <v>964</v>
      </c>
      <c r="C30" s="7">
        <v>41678</v>
      </c>
      <c r="D30" s="7">
        <v>41837</v>
      </c>
      <c r="E30" s="8">
        <f t="shared" si="0"/>
        <v>159</v>
      </c>
      <c r="F30" s="7">
        <v>41837</v>
      </c>
      <c r="G30" s="8">
        <f t="shared" si="1"/>
        <v>0</v>
      </c>
      <c r="H30" s="7">
        <v>41837</v>
      </c>
      <c r="I30" s="8">
        <f>IF($H30="", "", 参数!$B$3-$H30)</f>
        <v>4187</v>
      </c>
      <c r="J30" s="6" t="s">
        <v>917</v>
      </c>
      <c r="K30" s="9">
        <v>60000</v>
      </c>
      <c r="L30" s="9"/>
    </row>
    <row r="31" spans="1:12" x14ac:dyDescent="0.2">
      <c r="A31" s="6" t="s">
        <v>967</v>
      </c>
      <c r="B31" s="6" t="s">
        <v>966</v>
      </c>
      <c r="C31" s="7">
        <v>41725</v>
      </c>
      <c r="D31" s="7">
        <v>41801</v>
      </c>
      <c r="E31" s="8">
        <f t="shared" si="0"/>
        <v>76</v>
      </c>
      <c r="F31" s="7">
        <v>41801</v>
      </c>
      <c r="G31" s="8">
        <f t="shared" si="1"/>
        <v>0</v>
      </c>
      <c r="H31" s="7">
        <v>41801</v>
      </c>
      <c r="I31" s="8">
        <f>IF($H31="", "", 参数!$B$3-$H31)</f>
        <v>4223</v>
      </c>
      <c r="J31" s="6" t="s">
        <v>917</v>
      </c>
      <c r="K31" s="9">
        <v>6000</v>
      </c>
      <c r="L31" s="9"/>
    </row>
    <row r="32" spans="1:12" x14ac:dyDescent="0.2">
      <c r="A32" s="6" t="s">
        <v>968</v>
      </c>
      <c r="B32" s="6" t="s">
        <v>850</v>
      </c>
      <c r="C32" s="7">
        <v>41754</v>
      </c>
      <c r="D32" s="7">
        <v>41844</v>
      </c>
      <c r="E32" s="8">
        <f t="shared" si="0"/>
        <v>90</v>
      </c>
      <c r="F32" s="7"/>
      <c r="G32" s="8" t="str">
        <f t="shared" si="1"/>
        <v/>
      </c>
      <c r="H32" s="7">
        <v>41844</v>
      </c>
      <c r="I32" s="8">
        <f>IF($H32="", "", 参数!$B$3-$H32)</f>
        <v>4180</v>
      </c>
      <c r="J32" s="6" t="s">
        <v>917</v>
      </c>
      <c r="K32" s="9">
        <v>100</v>
      </c>
      <c r="L32" s="9"/>
    </row>
    <row r="33" spans="1:12" x14ac:dyDescent="0.2">
      <c r="A33" s="6" t="s">
        <v>969</v>
      </c>
      <c r="B33" s="6" t="s">
        <v>962</v>
      </c>
      <c r="C33" s="7">
        <v>41777</v>
      </c>
      <c r="D33" s="7">
        <v>41867</v>
      </c>
      <c r="E33" s="8">
        <f t="shared" si="0"/>
        <v>90</v>
      </c>
      <c r="F33" s="7"/>
      <c r="G33" s="8" t="str">
        <f t="shared" si="1"/>
        <v/>
      </c>
      <c r="H33" s="7">
        <v>41867</v>
      </c>
      <c r="I33" s="8">
        <f>IF($H33="", "", 参数!$B$3-$H33)</f>
        <v>4157</v>
      </c>
      <c r="J33" s="6" t="s">
        <v>917</v>
      </c>
      <c r="K33" s="9">
        <v>600</v>
      </c>
      <c r="L33" s="9"/>
    </row>
    <row r="34" spans="1:12" x14ac:dyDescent="0.2">
      <c r="A34" s="6" t="s">
        <v>971</v>
      </c>
      <c r="B34" s="6" t="s">
        <v>970</v>
      </c>
      <c r="C34" s="7">
        <v>41866</v>
      </c>
      <c r="D34" s="7">
        <v>41936</v>
      </c>
      <c r="E34" s="8">
        <f t="shared" si="0"/>
        <v>70</v>
      </c>
      <c r="F34" s="7">
        <v>41936</v>
      </c>
      <c r="G34" s="8">
        <f t="shared" si="1"/>
        <v>0</v>
      </c>
      <c r="H34" s="7">
        <v>41936</v>
      </c>
      <c r="I34" s="8">
        <f>IF($H34="", "", 参数!$B$3-$H34)</f>
        <v>4088</v>
      </c>
      <c r="J34" s="6" t="s">
        <v>917</v>
      </c>
      <c r="K34" s="9">
        <v>3660</v>
      </c>
      <c r="L34" s="9"/>
    </row>
    <row r="35" spans="1:12" x14ac:dyDescent="0.2">
      <c r="A35" s="6" t="s">
        <v>972</v>
      </c>
      <c r="B35" s="6" t="s">
        <v>962</v>
      </c>
      <c r="C35" s="7">
        <v>41960</v>
      </c>
      <c r="D35" s="7">
        <v>41961</v>
      </c>
      <c r="E35" s="8">
        <f t="shared" si="0"/>
        <v>1</v>
      </c>
      <c r="F35" s="7">
        <v>41961</v>
      </c>
      <c r="G35" s="8">
        <f t="shared" si="1"/>
        <v>0</v>
      </c>
      <c r="H35" s="7">
        <v>41961</v>
      </c>
      <c r="I35" s="8">
        <f>IF($H35="", "", 参数!$B$3-$H35)</f>
        <v>4063</v>
      </c>
      <c r="J35" s="6" t="s">
        <v>917</v>
      </c>
      <c r="K35" s="9">
        <v>1280</v>
      </c>
      <c r="L35" s="9"/>
    </row>
    <row r="36" spans="1:12" x14ac:dyDescent="0.2">
      <c r="A36" s="6" t="s">
        <v>974</v>
      </c>
      <c r="B36" s="6" t="s">
        <v>973</v>
      </c>
      <c r="C36" s="7">
        <v>42031</v>
      </c>
      <c r="D36" s="7">
        <v>42031</v>
      </c>
      <c r="E36" s="8">
        <f t="shared" si="0"/>
        <v>0</v>
      </c>
      <c r="F36" s="7">
        <v>42031</v>
      </c>
      <c r="G36" s="8">
        <f t="shared" si="1"/>
        <v>0</v>
      </c>
      <c r="H36" s="7">
        <v>42031</v>
      </c>
      <c r="I36" s="8">
        <f>IF($H36="", "", 参数!$B$3-$H36)</f>
        <v>3993</v>
      </c>
      <c r="J36" s="6" t="s">
        <v>917</v>
      </c>
      <c r="K36" s="9">
        <v>4000</v>
      </c>
      <c r="L36" s="9"/>
    </row>
    <row r="37" spans="1:12" x14ac:dyDescent="0.2">
      <c r="A37" s="6" t="s">
        <v>976</v>
      </c>
      <c r="B37" s="6" t="s">
        <v>975</v>
      </c>
      <c r="C37" s="7">
        <v>42037</v>
      </c>
      <c r="D37" s="7">
        <v>42063</v>
      </c>
      <c r="E37" s="8">
        <f t="shared" si="0"/>
        <v>26</v>
      </c>
      <c r="F37" s="7">
        <v>42074</v>
      </c>
      <c r="G37" s="8">
        <f t="shared" si="1"/>
        <v>11</v>
      </c>
      <c r="H37" s="7">
        <v>42074</v>
      </c>
      <c r="I37" s="8">
        <f>IF($H37="", "", 参数!$B$3-$H37)</f>
        <v>3950</v>
      </c>
      <c r="J37" s="6" t="s">
        <v>917</v>
      </c>
      <c r="K37" s="9">
        <v>4800</v>
      </c>
      <c r="L37" s="9"/>
    </row>
    <row r="38" spans="1:12" x14ac:dyDescent="0.2">
      <c r="A38" s="6" t="s">
        <v>978</v>
      </c>
      <c r="B38" s="6" t="s">
        <v>977</v>
      </c>
      <c r="C38" s="7">
        <v>42084</v>
      </c>
      <c r="D38" s="7">
        <v>42137</v>
      </c>
      <c r="E38" s="8">
        <f t="shared" si="0"/>
        <v>53</v>
      </c>
      <c r="F38" s="7">
        <v>42137</v>
      </c>
      <c r="G38" s="8">
        <f t="shared" si="1"/>
        <v>0</v>
      </c>
      <c r="H38" s="7">
        <v>42137</v>
      </c>
      <c r="I38" s="8">
        <f>IF($H38="", "", 参数!$B$3-$H38)</f>
        <v>3887</v>
      </c>
      <c r="J38" s="6" t="s">
        <v>917</v>
      </c>
      <c r="K38" s="9">
        <v>14800</v>
      </c>
      <c r="L38" s="9"/>
    </row>
    <row r="39" spans="1:12" x14ac:dyDescent="0.2">
      <c r="A39" s="6" t="s">
        <v>980</v>
      </c>
      <c r="B39" s="6" t="s">
        <v>979</v>
      </c>
      <c r="C39" s="7">
        <v>42157</v>
      </c>
      <c r="D39" s="7">
        <v>42242</v>
      </c>
      <c r="E39" s="8">
        <f t="shared" si="0"/>
        <v>85</v>
      </c>
      <c r="F39" s="7">
        <v>42235</v>
      </c>
      <c r="G39" s="8">
        <f t="shared" si="1"/>
        <v>-7</v>
      </c>
      <c r="H39" s="7">
        <v>42235</v>
      </c>
      <c r="I39" s="8">
        <f>IF($H39="", "", 参数!$B$3-$H39)</f>
        <v>3789</v>
      </c>
      <c r="J39" s="6" t="s">
        <v>917</v>
      </c>
      <c r="K39" s="9">
        <v>16000</v>
      </c>
      <c r="L39" s="9"/>
    </row>
    <row r="40" spans="1:12" x14ac:dyDescent="0.2">
      <c r="A40" s="6" t="s">
        <v>982</v>
      </c>
      <c r="B40" s="6" t="s">
        <v>981</v>
      </c>
      <c r="C40" s="7">
        <v>42248</v>
      </c>
      <c r="D40" s="7">
        <v>42260</v>
      </c>
      <c r="E40" s="8">
        <f t="shared" si="0"/>
        <v>12</v>
      </c>
      <c r="F40" s="7">
        <v>42390</v>
      </c>
      <c r="G40" s="8">
        <f t="shared" si="1"/>
        <v>130</v>
      </c>
      <c r="H40" s="7">
        <v>42390</v>
      </c>
      <c r="I40" s="8">
        <f>IF($H40="", "", 参数!$B$3-$H40)</f>
        <v>3634</v>
      </c>
      <c r="J40" s="6" t="s">
        <v>917</v>
      </c>
      <c r="K40" s="9">
        <v>100000</v>
      </c>
      <c r="L40" s="9"/>
    </row>
    <row r="41" spans="1:12" x14ac:dyDescent="0.2">
      <c r="A41" s="6" t="s">
        <v>983</v>
      </c>
      <c r="B41" s="6" t="s">
        <v>303</v>
      </c>
      <c r="C41" s="7">
        <v>42397</v>
      </c>
      <c r="D41" s="7">
        <v>42487</v>
      </c>
      <c r="E41" s="8">
        <f t="shared" si="0"/>
        <v>90</v>
      </c>
      <c r="F41" s="7"/>
      <c r="G41" s="8" t="str">
        <f t="shared" si="1"/>
        <v/>
      </c>
      <c r="H41" s="7">
        <v>42487</v>
      </c>
      <c r="I41" s="8">
        <f>IF($H41="", "", 参数!$B$3-$H41)</f>
        <v>3537</v>
      </c>
      <c r="J41" s="6" t="s">
        <v>917</v>
      </c>
      <c r="K41" s="9">
        <v>120000</v>
      </c>
      <c r="L41" s="9">
        <v>120000</v>
      </c>
    </row>
    <row r="42" spans="1:12" x14ac:dyDescent="0.2">
      <c r="A42" s="6" t="s">
        <v>984</v>
      </c>
      <c r="B42" s="6" t="s">
        <v>962</v>
      </c>
      <c r="C42" s="7">
        <v>42422</v>
      </c>
      <c r="D42" s="7">
        <v>42798</v>
      </c>
      <c r="E42" s="8">
        <f t="shared" si="0"/>
        <v>376</v>
      </c>
      <c r="F42" s="7">
        <v>42831</v>
      </c>
      <c r="G42" s="8">
        <f t="shared" si="1"/>
        <v>33</v>
      </c>
      <c r="H42" s="7">
        <v>42831</v>
      </c>
      <c r="I42" s="8">
        <f>IF($H42="", "", 参数!$B$3-$H42)</f>
        <v>3193</v>
      </c>
      <c r="J42" s="6" t="s">
        <v>917</v>
      </c>
      <c r="K42" s="9">
        <v>22748.16</v>
      </c>
      <c r="L42" s="9"/>
    </row>
    <row r="43" spans="1:12" x14ac:dyDescent="0.2">
      <c r="A43" s="6" t="s">
        <v>902</v>
      </c>
      <c r="B43" s="6" t="s">
        <v>303</v>
      </c>
      <c r="C43" s="7">
        <v>42426</v>
      </c>
      <c r="D43" s="7">
        <v>42563</v>
      </c>
      <c r="E43" s="8">
        <f t="shared" si="0"/>
        <v>137</v>
      </c>
      <c r="F43" s="7">
        <v>42563</v>
      </c>
      <c r="G43" s="8">
        <f t="shared" si="1"/>
        <v>0</v>
      </c>
      <c r="H43" s="7">
        <v>42563</v>
      </c>
      <c r="I43" s="8">
        <f>IF($H43="", "", 参数!$B$3-$H43)</f>
        <v>3461</v>
      </c>
      <c r="J43" s="6" t="s">
        <v>917</v>
      </c>
      <c r="K43" s="9">
        <v>92000.45</v>
      </c>
      <c r="L43" s="9"/>
    </row>
    <row r="44" spans="1:12" x14ac:dyDescent="0.2">
      <c r="A44" s="6" t="s">
        <v>986</v>
      </c>
      <c r="B44" s="6" t="s">
        <v>985</v>
      </c>
      <c r="C44" s="7">
        <v>42497</v>
      </c>
      <c r="D44" s="7">
        <v>42748</v>
      </c>
      <c r="E44" s="8">
        <f t="shared" si="0"/>
        <v>251</v>
      </c>
      <c r="F44" s="7">
        <v>42563</v>
      </c>
      <c r="G44" s="8">
        <f t="shared" si="1"/>
        <v>-185</v>
      </c>
      <c r="H44" s="7">
        <v>42563</v>
      </c>
      <c r="I44" s="8">
        <f>IF($H44="", "", 参数!$B$3-$H44)</f>
        <v>3461</v>
      </c>
      <c r="J44" s="6" t="s">
        <v>917</v>
      </c>
      <c r="K44" s="9">
        <v>10800</v>
      </c>
      <c r="L44" s="9"/>
    </row>
    <row r="45" spans="1:12" x14ac:dyDescent="0.2">
      <c r="A45" s="6" t="s">
        <v>988</v>
      </c>
      <c r="B45" s="6" t="s">
        <v>987</v>
      </c>
      <c r="C45" s="7">
        <v>42570</v>
      </c>
      <c r="D45" s="7">
        <v>42991</v>
      </c>
      <c r="E45" s="8">
        <f t="shared" si="0"/>
        <v>421</v>
      </c>
      <c r="F45" s="7">
        <v>42991</v>
      </c>
      <c r="G45" s="8">
        <f t="shared" si="1"/>
        <v>0</v>
      </c>
      <c r="H45" s="7">
        <v>42991</v>
      </c>
      <c r="I45" s="8">
        <f>IF($H45="", "", 参数!$B$3-$H45)</f>
        <v>3033</v>
      </c>
      <c r="J45" s="6" t="s">
        <v>917</v>
      </c>
      <c r="K45" s="9">
        <v>5000</v>
      </c>
      <c r="L45" s="9"/>
    </row>
    <row r="46" spans="1:12" x14ac:dyDescent="0.2">
      <c r="A46" s="6" t="s">
        <v>989</v>
      </c>
      <c r="B46" s="6" t="s">
        <v>985</v>
      </c>
      <c r="C46" s="7">
        <v>42606</v>
      </c>
      <c r="D46" s="7">
        <v>42618</v>
      </c>
      <c r="E46" s="8">
        <f t="shared" si="0"/>
        <v>12</v>
      </c>
      <c r="F46" s="7">
        <v>42710</v>
      </c>
      <c r="G46" s="8">
        <f t="shared" si="1"/>
        <v>92</v>
      </c>
      <c r="H46" s="7">
        <v>42710</v>
      </c>
      <c r="I46" s="8">
        <f>IF($H46="", "", 参数!$B$3-$H46)</f>
        <v>3314</v>
      </c>
      <c r="J46" s="6" t="s">
        <v>917</v>
      </c>
      <c r="K46" s="9">
        <v>39800</v>
      </c>
      <c r="L46" s="9"/>
    </row>
    <row r="47" spans="1:12" x14ac:dyDescent="0.2">
      <c r="A47" s="6" t="s">
        <v>908</v>
      </c>
      <c r="B47" s="6" t="s">
        <v>303</v>
      </c>
      <c r="C47" s="7">
        <v>42641</v>
      </c>
      <c r="D47" s="7">
        <v>42694</v>
      </c>
      <c r="E47" s="8">
        <f t="shared" si="0"/>
        <v>53</v>
      </c>
      <c r="F47" s="7">
        <v>42790</v>
      </c>
      <c r="G47" s="8">
        <f t="shared" si="1"/>
        <v>96</v>
      </c>
      <c r="H47" s="7">
        <v>42790</v>
      </c>
      <c r="I47" s="8">
        <f>IF($H47="", "", 参数!$B$3-$H47)</f>
        <v>3234</v>
      </c>
      <c r="J47" s="6" t="s">
        <v>917</v>
      </c>
      <c r="K47" s="9">
        <v>8000</v>
      </c>
      <c r="L47" s="9"/>
    </row>
    <row r="48" spans="1:12" x14ac:dyDescent="0.2">
      <c r="A48" s="6" t="s">
        <v>892</v>
      </c>
      <c r="B48" s="6" t="s">
        <v>303</v>
      </c>
      <c r="C48" s="7">
        <v>42677</v>
      </c>
      <c r="D48" s="7">
        <v>42724</v>
      </c>
      <c r="E48" s="8">
        <f t="shared" si="0"/>
        <v>47</v>
      </c>
      <c r="F48" s="7">
        <v>42803</v>
      </c>
      <c r="G48" s="8">
        <f t="shared" si="1"/>
        <v>79</v>
      </c>
      <c r="H48" s="7">
        <v>42803</v>
      </c>
      <c r="I48" s="8">
        <f>IF($H48="", "", 参数!$B$3-$H48)</f>
        <v>3221</v>
      </c>
      <c r="J48" s="6" t="s">
        <v>917</v>
      </c>
      <c r="K48" s="9">
        <v>28000</v>
      </c>
      <c r="L48" s="9"/>
    </row>
    <row r="49" spans="1:12" x14ac:dyDescent="0.2">
      <c r="A49" s="6" t="s">
        <v>990</v>
      </c>
      <c r="B49" s="6" t="s">
        <v>59</v>
      </c>
      <c r="C49" s="7">
        <v>42681</v>
      </c>
      <c r="D49" s="7">
        <v>42683</v>
      </c>
      <c r="E49" s="8">
        <f t="shared" si="0"/>
        <v>2</v>
      </c>
      <c r="F49" s="7">
        <v>42842</v>
      </c>
      <c r="G49" s="8">
        <f t="shared" si="1"/>
        <v>159</v>
      </c>
      <c r="H49" s="7">
        <v>42842</v>
      </c>
      <c r="I49" s="8">
        <f>IF($H49="", "", 参数!$B$3-$H49)</f>
        <v>3182</v>
      </c>
      <c r="J49" s="6" t="s">
        <v>917</v>
      </c>
      <c r="K49" s="9">
        <v>3200</v>
      </c>
      <c r="L49" s="9"/>
    </row>
    <row r="50" spans="1:12" x14ac:dyDescent="0.2">
      <c r="A50" s="6" t="s">
        <v>991</v>
      </c>
      <c r="B50" s="6" t="s">
        <v>985</v>
      </c>
      <c r="C50" s="7">
        <v>42705</v>
      </c>
      <c r="D50" s="7">
        <v>43024</v>
      </c>
      <c r="E50" s="8">
        <f t="shared" si="0"/>
        <v>319</v>
      </c>
      <c r="F50" s="7">
        <v>43066</v>
      </c>
      <c r="G50" s="8">
        <f t="shared" si="1"/>
        <v>42</v>
      </c>
      <c r="H50" s="7">
        <v>43066</v>
      </c>
      <c r="I50" s="8">
        <f>IF($H50="", "", 参数!$B$3-$H50)</f>
        <v>2958</v>
      </c>
      <c r="J50" s="6" t="s">
        <v>917</v>
      </c>
      <c r="K50" s="9">
        <v>80000</v>
      </c>
      <c r="L50" s="9"/>
    </row>
    <row r="51" spans="1:12" x14ac:dyDescent="0.2">
      <c r="A51" s="6" t="s">
        <v>993</v>
      </c>
      <c r="B51" s="6" t="s">
        <v>992</v>
      </c>
      <c r="C51" s="7">
        <v>42718</v>
      </c>
      <c r="D51" s="7">
        <v>42899</v>
      </c>
      <c r="E51" s="8">
        <f t="shared" si="0"/>
        <v>181</v>
      </c>
      <c r="F51" s="7">
        <v>42943</v>
      </c>
      <c r="G51" s="8">
        <f t="shared" si="1"/>
        <v>44</v>
      </c>
      <c r="H51" s="7">
        <v>42943</v>
      </c>
      <c r="I51" s="8">
        <f>IF($H51="", "", 参数!$B$3-$H51)</f>
        <v>3081</v>
      </c>
      <c r="J51" s="6" t="s">
        <v>917</v>
      </c>
      <c r="K51" s="9">
        <v>9000</v>
      </c>
      <c r="L51" s="9"/>
    </row>
    <row r="52" spans="1:12" x14ac:dyDescent="0.2">
      <c r="A52" s="6" t="s">
        <v>995</v>
      </c>
      <c r="B52" s="6" t="s">
        <v>994</v>
      </c>
      <c r="C52" s="7">
        <v>42744</v>
      </c>
      <c r="D52" s="7">
        <v>42740</v>
      </c>
      <c r="E52" s="8">
        <f t="shared" si="0"/>
        <v>-4</v>
      </c>
      <c r="F52" s="7">
        <v>42831</v>
      </c>
      <c r="G52" s="8">
        <f t="shared" si="1"/>
        <v>91</v>
      </c>
      <c r="H52" s="7">
        <v>42831</v>
      </c>
      <c r="I52" s="8">
        <f>IF($H52="", "", 参数!$B$3-$H52)</f>
        <v>3193</v>
      </c>
      <c r="J52" s="6" t="s">
        <v>917</v>
      </c>
      <c r="K52" s="9">
        <v>4460</v>
      </c>
      <c r="L52" s="9"/>
    </row>
    <row r="53" spans="1:12" x14ac:dyDescent="0.2">
      <c r="A53" s="6" t="s">
        <v>857</v>
      </c>
      <c r="B53" s="6" t="s">
        <v>996</v>
      </c>
      <c r="C53" s="7">
        <v>42759</v>
      </c>
      <c r="D53" s="7">
        <v>42778</v>
      </c>
      <c r="E53" s="8">
        <f t="shared" si="0"/>
        <v>19</v>
      </c>
      <c r="F53" s="7">
        <v>42809</v>
      </c>
      <c r="G53" s="8">
        <f t="shared" si="1"/>
        <v>31</v>
      </c>
      <c r="H53" s="7">
        <v>42809</v>
      </c>
      <c r="I53" s="8">
        <f>IF($H53="", "", 参数!$B$3-$H53)</f>
        <v>3215</v>
      </c>
      <c r="J53" s="6" t="s">
        <v>917</v>
      </c>
      <c r="K53" s="9">
        <v>4993.1400000000003</v>
      </c>
      <c r="L53" s="9"/>
    </row>
    <row r="54" spans="1:12" x14ac:dyDescent="0.2">
      <c r="A54" s="6" t="s">
        <v>998</v>
      </c>
      <c r="B54" s="6" t="s">
        <v>997</v>
      </c>
      <c r="C54" s="7">
        <v>42786</v>
      </c>
      <c r="D54" s="7">
        <v>42824</v>
      </c>
      <c r="E54" s="8">
        <f t="shared" si="0"/>
        <v>38</v>
      </c>
      <c r="F54" s="7">
        <v>42851</v>
      </c>
      <c r="G54" s="8">
        <f t="shared" si="1"/>
        <v>27</v>
      </c>
      <c r="H54" s="7">
        <v>42851</v>
      </c>
      <c r="I54" s="8">
        <f>IF($H54="", "", 参数!$B$3-$H54)</f>
        <v>3173</v>
      </c>
      <c r="J54" s="6" t="s">
        <v>917</v>
      </c>
      <c r="K54" s="9">
        <v>4150</v>
      </c>
      <c r="L54" s="9"/>
    </row>
    <row r="55" spans="1:12" x14ac:dyDescent="0.2">
      <c r="A55" s="6" t="s">
        <v>999</v>
      </c>
      <c r="B55" s="6" t="s">
        <v>962</v>
      </c>
      <c r="C55" s="7">
        <v>42798</v>
      </c>
      <c r="D55" s="7">
        <v>42798</v>
      </c>
      <c r="E55" s="8">
        <f t="shared" si="0"/>
        <v>0</v>
      </c>
      <c r="F55" s="7">
        <v>42831</v>
      </c>
      <c r="G55" s="8">
        <f t="shared" si="1"/>
        <v>33</v>
      </c>
      <c r="H55" s="7">
        <v>42831</v>
      </c>
      <c r="I55" s="8">
        <f>IF($H55="", "", 参数!$B$3-$H55)</f>
        <v>3193</v>
      </c>
      <c r="J55" s="6" t="s">
        <v>917</v>
      </c>
      <c r="K55" s="9">
        <v>43369.84</v>
      </c>
      <c r="L55" s="9"/>
    </row>
    <row r="56" spans="1:12" x14ac:dyDescent="0.2">
      <c r="A56" s="6" t="s">
        <v>1000</v>
      </c>
      <c r="B56" s="6" t="s">
        <v>59</v>
      </c>
      <c r="C56" s="7">
        <v>42825</v>
      </c>
      <c r="D56" s="7">
        <v>42832</v>
      </c>
      <c r="E56" s="8">
        <f t="shared" si="0"/>
        <v>7</v>
      </c>
      <c r="F56" s="7"/>
      <c r="G56" s="8" t="str">
        <f t="shared" si="1"/>
        <v/>
      </c>
      <c r="H56" s="7">
        <v>42832</v>
      </c>
      <c r="I56" s="8">
        <f>IF($H56="", "", 参数!$B$3-$H56)</f>
        <v>3192</v>
      </c>
      <c r="J56" s="6" t="s">
        <v>917</v>
      </c>
      <c r="K56" s="9">
        <v>43463.28</v>
      </c>
      <c r="L56" s="9">
        <v>43463.28</v>
      </c>
    </row>
    <row r="57" spans="1:12" x14ac:dyDescent="0.2">
      <c r="A57" s="6" t="s">
        <v>1002</v>
      </c>
      <c r="B57" s="6" t="s">
        <v>1001</v>
      </c>
      <c r="C57" s="7">
        <v>42835</v>
      </c>
      <c r="D57" s="7">
        <v>42865</v>
      </c>
      <c r="E57" s="8">
        <f t="shared" si="0"/>
        <v>30</v>
      </c>
      <c r="F57" s="7">
        <v>42894</v>
      </c>
      <c r="G57" s="8">
        <f t="shared" si="1"/>
        <v>29</v>
      </c>
      <c r="H57" s="7">
        <v>42894</v>
      </c>
      <c r="I57" s="8">
        <f>IF($H57="", "", 参数!$B$3-$H57)</f>
        <v>3130</v>
      </c>
      <c r="J57" s="6" t="s">
        <v>917</v>
      </c>
      <c r="K57" s="9">
        <v>10000</v>
      </c>
      <c r="L57" s="9"/>
    </row>
    <row r="58" spans="1:12" x14ac:dyDescent="0.2">
      <c r="A58" s="6" t="s">
        <v>1004</v>
      </c>
      <c r="B58" s="6" t="s">
        <v>1003</v>
      </c>
      <c r="C58" s="7">
        <v>42863</v>
      </c>
      <c r="D58" s="7">
        <v>42877</v>
      </c>
      <c r="E58" s="8">
        <f t="shared" si="0"/>
        <v>14</v>
      </c>
      <c r="F58" s="7">
        <v>42922</v>
      </c>
      <c r="G58" s="8">
        <f t="shared" si="1"/>
        <v>45</v>
      </c>
      <c r="H58" s="7">
        <v>42922</v>
      </c>
      <c r="I58" s="8">
        <f>IF($H58="", "", 参数!$B$3-$H58)</f>
        <v>3102</v>
      </c>
      <c r="J58" s="6" t="s">
        <v>917</v>
      </c>
      <c r="K58" s="9">
        <v>3000</v>
      </c>
      <c r="L58" s="9"/>
    </row>
    <row r="59" spans="1:12" x14ac:dyDescent="0.2">
      <c r="A59" s="6" t="s">
        <v>1005</v>
      </c>
      <c r="B59" s="6" t="s">
        <v>985</v>
      </c>
      <c r="C59" s="7">
        <v>42905</v>
      </c>
      <c r="D59" s="7">
        <v>42917</v>
      </c>
      <c r="E59" s="8">
        <f t="shared" si="0"/>
        <v>12</v>
      </c>
      <c r="F59" s="7">
        <v>43066</v>
      </c>
      <c r="G59" s="8">
        <f t="shared" si="1"/>
        <v>149</v>
      </c>
      <c r="H59" s="7">
        <v>43066</v>
      </c>
      <c r="I59" s="8">
        <f>IF($H59="", "", 参数!$B$3-$H59)</f>
        <v>2958</v>
      </c>
      <c r="J59" s="6" t="s">
        <v>917</v>
      </c>
      <c r="K59" s="9">
        <v>9700</v>
      </c>
      <c r="L59" s="9"/>
    </row>
    <row r="60" spans="1:12" x14ac:dyDescent="0.2">
      <c r="A60" s="6" t="s">
        <v>1006</v>
      </c>
      <c r="B60" s="6" t="s">
        <v>947</v>
      </c>
      <c r="C60" s="7">
        <v>42912</v>
      </c>
      <c r="D60" s="7">
        <v>42919</v>
      </c>
      <c r="E60" s="8">
        <f t="shared" si="0"/>
        <v>7</v>
      </c>
      <c r="F60" s="7">
        <v>42936</v>
      </c>
      <c r="G60" s="8">
        <f t="shared" si="1"/>
        <v>17</v>
      </c>
      <c r="H60" s="7">
        <v>42936</v>
      </c>
      <c r="I60" s="8">
        <f>IF($H60="", "", 参数!$B$3-$H60)</f>
        <v>3088</v>
      </c>
      <c r="J60" s="6" t="s">
        <v>917</v>
      </c>
      <c r="K60" s="9">
        <v>46900</v>
      </c>
      <c r="L60" s="9"/>
    </row>
    <row r="61" spans="1:12" x14ac:dyDescent="0.2">
      <c r="A61" s="6" t="s">
        <v>1008</v>
      </c>
      <c r="B61" s="6" t="s">
        <v>1007</v>
      </c>
      <c r="C61" s="7">
        <v>42938</v>
      </c>
      <c r="D61" s="7">
        <v>42952</v>
      </c>
      <c r="E61" s="8">
        <f t="shared" si="0"/>
        <v>14</v>
      </c>
      <c r="F61" s="7">
        <v>42977</v>
      </c>
      <c r="G61" s="8">
        <f t="shared" si="1"/>
        <v>25</v>
      </c>
      <c r="H61" s="7">
        <v>42977</v>
      </c>
      <c r="I61" s="8">
        <f>IF($H61="", "", 参数!$B$3-$H61)</f>
        <v>3047</v>
      </c>
      <c r="J61" s="6" t="s">
        <v>917</v>
      </c>
      <c r="K61" s="9">
        <v>20000</v>
      </c>
      <c r="L61" s="9"/>
    </row>
    <row r="62" spans="1:12" x14ac:dyDescent="0.2">
      <c r="A62" s="6" t="s">
        <v>1009</v>
      </c>
      <c r="B62" s="6" t="s">
        <v>962</v>
      </c>
      <c r="C62" s="7">
        <v>42942</v>
      </c>
      <c r="D62" s="7">
        <v>42948</v>
      </c>
      <c r="E62" s="8">
        <f t="shared" si="0"/>
        <v>6</v>
      </c>
      <c r="F62" s="7">
        <v>42956</v>
      </c>
      <c r="G62" s="8">
        <f t="shared" si="1"/>
        <v>8</v>
      </c>
      <c r="H62" s="7">
        <v>42956</v>
      </c>
      <c r="I62" s="8">
        <f>IF($H62="", "", 参数!$B$3-$H62)</f>
        <v>3068</v>
      </c>
      <c r="J62" s="6" t="s">
        <v>917</v>
      </c>
      <c r="K62" s="9">
        <v>25488</v>
      </c>
      <c r="L62" s="9"/>
    </row>
    <row r="63" spans="1:12" x14ac:dyDescent="0.2">
      <c r="A63" s="6" t="s">
        <v>1011</v>
      </c>
      <c r="B63" s="6" t="s">
        <v>1010</v>
      </c>
      <c r="C63" s="7">
        <v>42976</v>
      </c>
      <c r="D63" s="7">
        <v>42991</v>
      </c>
      <c r="E63" s="8">
        <f t="shared" si="0"/>
        <v>15</v>
      </c>
      <c r="F63" s="7">
        <v>43057</v>
      </c>
      <c r="G63" s="8">
        <f t="shared" si="1"/>
        <v>66</v>
      </c>
      <c r="H63" s="7">
        <v>43057</v>
      </c>
      <c r="I63" s="8">
        <f>IF($H63="", "", 参数!$B$3-$H63)</f>
        <v>2967</v>
      </c>
      <c r="J63" s="6" t="s">
        <v>917</v>
      </c>
      <c r="K63" s="9">
        <v>69800</v>
      </c>
      <c r="L63" s="9">
        <v>50000</v>
      </c>
    </row>
    <row r="64" spans="1:12" x14ac:dyDescent="0.2">
      <c r="A64" s="6" t="s">
        <v>1013</v>
      </c>
      <c r="B64" s="6" t="s">
        <v>1012</v>
      </c>
      <c r="C64" s="7">
        <v>42998</v>
      </c>
      <c r="D64" s="7">
        <v>43005</v>
      </c>
      <c r="E64" s="8">
        <f t="shared" si="0"/>
        <v>7</v>
      </c>
      <c r="F64" s="7">
        <v>43209</v>
      </c>
      <c r="G64" s="8">
        <f t="shared" si="1"/>
        <v>204</v>
      </c>
      <c r="H64" s="7">
        <v>43209</v>
      </c>
      <c r="I64" s="8">
        <f>IF($H64="", "", 参数!$B$3-$H64)</f>
        <v>2815</v>
      </c>
      <c r="J64" s="6" t="s">
        <v>917</v>
      </c>
      <c r="K64" s="9">
        <v>55000</v>
      </c>
      <c r="L64" s="9"/>
    </row>
    <row r="65" spans="1:12" x14ac:dyDescent="0.2">
      <c r="A65" s="6" t="s">
        <v>1015</v>
      </c>
      <c r="B65" s="6" t="s">
        <v>1014</v>
      </c>
      <c r="C65" s="7">
        <v>43059</v>
      </c>
      <c r="D65" s="7">
        <v>43111</v>
      </c>
      <c r="E65" s="8">
        <f t="shared" si="0"/>
        <v>52</v>
      </c>
      <c r="F65" s="7">
        <v>43373</v>
      </c>
      <c r="G65" s="8">
        <f t="shared" si="1"/>
        <v>262</v>
      </c>
      <c r="H65" s="7">
        <v>43373</v>
      </c>
      <c r="I65" s="8">
        <f>IF($H65="", "", 参数!$B$3-$H65)</f>
        <v>2651</v>
      </c>
      <c r="J65" s="6" t="s">
        <v>917</v>
      </c>
      <c r="K65" s="9">
        <v>18251.2</v>
      </c>
      <c r="L65" s="9"/>
    </row>
    <row r="66" spans="1:12" x14ac:dyDescent="0.2">
      <c r="A66" s="6" t="s">
        <v>1017</v>
      </c>
      <c r="B66" s="6" t="s">
        <v>1016</v>
      </c>
      <c r="C66" s="7">
        <v>43117</v>
      </c>
      <c r="D66" s="7">
        <v>43121</v>
      </c>
      <c r="E66" s="8">
        <f t="shared" si="0"/>
        <v>4</v>
      </c>
      <c r="F66" s="7">
        <v>43213</v>
      </c>
      <c r="G66" s="8">
        <f t="shared" si="1"/>
        <v>92</v>
      </c>
      <c r="H66" s="7">
        <v>43213</v>
      </c>
      <c r="I66" s="8">
        <f>IF($H66="", "", 参数!$B$3-$H66)</f>
        <v>2811</v>
      </c>
      <c r="J66" s="6" t="s">
        <v>917</v>
      </c>
      <c r="K66" s="9">
        <v>1614</v>
      </c>
      <c r="L66" s="9"/>
    </row>
    <row r="67" spans="1:12" x14ac:dyDescent="0.2">
      <c r="A67" s="6" t="s">
        <v>1018</v>
      </c>
      <c r="B67" s="6" t="s">
        <v>985</v>
      </c>
      <c r="C67" s="7">
        <v>43138</v>
      </c>
      <c r="D67" s="7">
        <v>43166</v>
      </c>
      <c r="E67" s="8">
        <f t="shared" ref="E67:E130" si="2">IF(OR($C67="", $D67=""),"", $D67-$C67)</f>
        <v>28</v>
      </c>
      <c r="F67" s="7">
        <v>43211</v>
      </c>
      <c r="G67" s="8">
        <f t="shared" ref="G67:G130" si="3">IF(OR($C67="", $D67="",$F67=""),"", $F67-$D67)</f>
        <v>45</v>
      </c>
      <c r="H67" s="7">
        <v>43211</v>
      </c>
      <c r="I67" s="8">
        <f>IF($H67="", "", 参数!$B$3-$H67)</f>
        <v>2813</v>
      </c>
      <c r="J67" s="6" t="s">
        <v>917</v>
      </c>
      <c r="K67" s="9">
        <v>4500</v>
      </c>
      <c r="L67" s="9"/>
    </row>
    <row r="68" spans="1:12" x14ac:dyDescent="0.2">
      <c r="A68" s="6" t="s">
        <v>1019</v>
      </c>
      <c r="B68" s="6" t="s">
        <v>992</v>
      </c>
      <c r="C68" s="7">
        <v>43155</v>
      </c>
      <c r="D68" s="7">
        <v>43163</v>
      </c>
      <c r="E68" s="8">
        <f t="shared" si="2"/>
        <v>8</v>
      </c>
      <c r="F68" s="7">
        <v>43207</v>
      </c>
      <c r="G68" s="8">
        <f t="shared" si="3"/>
        <v>44</v>
      </c>
      <c r="H68" s="7">
        <v>43207</v>
      </c>
      <c r="I68" s="8">
        <f>IF($H68="", "", 参数!$B$3-$H68)</f>
        <v>2817</v>
      </c>
      <c r="J68" s="6" t="s">
        <v>917</v>
      </c>
      <c r="K68" s="9">
        <v>4500</v>
      </c>
      <c r="L68" s="9"/>
    </row>
    <row r="69" spans="1:12" x14ac:dyDescent="0.2">
      <c r="A69" s="6" t="s">
        <v>1021</v>
      </c>
      <c r="B69" s="6" t="s">
        <v>1020</v>
      </c>
      <c r="C69" s="7">
        <v>43158</v>
      </c>
      <c r="D69" s="7">
        <v>43178</v>
      </c>
      <c r="E69" s="8">
        <f t="shared" si="2"/>
        <v>20</v>
      </c>
      <c r="F69" s="7">
        <v>43207</v>
      </c>
      <c r="G69" s="8">
        <f t="shared" si="3"/>
        <v>29</v>
      </c>
      <c r="H69" s="7">
        <v>43207</v>
      </c>
      <c r="I69" s="8">
        <f>IF($H69="", "", 参数!$B$3-$H69)</f>
        <v>2817</v>
      </c>
      <c r="J69" s="6" t="s">
        <v>917</v>
      </c>
      <c r="K69" s="9">
        <v>1005.24670000002</v>
      </c>
      <c r="L69" s="9"/>
    </row>
    <row r="70" spans="1:12" x14ac:dyDescent="0.2">
      <c r="A70" s="6" t="s">
        <v>856</v>
      </c>
      <c r="B70" s="6" t="s">
        <v>855</v>
      </c>
      <c r="C70" s="7">
        <v>43164</v>
      </c>
      <c r="D70" s="7">
        <v>43181</v>
      </c>
      <c r="E70" s="8">
        <f t="shared" si="2"/>
        <v>17</v>
      </c>
      <c r="F70" s="7">
        <v>43206</v>
      </c>
      <c r="G70" s="8">
        <f t="shared" si="3"/>
        <v>25</v>
      </c>
      <c r="H70" s="7">
        <v>43206</v>
      </c>
      <c r="I70" s="8">
        <f>IF($H70="", "", 参数!$B$3-$H70)</f>
        <v>2818</v>
      </c>
      <c r="J70" s="6" t="s">
        <v>917</v>
      </c>
      <c r="K70" s="9">
        <v>40425</v>
      </c>
      <c r="L70" s="9"/>
    </row>
    <row r="71" spans="1:12" x14ac:dyDescent="0.2">
      <c r="A71" s="6" t="s">
        <v>1022</v>
      </c>
      <c r="B71" s="6" t="s">
        <v>85</v>
      </c>
      <c r="C71" s="7">
        <v>43209</v>
      </c>
      <c r="D71" s="7">
        <v>43319</v>
      </c>
      <c r="E71" s="8">
        <f t="shared" si="2"/>
        <v>110</v>
      </c>
      <c r="F71" s="7">
        <v>43322</v>
      </c>
      <c r="G71" s="8">
        <f t="shared" si="3"/>
        <v>3</v>
      </c>
      <c r="H71" s="7">
        <v>43322</v>
      </c>
      <c r="I71" s="8">
        <f>IF($H71="", "", 参数!$B$3-$H71)</f>
        <v>2702</v>
      </c>
      <c r="J71" s="6" t="s">
        <v>917</v>
      </c>
      <c r="K71" s="9">
        <v>12175</v>
      </c>
      <c r="L71" s="9"/>
    </row>
    <row r="72" spans="1:12" x14ac:dyDescent="0.2">
      <c r="A72" s="6" t="s">
        <v>1024</v>
      </c>
      <c r="B72" s="6" t="s">
        <v>1023</v>
      </c>
      <c r="C72" s="7">
        <v>43235</v>
      </c>
      <c r="D72" s="7">
        <v>43255</v>
      </c>
      <c r="E72" s="8">
        <f t="shared" si="2"/>
        <v>20</v>
      </c>
      <c r="F72" s="7">
        <v>43273</v>
      </c>
      <c r="G72" s="8">
        <f t="shared" si="3"/>
        <v>18</v>
      </c>
      <c r="H72" s="7">
        <v>43273</v>
      </c>
      <c r="I72" s="8">
        <f>IF($H72="", "", 参数!$B$3-$H72)</f>
        <v>2751</v>
      </c>
      <c r="J72" s="6" t="s">
        <v>917</v>
      </c>
      <c r="K72" s="9">
        <v>54000</v>
      </c>
      <c r="L72" s="9"/>
    </row>
    <row r="73" spans="1:12" x14ac:dyDescent="0.2">
      <c r="A73" s="6" t="s">
        <v>1025</v>
      </c>
      <c r="B73" s="6" t="s">
        <v>303</v>
      </c>
      <c r="C73" s="7">
        <v>43245</v>
      </c>
      <c r="D73" s="7">
        <v>43256</v>
      </c>
      <c r="E73" s="8">
        <f t="shared" si="2"/>
        <v>11</v>
      </c>
      <c r="F73" s="7">
        <v>43299</v>
      </c>
      <c r="G73" s="8">
        <f t="shared" si="3"/>
        <v>43</v>
      </c>
      <c r="H73" s="7">
        <v>43299</v>
      </c>
      <c r="I73" s="8">
        <f>IF($H73="", "", 参数!$B$3-$H73)</f>
        <v>2725</v>
      </c>
      <c r="J73" s="6" t="s">
        <v>917</v>
      </c>
      <c r="K73" s="9">
        <v>18000</v>
      </c>
      <c r="L73" s="9"/>
    </row>
    <row r="74" spans="1:12" x14ac:dyDescent="0.2">
      <c r="A74" s="6" t="s">
        <v>1026</v>
      </c>
      <c r="B74" s="6" t="s">
        <v>59</v>
      </c>
      <c r="C74" s="7">
        <v>43258</v>
      </c>
      <c r="D74" s="7">
        <v>43263</v>
      </c>
      <c r="E74" s="8">
        <f t="shared" si="2"/>
        <v>5</v>
      </c>
      <c r="F74" s="7"/>
      <c r="G74" s="8" t="str">
        <f t="shared" si="3"/>
        <v/>
      </c>
      <c r="H74" s="7">
        <v>43263</v>
      </c>
      <c r="I74" s="8">
        <f>IF($H74="", "", 参数!$B$3-$H74)</f>
        <v>2761</v>
      </c>
      <c r="J74" s="6" t="s">
        <v>917</v>
      </c>
      <c r="K74" s="9">
        <v>14800</v>
      </c>
      <c r="L74" s="9">
        <v>14800</v>
      </c>
    </row>
    <row r="75" spans="1:12" x14ac:dyDescent="0.2">
      <c r="A75" s="6" t="s">
        <v>1027</v>
      </c>
      <c r="B75" s="6" t="s">
        <v>59</v>
      </c>
      <c r="C75" s="7">
        <v>43277</v>
      </c>
      <c r="D75" s="7">
        <v>43286</v>
      </c>
      <c r="E75" s="8">
        <f t="shared" si="2"/>
        <v>9</v>
      </c>
      <c r="F75" s="7"/>
      <c r="G75" s="8" t="str">
        <f t="shared" si="3"/>
        <v/>
      </c>
      <c r="H75" s="7">
        <v>43286</v>
      </c>
      <c r="I75" s="8">
        <f>IF($H75="", "", 参数!$B$3-$H75)</f>
        <v>2738</v>
      </c>
      <c r="J75" s="6" t="s">
        <v>917</v>
      </c>
      <c r="K75" s="9">
        <v>30000</v>
      </c>
      <c r="L75" s="9">
        <v>30000</v>
      </c>
    </row>
    <row r="76" spans="1:12" x14ac:dyDescent="0.2">
      <c r="A76" s="6" t="s">
        <v>1028</v>
      </c>
      <c r="B76" s="6" t="s">
        <v>846</v>
      </c>
      <c r="C76" s="7">
        <v>43315</v>
      </c>
      <c r="D76" s="7">
        <v>43479</v>
      </c>
      <c r="E76" s="8">
        <f t="shared" si="2"/>
        <v>164</v>
      </c>
      <c r="F76" s="7">
        <v>43557</v>
      </c>
      <c r="G76" s="8">
        <f t="shared" si="3"/>
        <v>78</v>
      </c>
      <c r="H76" s="7">
        <v>43557</v>
      </c>
      <c r="I76" s="8">
        <f>IF($H76="", "", 参数!$B$3-$H76)</f>
        <v>2467</v>
      </c>
      <c r="J76" s="6" t="s">
        <v>917</v>
      </c>
      <c r="K76" s="9">
        <v>27</v>
      </c>
      <c r="L76" s="9"/>
    </row>
    <row r="77" spans="1:12" x14ac:dyDescent="0.2">
      <c r="A77" s="6" t="s">
        <v>1029</v>
      </c>
      <c r="B77" s="6" t="s">
        <v>38</v>
      </c>
      <c r="C77" s="7">
        <v>43320</v>
      </c>
      <c r="D77" s="7">
        <v>43324</v>
      </c>
      <c r="E77" s="8">
        <f t="shared" si="2"/>
        <v>4</v>
      </c>
      <c r="F77" s="7">
        <v>43369</v>
      </c>
      <c r="G77" s="8">
        <f t="shared" si="3"/>
        <v>45</v>
      </c>
      <c r="H77" s="7">
        <v>43369</v>
      </c>
      <c r="I77" s="8">
        <f>IF($H77="", "", 参数!$B$3-$H77)</f>
        <v>2655</v>
      </c>
      <c r="J77" s="6" t="s">
        <v>917</v>
      </c>
      <c r="K77" s="9">
        <v>6600</v>
      </c>
      <c r="L77" s="9"/>
    </row>
    <row r="78" spans="1:12" x14ac:dyDescent="0.2">
      <c r="A78" s="6" t="s">
        <v>1031</v>
      </c>
      <c r="B78" s="6" t="s">
        <v>1030</v>
      </c>
      <c r="C78" s="7">
        <v>43327</v>
      </c>
      <c r="D78" s="7">
        <v>43405</v>
      </c>
      <c r="E78" s="8">
        <f t="shared" si="2"/>
        <v>78</v>
      </c>
      <c r="F78" s="7">
        <v>43517</v>
      </c>
      <c r="G78" s="8">
        <f t="shared" si="3"/>
        <v>112</v>
      </c>
      <c r="H78" s="7">
        <v>43517</v>
      </c>
      <c r="I78" s="8">
        <f>IF($H78="", "", 参数!$B$3-$H78)</f>
        <v>2507</v>
      </c>
      <c r="J78" s="6" t="s">
        <v>917</v>
      </c>
      <c r="K78" s="9">
        <v>5000</v>
      </c>
      <c r="L78" s="9"/>
    </row>
    <row r="79" spans="1:12" x14ac:dyDescent="0.2">
      <c r="A79" s="6" t="s">
        <v>1032</v>
      </c>
      <c r="B79" s="6" t="s">
        <v>206</v>
      </c>
      <c r="C79" s="7">
        <v>43331</v>
      </c>
      <c r="D79" s="7">
        <v>43371</v>
      </c>
      <c r="E79" s="8">
        <f t="shared" si="2"/>
        <v>40</v>
      </c>
      <c r="F79" s="7">
        <v>43546</v>
      </c>
      <c r="G79" s="8">
        <f t="shared" si="3"/>
        <v>175</v>
      </c>
      <c r="H79" s="7">
        <v>43546</v>
      </c>
      <c r="I79" s="8">
        <f>IF($H79="", "", 参数!$B$3-$H79)</f>
        <v>2478</v>
      </c>
      <c r="J79" s="6" t="s">
        <v>917</v>
      </c>
      <c r="K79" s="9">
        <v>27090</v>
      </c>
      <c r="L79" s="9"/>
    </row>
    <row r="80" spans="1:12" x14ac:dyDescent="0.2">
      <c r="A80" s="6" t="s">
        <v>1034</v>
      </c>
      <c r="B80" s="6" t="s">
        <v>1033</v>
      </c>
      <c r="C80" s="7">
        <v>43339</v>
      </c>
      <c r="D80" s="7">
        <v>43343</v>
      </c>
      <c r="E80" s="8">
        <f t="shared" si="2"/>
        <v>4</v>
      </c>
      <c r="F80" s="7">
        <v>43396</v>
      </c>
      <c r="G80" s="8">
        <f t="shared" si="3"/>
        <v>53</v>
      </c>
      <c r="H80" s="7">
        <v>43396</v>
      </c>
      <c r="I80" s="8">
        <f>IF($H80="", "", 参数!$B$3-$H80)</f>
        <v>2628</v>
      </c>
      <c r="J80" s="6" t="s">
        <v>917</v>
      </c>
      <c r="K80" s="9">
        <v>10125</v>
      </c>
      <c r="L80" s="9"/>
    </row>
    <row r="81" spans="1:12" x14ac:dyDescent="0.2">
      <c r="A81" s="6" t="s">
        <v>1035</v>
      </c>
      <c r="B81" s="6" t="s">
        <v>1023</v>
      </c>
      <c r="C81" s="7">
        <v>43405</v>
      </c>
      <c r="D81" s="7">
        <v>43454</v>
      </c>
      <c r="E81" s="8">
        <f t="shared" si="2"/>
        <v>49</v>
      </c>
      <c r="F81" s="7">
        <v>43546</v>
      </c>
      <c r="G81" s="8">
        <f t="shared" si="3"/>
        <v>92</v>
      </c>
      <c r="H81" s="7">
        <v>43546</v>
      </c>
      <c r="I81" s="8">
        <f>IF($H81="", "", 参数!$B$3-$H81)</f>
        <v>2478</v>
      </c>
      <c r="J81" s="6" t="s">
        <v>917</v>
      </c>
      <c r="K81" s="9">
        <v>33000</v>
      </c>
      <c r="L81" s="9"/>
    </row>
    <row r="82" spans="1:12" x14ac:dyDescent="0.2">
      <c r="A82" s="6" t="s">
        <v>1036</v>
      </c>
      <c r="B82" s="6" t="s">
        <v>38</v>
      </c>
      <c r="C82" s="7">
        <v>43416</v>
      </c>
      <c r="D82" s="7">
        <v>43421</v>
      </c>
      <c r="E82" s="8">
        <f t="shared" si="2"/>
        <v>5</v>
      </c>
      <c r="F82" s="7">
        <v>43452</v>
      </c>
      <c r="G82" s="8">
        <f t="shared" si="3"/>
        <v>31</v>
      </c>
      <c r="H82" s="7">
        <v>43452</v>
      </c>
      <c r="I82" s="8">
        <f>IF($H82="", "", 参数!$B$3-$H82)</f>
        <v>2572</v>
      </c>
      <c r="J82" s="6" t="s">
        <v>917</v>
      </c>
      <c r="K82" s="9">
        <v>3200</v>
      </c>
      <c r="L82" s="9"/>
    </row>
    <row r="83" spans="1:12" x14ac:dyDescent="0.2">
      <c r="A83" s="6" t="s">
        <v>1037</v>
      </c>
      <c r="B83" s="6" t="s">
        <v>317</v>
      </c>
      <c r="C83" s="7">
        <v>43431</v>
      </c>
      <c r="D83" s="7">
        <v>43437</v>
      </c>
      <c r="E83" s="8">
        <f t="shared" si="2"/>
        <v>6</v>
      </c>
      <c r="F83" s="7">
        <v>43440</v>
      </c>
      <c r="G83" s="8">
        <f t="shared" si="3"/>
        <v>3</v>
      </c>
      <c r="H83" s="7">
        <v>43440</v>
      </c>
      <c r="I83" s="8">
        <f>IF($H83="", "", 参数!$B$3-$H83)</f>
        <v>2584</v>
      </c>
      <c r="J83" s="6" t="s">
        <v>917</v>
      </c>
      <c r="K83" s="9">
        <v>1176</v>
      </c>
      <c r="L83" s="9"/>
    </row>
    <row r="84" spans="1:12" x14ac:dyDescent="0.2">
      <c r="A84" s="6" t="s">
        <v>1038</v>
      </c>
      <c r="B84" s="6" t="s">
        <v>303</v>
      </c>
      <c r="C84" s="7">
        <v>43441</v>
      </c>
      <c r="D84" s="7">
        <v>43481</v>
      </c>
      <c r="E84" s="8">
        <f t="shared" si="2"/>
        <v>40</v>
      </c>
      <c r="F84" s="7">
        <v>43484</v>
      </c>
      <c r="G84" s="8">
        <f t="shared" si="3"/>
        <v>3</v>
      </c>
      <c r="H84" s="7">
        <v>43484</v>
      </c>
      <c r="I84" s="8">
        <f>IF($H84="", "", 参数!$B$3-$H84)</f>
        <v>2540</v>
      </c>
      <c r="J84" s="6" t="s">
        <v>917</v>
      </c>
      <c r="K84" s="9">
        <v>5444</v>
      </c>
      <c r="L84" s="9"/>
    </row>
    <row r="85" spans="1:12" x14ac:dyDescent="0.2">
      <c r="A85" s="6" t="s">
        <v>1039</v>
      </c>
      <c r="B85" s="6" t="s">
        <v>38</v>
      </c>
      <c r="C85" s="7">
        <v>43450</v>
      </c>
      <c r="D85" s="7">
        <v>43451</v>
      </c>
      <c r="E85" s="8">
        <f t="shared" si="2"/>
        <v>1</v>
      </c>
      <c r="F85" s="7">
        <v>43517</v>
      </c>
      <c r="G85" s="8">
        <f t="shared" si="3"/>
        <v>66</v>
      </c>
      <c r="H85" s="7">
        <v>43517</v>
      </c>
      <c r="I85" s="8">
        <f>IF($H85="", "", 参数!$B$3-$H85)</f>
        <v>2507</v>
      </c>
      <c r="J85" s="6" t="s">
        <v>917</v>
      </c>
      <c r="K85" s="9">
        <v>28000</v>
      </c>
      <c r="L85" s="9"/>
    </row>
    <row r="86" spans="1:12" x14ac:dyDescent="0.2">
      <c r="A86" s="6" t="s">
        <v>1041</v>
      </c>
      <c r="B86" s="6" t="s">
        <v>1040</v>
      </c>
      <c r="C86" s="7">
        <v>43468</v>
      </c>
      <c r="D86" s="7">
        <v>43513</v>
      </c>
      <c r="E86" s="8">
        <f t="shared" si="2"/>
        <v>45</v>
      </c>
      <c r="F86" s="7">
        <v>43518</v>
      </c>
      <c r="G86" s="8">
        <f t="shared" si="3"/>
        <v>5</v>
      </c>
      <c r="H86" s="7">
        <v>43518</v>
      </c>
      <c r="I86" s="8">
        <f>IF($H86="", "", 参数!$B$3-$H86)</f>
        <v>2506</v>
      </c>
      <c r="J86" s="6" t="s">
        <v>917</v>
      </c>
      <c r="K86" s="9">
        <v>1750</v>
      </c>
      <c r="L86" s="9">
        <v>0</v>
      </c>
    </row>
    <row r="87" spans="1:12" x14ac:dyDescent="0.2">
      <c r="A87" s="6" t="s">
        <v>1042</v>
      </c>
      <c r="B87" s="6" t="s">
        <v>303</v>
      </c>
      <c r="C87" s="7">
        <v>43469</v>
      </c>
      <c r="D87" s="7">
        <v>43676</v>
      </c>
      <c r="E87" s="8">
        <f t="shared" si="2"/>
        <v>207</v>
      </c>
      <c r="F87" s="7">
        <v>43797</v>
      </c>
      <c r="G87" s="8">
        <f t="shared" si="3"/>
        <v>121</v>
      </c>
      <c r="H87" s="7">
        <v>43797</v>
      </c>
      <c r="I87" s="8">
        <f>IF($H87="", "", 参数!$B$3-$H87)</f>
        <v>2227</v>
      </c>
      <c r="J87" s="6" t="s">
        <v>917</v>
      </c>
      <c r="K87" s="9">
        <v>26190</v>
      </c>
      <c r="L87" s="9">
        <v>0</v>
      </c>
    </row>
    <row r="88" spans="1:12" x14ac:dyDescent="0.2">
      <c r="A88" s="6" t="s">
        <v>1043</v>
      </c>
      <c r="B88" s="6" t="s">
        <v>719</v>
      </c>
      <c r="C88" s="7">
        <v>43473</v>
      </c>
      <c r="D88" s="7">
        <v>43480</v>
      </c>
      <c r="E88" s="8">
        <f t="shared" si="2"/>
        <v>7</v>
      </c>
      <c r="F88" s="7">
        <v>43487</v>
      </c>
      <c r="G88" s="8">
        <f t="shared" si="3"/>
        <v>7</v>
      </c>
      <c r="H88" s="7">
        <v>43487</v>
      </c>
      <c r="I88" s="8">
        <f>IF($H88="", "", 参数!$B$3-$H88)</f>
        <v>2537</v>
      </c>
      <c r="J88" s="6" t="s">
        <v>917</v>
      </c>
      <c r="K88" s="9">
        <v>6084</v>
      </c>
      <c r="L88" s="9">
        <v>0</v>
      </c>
    </row>
    <row r="89" spans="1:12" x14ac:dyDescent="0.2">
      <c r="A89" s="6" t="s">
        <v>1045</v>
      </c>
      <c r="B89" s="6" t="s">
        <v>1044</v>
      </c>
      <c r="C89" s="7">
        <v>43484</v>
      </c>
      <c r="D89" s="7">
        <v>43520</v>
      </c>
      <c r="E89" s="8">
        <f t="shared" si="2"/>
        <v>36</v>
      </c>
      <c r="F89" s="7">
        <v>43512</v>
      </c>
      <c r="G89" s="8">
        <f t="shared" si="3"/>
        <v>-8</v>
      </c>
      <c r="H89" s="7">
        <v>43512</v>
      </c>
      <c r="I89" s="8">
        <f>IF($H89="", "", 参数!$B$3-$H89)</f>
        <v>2512</v>
      </c>
      <c r="J89" s="6" t="s">
        <v>917</v>
      </c>
      <c r="K89" s="9">
        <v>4500</v>
      </c>
      <c r="L89" s="9">
        <v>0</v>
      </c>
    </row>
    <row r="90" spans="1:12" x14ac:dyDescent="0.2">
      <c r="A90" s="6" t="s">
        <v>1046</v>
      </c>
      <c r="B90" s="6" t="s">
        <v>994</v>
      </c>
      <c r="C90" s="7">
        <v>43495</v>
      </c>
      <c r="D90" s="7">
        <v>43515</v>
      </c>
      <c r="E90" s="8">
        <f t="shared" si="2"/>
        <v>20</v>
      </c>
      <c r="F90" s="7">
        <v>43523</v>
      </c>
      <c r="G90" s="8">
        <f t="shared" si="3"/>
        <v>8</v>
      </c>
      <c r="H90" s="7">
        <v>43523</v>
      </c>
      <c r="I90" s="8">
        <f>IF($H90="", "", 参数!$B$3-$H90)</f>
        <v>2501</v>
      </c>
      <c r="J90" s="6" t="s">
        <v>917</v>
      </c>
      <c r="K90" s="9">
        <v>9736</v>
      </c>
      <c r="L90" s="9">
        <v>0</v>
      </c>
    </row>
    <row r="91" spans="1:12" x14ac:dyDescent="0.2">
      <c r="A91" s="6" t="s">
        <v>1048</v>
      </c>
      <c r="B91" s="6" t="s">
        <v>1047</v>
      </c>
      <c r="C91" s="7">
        <v>43497</v>
      </c>
      <c r="D91" s="7">
        <v>43490</v>
      </c>
      <c r="E91" s="8">
        <f t="shared" si="2"/>
        <v>-7</v>
      </c>
      <c r="F91" s="7">
        <v>44520</v>
      </c>
      <c r="G91" s="8">
        <f t="shared" si="3"/>
        <v>1030</v>
      </c>
      <c r="H91" s="7">
        <v>44520</v>
      </c>
      <c r="I91" s="8">
        <f>IF($H91="", "", 参数!$B$3-$H91)</f>
        <v>1504</v>
      </c>
      <c r="J91" s="6" t="s">
        <v>917</v>
      </c>
      <c r="K91" s="9">
        <v>70000</v>
      </c>
      <c r="L91" s="9">
        <v>70000</v>
      </c>
    </row>
    <row r="92" spans="1:12" x14ac:dyDescent="0.2">
      <c r="A92" s="6" t="s">
        <v>1050</v>
      </c>
      <c r="B92" s="6" t="s">
        <v>1049</v>
      </c>
      <c r="C92" s="7">
        <v>43516</v>
      </c>
      <c r="D92" s="7">
        <v>43586</v>
      </c>
      <c r="E92" s="8">
        <f t="shared" si="2"/>
        <v>70</v>
      </c>
      <c r="F92" s="7">
        <v>43615</v>
      </c>
      <c r="G92" s="8">
        <f t="shared" si="3"/>
        <v>29</v>
      </c>
      <c r="H92" s="7">
        <v>43615</v>
      </c>
      <c r="I92" s="8">
        <f>IF($H92="", "", 参数!$B$3-$H92)</f>
        <v>2409</v>
      </c>
      <c r="J92" s="6" t="s">
        <v>917</v>
      </c>
      <c r="K92" s="9">
        <v>2800.0177586207101</v>
      </c>
      <c r="L92" s="9">
        <v>0</v>
      </c>
    </row>
    <row r="93" spans="1:12" x14ac:dyDescent="0.2">
      <c r="A93" s="6" t="s">
        <v>1052</v>
      </c>
      <c r="B93" s="6" t="s">
        <v>1051</v>
      </c>
      <c r="C93" s="7">
        <v>43519</v>
      </c>
      <c r="D93" s="7">
        <v>43524</v>
      </c>
      <c r="E93" s="8">
        <f t="shared" si="2"/>
        <v>5</v>
      </c>
      <c r="F93" s="7">
        <v>43546</v>
      </c>
      <c r="G93" s="8">
        <f t="shared" si="3"/>
        <v>22</v>
      </c>
      <c r="H93" s="7">
        <v>43546</v>
      </c>
      <c r="I93" s="8">
        <f>IF($H93="", "", 参数!$B$3-$H93)</f>
        <v>2478</v>
      </c>
      <c r="J93" s="6" t="s">
        <v>917</v>
      </c>
      <c r="K93" s="9">
        <v>2572.92</v>
      </c>
      <c r="L93" s="9">
        <v>0</v>
      </c>
    </row>
    <row r="94" spans="1:12" x14ac:dyDescent="0.2">
      <c r="A94" s="6" t="s">
        <v>1054</v>
      </c>
      <c r="B94" s="6" t="s">
        <v>1053</v>
      </c>
      <c r="C94" s="7">
        <v>43523</v>
      </c>
      <c r="D94" s="7">
        <v>43633</v>
      </c>
      <c r="E94" s="8">
        <f t="shared" si="2"/>
        <v>110</v>
      </c>
      <c r="F94" s="7">
        <v>43633</v>
      </c>
      <c r="G94" s="8">
        <f t="shared" si="3"/>
        <v>0</v>
      </c>
      <c r="H94" s="7">
        <v>43633</v>
      </c>
      <c r="I94" s="8">
        <f>IF($H94="", "", 参数!$B$3-$H94)</f>
        <v>2391</v>
      </c>
      <c r="J94" s="6" t="s">
        <v>917</v>
      </c>
      <c r="K94" s="9">
        <v>2318.9699999999998</v>
      </c>
      <c r="L94" s="9">
        <v>0</v>
      </c>
    </row>
    <row r="95" spans="1:12" x14ac:dyDescent="0.2">
      <c r="A95" s="6" t="s">
        <v>1055</v>
      </c>
      <c r="B95" s="6" t="s">
        <v>992</v>
      </c>
      <c r="C95" s="7">
        <v>43535</v>
      </c>
      <c r="D95" s="7">
        <v>43542</v>
      </c>
      <c r="E95" s="8">
        <f t="shared" si="2"/>
        <v>7</v>
      </c>
      <c r="F95" s="7">
        <v>43543</v>
      </c>
      <c r="G95" s="8">
        <f t="shared" si="3"/>
        <v>1</v>
      </c>
      <c r="H95" s="7">
        <v>43543</v>
      </c>
      <c r="I95" s="8">
        <f>IF($H95="", "", 参数!$B$3-$H95)</f>
        <v>2481</v>
      </c>
      <c r="J95" s="6" t="s">
        <v>917</v>
      </c>
      <c r="K95" s="9">
        <v>1150</v>
      </c>
      <c r="L95" s="9">
        <v>0</v>
      </c>
    </row>
    <row r="96" spans="1:12" x14ac:dyDescent="0.2">
      <c r="A96" s="6" t="s">
        <v>1056</v>
      </c>
      <c r="B96" s="6" t="s">
        <v>383</v>
      </c>
      <c r="C96" s="7">
        <v>43536</v>
      </c>
      <c r="D96" s="7">
        <v>43541</v>
      </c>
      <c r="E96" s="8">
        <f t="shared" si="2"/>
        <v>5</v>
      </c>
      <c r="F96" s="7">
        <v>43545</v>
      </c>
      <c r="G96" s="8">
        <f t="shared" si="3"/>
        <v>4</v>
      </c>
      <c r="H96" s="7">
        <v>43545</v>
      </c>
      <c r="I96" s="8">
        <f>IF($H96="", "", 参数!$B$3-$H96)</f>
        <v>2479</v>
      </c>
      <c r="J96" s="6" t="s">
        <v>917</v>
      </c>
      <c r="K96" s="9">
        <v>1040</v>
      </c>
      <c r="L96" s="9">
        <v>0</v>
      </c>
    </row>
    <row r="97" spans="1:12" x14ac:dyDescent="0.2">
      <c r="A97" s="6" t="s">
        <v>1057</v>
      </c>
      <c r="B97" s="6" t="s">
        <v>685</v>
      </c>
      <c r="C97" s="7">
        <v>43545</v>
      </c>
      <c r="D97" s="7">
        <v>43543</v>
      </c>
      <c r="E97" s="8">
        <f t="shared" si="2"/>
        <v>-2</v>
      </c>
      <c r="F97" s="7">
        <v>43851</v>
      </c>
      <c r="G97" s="8">
        <f t="shared" si="3"/>
        <v>308</v>
      </c>
      <c r="H97" s="7">
        <v>43851</v>
      </c>
      <c r="I97" s="8">
        <f>IF($H97="", "", 参数!$B$3-$H97)</f>
        <v>2173</v>
      </c>
      <c r="J97" s="6" t="s">
        <v>917</v>
      </c>
      <c r="K97" s="9">
        <v>23740</v>
      </c>
      <c r="L97" s="9">
        <v>0</v>
      </c>
    </row>
    <row r="98" spans="1:12" x14ac:dyDescent="0.2">
      <c r="A98" s="6" t="s">
        <v>1058</v>
      </c>
      <c r="B98" s="6" t="s">
        <v>886</v>
      </c>
      <c r="C98" s="7">
        <v>43549</v>
      </c>
      <c r="D98" s="7">
        <v>43971</v>
      </c>
      <c r="E98" s="8">
        <f t="shared" si="2"/>
        <v>422</v>
      </c>
      <c r="F98" s="7">
        <v>44425</v>
      </c>
      <c r="G98" s="8">
        <f t="shared" si="3"/>
        <v>454</v>
      </c>
      <c r="H98" s="7">
        <v>44425</v>
      </c>
      <c r="I98" s="8">
        <f>IF($H98="", "", 参数!$B$3-$H98)</f>
        <v>1599</v>
      </c>
      <c r="J98" s="6" t="s">
        <v>917</v>
      </c>
      <c r="K98" s="9">
        <v>27590.898275860101</v>
      </c>
      <c r="L98" s="9">
        <v>0</v>
      </c>
    </row>
    <row r="99" spans="1:12" x14ac:dyDescent="0.2">
      <c r="A99" s="6" t="s">
        <v>1059</v>
      </c>
      <c r="B99" s="6" t="s">
        <v>719</v>
      </c>
      <c r="C99" s="7">
        <v>43583</v>
      </c>
      <c r="D99" s="7">
        <v>43587</v>
      </c>
      <c r="E99" s="8">
        <f t="shared" si="2"/>
        <v>4</v>
      </c>
      <c r="F99" s="7">
        <v>43638</v>
      </c>
      <c r="G99" s="8">
        <f t="shared" si="3"/>
        <v>51</v>
      </c>
      <c r="H99" s="7">
        <v>43638</v>
      </c>
      <c r="I99" s="8">
        <f>IF($H99="", "", 参数!$B$3-$H99)</f>
        <v>2386</v>
      </c>
      <c r="J99" s="6" t="s">
        <v>917</v>
      </c>
      <c r="K99" s="9">
        <v>10060</v>
      </c>
      <c r="L99" s="9">
        <v>0</v>
      </c>
    </row>
    <row r="100" spans="1:12" x14ac:dyDescent="0.2">
      <c r="A100" s="6" t="s">
        <v>412</v>
      </c>
      <c r="B100" s="6" t="s">
        <v>411</v>
      </c>
      <c r="C100" s="7">
        <v>43609</v>
      </c>
      <c r="D100" s="7">
        <v>43623</v>
      </c>
      <c r="E100" s="8">
        <f t="shared" si="2"/>
        <v>14</v>
      </c>
      <c r="F100" s="7">
        <v>45197</v>
      </c>
      <c r="G100" s="8">
        <f t="shared" si="3"/>
        <v>1574</v>
      </c>
      <c r="H100" s="7">
        <v>45197</v>
      </c>
      <c r="I100" s="8">
        <f>IF($H100="", "", 参数!$B$3-$H100)</f>
        <v>827</v>
      </c>
      <c r="J100" s="6" t="s">
        <v>917</v>
      </c>
      <c r="K100" s="9">
        <v>1056.2</v>
      </c>
      <c r="L100" s="9">
        <v>1056.2</v>
      </c>
    </row>
    <row r="101" spans="1:12" x14ac:dyDescent="0.2">
      <c r="A101" s="6" t="s">
        <v>1060</v>
      </c>
      <c r="B101" s="6" t="s">
        <v>1044</v>
      </c>
      <c r="C101" s="7">
        <v>43630</v>
      </c>
      <c r="D101" s="7">
        <v>43638</v>
      </c>
      <c r="E101" s="8">
        <f t="shared" si="2"/>
        <v>8</v>
      </c>
      <c r="F101" s="7">
        <v>43642</v>
      </c>
      <c r="G101" s="8">
        <f t="shared" si="3"/>
        <v>4</v>
      </c>
      <c r="H101" s="7">
        <v>43642</v>
      </c>
      <c r="I101" s="8">
        <f>IF($H101="", "", 参数!$B$3-$H101)</f>
        <v>2382</v>
      </c>
      <c r="J101" s="6" t="s">
        <v>917</v>
      </c>
      <c r="K101" s="9">
        <v>1750</v>
      </c>
      <c r="L101" s="9">
        <v>0</v>
      </c>
    </row>
    <row r="102" spans="1:12" x14ac:dyDescent="0.2">
      <c r="A102" s="6" t="s">
        <v>1062</v>
      </c>
      <c r="B102" s="6" t="s">
        <v>1061</v>
      </c>
      <c r="C102" s="7">
        <v>43638</v>
      </c>
      <c r="D102" s="7">
        <v>43644</v>
      </c>
      <c r="E102" s="8">
        <f t="shared" si="2"/>
        <v>6</v>
      </c>
      <c r="F102" s="7">
        <v>43657</v>
      </c>
      <c r="G102" s="8">
        <f t="shared" si="3"/>
        <v>13</v>
      </c>
      <c r="H102" s="7">
        <v>43657</v>
      </c>
      <c r="I102" s="8">
        <f>IF($H102="", "", 参数!$B$3-$H102)</f>
        <v>2367</v>
      </c>
      <c r="J102" s="6" t="s">
        <v>917</v>
      </c>
      <c r="K102" s="9">
        <v>7000</v>
      </c>
      <c r="L102" s="9">
        <v>0</v>
      </c>
    </row>
    <row r="103" spans="1:12" x14ac:dyDescent="0.2">
      <c r="A103" s="6" t="s">
        <v>1063</v>
      </c>
      <c r="B103" s="6" t="s">
        <v>997</v>
      </c>
      <c r="C103" s="7">
        <v>43645</v>
      </c>
      <c r="D103" s="7">
        <v>43659</v>
      </c>
      <c r="E103" s="8">
        <f t="shared" si="2"/>
        <v>14</v>
      </c>
      <c r="F103" s="7">
        <v>43733</v>
      </c>
      <c r="G103" s="8">
        <f t="shared" si="3"/>
        <v>74</v>
      </c>
      <c r="H103" s="7">
        <v>43733</v>
      </c>
      <c r="I103" s="8">
        <f>IF($H103="", "", 参数!$B$3-$H103)</f>
        <v>2291</v>
      </c>
      <c r="J103" s="6" t="s">
        <v>917</v>
      </c>
      <c r="K103" s="9">
        <v>750</v>
      </c>
      <c r="L103" s="9">
        <v>0</v>
      </c>
    </row>
    <row r="104" spans="1:12" x14ac:dyDescent="0.2">
      <c r="A104" s="6" t="s">
        <v>1065</v>
      </c>
      <c r="B104" s="6" t="s">
        <v>1064</v>
      </c>
      <c r="C104" s="7">
        <v>43647</v>
      </c>
      <c r="D104" s="7">
        <v>43670</v>
      </c>
      <c r="E104" s="8">
        <f t="shared" si="2"/>
        <v>23</v>
      </c>
      <c r="F104" s="7">
        <v>43682</v>
      </c>
      <c r="G104" s="8">
        <f t="shared" si="3"/>
        <v>12</v>
      </c>
      <c r="H104" s="7">
        <v>43682</v>
      </c>
      <c r="I104" s="8">
        <f>IF($H104="", "", 参数!$B$3-$H104)</f>
        <v>2342</v>
      </c>
      <c r="J104" s="6" t="s">
        <v>917</v>
      </c>
      <c r="K104" s="9">
        <v>5936.5</v>
      </c>
      <c r="L104" s="9">
        <v>0</v>
      </c>
    </row>
    <row r="105" spans="1:12" x14ac:dyDescent="0.2">
      <c r="A105" s="6" t="s">
        <v>1066</v>
      </c>
      <c r="B105" s="6" t="s">
        <v>996</v>
      </c>
      <c r="C105" s="7">
        <v>43649</v>
      </c>
      <c r="D105" s="7">
        <v>43663</v>
      </c>
      <c r="E105" s="8">
        <f t="shared" si="2"/>
        <v>14</v>
      </c>
      <c r="F105" s="7">
        <v>43698</v>
      </c>
      <c r="G105" s="8">
        <f t="shared" si="3"/>
        <v>35</v>
      </c>
      <c r="H105" s="7">
        <v>43698</v>
      </c>
      <c r="I105" s="8">
        <f>IF($H105="", "", 参数!$B$3-$H105)</f>
        <v>2326</v>
      </c>
      <c r="J105" s="6" t="s">
        <v>917</v>
      </c>
      <c r="K105" s="9">
        <v>5012</v>
      </c>
      <c r="L105" s="9">
        <v>0</v>
      </c>
    </row>
    <row r="106" spans="1:12" x14ac:dyDescent="0.2">
      <c r="A106" s="6" t="s">
        <v>1068</v>
      </c>
      <c r="B106" s="6" t="s">
        <v>1067</v>
      </c>
      <c r="C106" s="7">
        <v>43657</v>
      </c>
      <c r="D106" s="7">
        <v>43660</v>
      </c>
      <c r="E106" s="8">
        <f t="shared" si="2"/>
        <v>3</v>
      </c>
      <c r="F106" s="7">
        <v>43676</v>
      </c>
      <c r="G106" s="8">
        <f t="shared" si="3"/>
        <v>16</v>
      </c>
      <c r="H106" s="7">
        <v>43676</v>
      </c>
      <c r="I106" s="8">
        <f>IF($H106="", "", 参数!$B$3-$H106)</f>
        <v>2348</v>
      </c>
      <c r="J106" s="6" t="s">
        <v>917</v>
      </c>
      <c r="K106" s="9">
        <v>4300</v>
      </c>
      <c r="L106" s="9">
        <v>0</v>
      </c>
    </row>
    <row r="107" spans="1:12" x14ac:dyDescent="0.2">
      <c r="A107" s="6" t="s">
        <v>907</v>
      </c>
      <c r="B107" s="6" t="s">
        <v>1069</v>
      </c>
      <c r="C107" s="7">
        <v>43682</v>
      </c>
      <c r="D107" s="7">
        <v>43707</v>
      </c>
      <c r="E107" s="8">
        <f t="shared" si="2"/>
        <v>25</v>
      </c>
      <c r="F107" s="7">
        <v>43759</v>
      </c>
      <c r="G107" s="8">
        <f t="shared" si="3"/>
        <v>52</v>
      </c>
      <c r="H107" s="7">
        <v>43759</v>
      </c>
      <c r="I107" s="8">
        <f>IF($H107="", "", 参数!$B$3-$H107)</f>
        <v>2265</v>
      </c>
      <c r="J107" s="6" t="s">
        <v>917</v>
      </c>
      <c r="K107" s="9">
        <v>78343.78</v>
      </c>
      <c r="L107" s="9">
        <v>0</v>
      </c>
    </row>
    <row r="108" spans="1:12" x14ac:dyDescent="0.2">
      <c r="A108" s="6" t="s">
        <v>1071</v>
      </c>
      <c r="B108" s="6" t="s">
        <v>1070</v>
      </c>
      <c r="C108" s="7">
        <v>43697</v>
      </c>
      <c r="D108" s="7">
        <v>43719</v>
      </c>
      <c r="E108" s="8">
        <f t="shared" si="2"/>
        <v>22</v>
      </c>
      <c r="F108" s="7">
        <v>43723</v>
      </c>
      <c r="G108" s="8">
        <f t="shared" si="3"/>
        <v>4</v>
      </c>
      <c r="H108" s="7">
        <v>43723</v>
      </c>
      <c r="I108" s="8">
        <f>IF($H108="", "", 参数!$B$3-$H108)</f>
        <v>2301</v>
      </c>
      <c r="J108" s="6" t="s">
        <v>917</v>
      </c>
      <c r="K108" s="9">
        <v>70000</v>
      </c>
      <c r="L108" s="9">
        <v>0</v>
      </c>
    </row>
    <row r="109" spans="1:12" x14ac:dyDescent="0.2">
      <c r="A109" s="6" t="s">
        <v>1072</v>
      </c>
      <c r="B109" s="6" t="s">
        <v>248</v>
      </c>
      <c r="C109" s="7">
        <v>43697</v>
      </c>
      <c r="D109" s="7">
        <v>43701</v>
      </c>
      <c r="E109" s="8">
        <f t="shared" si="2"/>
        <v>4</v>
      </c>
      <c r="F109" s="7">
        <v>43733</v>
      </c>
      <c r="G109" s="8">
        <f t="shared" si="3"/>
        <v>32</v>
      </c>
      <c r="H109" s="7">
        <v>43733</v>
      </c>
      <c r="I109" s="8">
        <f>IF($H109="", "", 参数!$B$3-$H109)</f>
        <v>2291</v>
      </c>
      <c r="J109" s="6" t="s">
        <v>917</v>
      </c>
      <c r="K109" s="9">
        <v>8988</v>
      </c>
      <c r="L109" s="9">
        <v>0</v>
      </c>
    </row>
    <row r="110" spans="1:12" x14ac:dyDescent="0.2">
      <c r="A110" s="6" t="s">
        <v>1073</v>
      </c>
      <c r="B110" s="6" t="s">
        <v>1023</v>
      </c>
      <c r="C110" s="7">
        <v>43700</v>
      </c>
      <c r="D110" s="7">
        <v>43819</v>
      </c>
      <c r="E110" s="8">
        <f t="shared" si="2"/>
        <v>119</v>
      </c>
      <c r="F110" s="7">
        <v>44074</v>
      </c>
      <c r="G110" s="8">
        <f t="shared" si="3"/>
        <v>255</v>
      </c>
      <c r="H110" s="7">
        <v>44074</v>
      </c>
      <c r="I110" s="8">
        <f>IF($H110="", "", 参数!$B$3-$H110)</f>
        <v>1950</v>
      </c>
      <c r="J110" s="6" t="s">
        <v>917</v>
      </c>
      <c r="K110" s="9">
        <v>201600</v>
      </c>
      <c r="L110" s="9">
        <v>0</v>
      </c>
    </row>
    <row r="111" spans="1:12" x14ac:dyDescent="0.2">
      <c r="A111" s="6" t="s">
        <v>1074</v>
      </c>
      <c r="B111" s="6" t="s">
        <v>303</v>
      </c>
      <c r="C111" s="7">
        <v>43730</v>
      </c>
      <c r="D111" s="7">
        <v>43830</v>
      </c>
      <c r="E111" s="8">
        <f t="shared" si="2"/>
        <v>100</v>
      </c>
      <c r="F111" s="7">
        <v>43798</v>
      </c>
      <c r="G111" s="8">
        <f t="shared" si="3"/>
        <v>-32</v>
      </c>
      <c r="H111" s="7">
        <v>43798</v>
      </c>
      <c r="I111" s="8">
        <f>IF($H111="", "", 参数!$B$3-$H111)</f>
        <v>2226</v>
      </c>
      <c r="J111" s="6" t="s">
        <v>917</v>
      </c>
      <c r="K111" s="9">
        <v>17150</v>
      </c>
      <c r="L111" s="9">
        <v>0</v>
      </c>
    </row>
    <row r="112" spans="1:12" x14ac:dyDescent="0.2">
      <c r="A112" s="6" t="s">
        <v>1075</v>
      </c>
      <c r="B112" s="6" t="s">
        <v>38</v>
      </c>
      <c r="C112" s="7">
        <v>43730</v>
      </c>
      <c r="D112" s="7">
        <v>43737</v>
      </c>
      <c r="E112" s="8">
        <f t="shared" si="2"/>
        <v>7</v>
      </c>
      <c r="F112" s="7">
        <v>43747</v>
      </c>
      <c r="G112" s="8">
        <f t="shared" si="3"/>
        <v>10</v>
      </c>
      <c r="H112" s="7">
        <v>43747</v>
      </c>
      <c r="I112" s="8">
        <f>IF($H112="", "", 参数!$B$3-$H112)</f>
        <v>2277</v>
      </c>
      <c r="J112" s="6" t="s">
        <v>917</v>
      </c>
      <c r="K112" s="9">
        <v>9000</v>
      </c>
      <c r="L112" s="9">
        <v>0</v>
      </c>
    </row>
    <row r="113" spans="1:12" x14ac:dyDescent="0.2">
      <c r="A113" s="6" t="s">
        <v>1077</v>
      </c>
      <c r="B113" s="6" t="s">
        <v>1076</v>
      </c>
      <c r="C113" s="7">
        <v>43736</v>
      </c>
      <c r="D113" s="7">
        <v>43755</v>
      </c>
      <c r="E113" s="8">
        <f t="shared" si="2"/>
        <v>19</v>
      </c>
      <c r="F113" s="7">
        <v>43819</v>
      </c>
      <c r="G113" s="8">
        <f t="shared" si="3"/>
        <v>64</v>
      </c>
      <c r="H113" s="7">
        <v>43819</v>
      </c>
      <c r="I113" s="8">
        <f>IF($H113="", "", 参数!$B$3-$H113)</f>
        <v>2205</v>
      </c>
      <c r="J113" s="6" t="s">
        <v>917</v>
      </c>
      <c r="K113" s="9">
        <v>12000</v>
      </c>
      <c r="L113" s="9">
        <v>0</v>
      </c>
    </row>
    <row r="114" spans="1:12" x14ac:dyDescent="0.2">
      <c r="A114" s="6" t="s">
        <v>1078</v>
      </c>
      <c r="B114" s="6" t="s">
        <v>994</v>
      </c>
      <c r="C114" s="7">
        <v>43756</v>
      </c>
      <c r="D114" s="7">
        <v>43763</v>
      </c>
      <c r="E114" s="8">
        <f t="shared" si="2"/>
        <v>7</v>
      </c>
      <c r="F114" s="7">
        <v>43767</v>
      </c>
      <c r="G114" s="8">
        <f t="shared" si="3"/>
        <v>4</v>
      </c>
      <c r="H114" s="7">
        <v>43767</v>
      </c>
      <c r="I114" s="8">
        <f>IF($H114="", "", 参数!$B$3-$H114)</f>
        <v>2257</v>
      </c>
      <c r="J114" s="6" t="s">
        <v>917</v>
      </c>
      <c r="K114" s="9">
        <v>4864</v>
      </c>
      <c r="L114" s="9">
        <v>0</v>
      </c>
    </row>
    <row r="115" spans="1:12" x14ac:dyDescent="0.2">
      <c r="A115" s="6" t="s">
        <v>1079</v>
      </c>
      <c r="B115" s="6" t="s">
        <v>877</v>
      </c>
      <c r="C115" s="7">
        <v>43839</v>
      </c>
      <c r="D115" s="7">
        <v>43845</v>
      </c>
      <c r="E115" s="8">
        <f t="shared" si="2"/>
        <v>6</v>
      </c>
      <c r="F115" s="7"/>
      <c r="G115" s="8" t="str">
        <f t="shared" si="3"/>
        <v/>
      </c>
      <c r="H115" s="7">
        <v>43845</v>
      </c>
      <c r="I115" s="8">
        <f>IF($H115="", "", 参数!$B$3-$H115)</f>
        <v>2179</v>
      </c>
      <c r="J115" s="6" t="s">
        <v>917</v>
      </c>
      <c r="K115" s="9">
        <v>38000</v>
      </c>
      <c r="L115" s="9">
        <v>38000</v>
      </c>
    </row>
    <row r="116" spans="1:12" x14ac:dyDescent="0.2">
      <c r="A116" s="6" t="s">
        <v>871</v>
      </c>
      <c r="B116" s="6" t="s">
        <v>870</v>
      </c>
      <c r="C116" s="7">
        <v>43850</v>
      </c>
      <c r="D116" s="7">
        <v>44275</v>
      </c>
      <c r="E116" s="8">
        <f t="shared" si="2"/>
        <v>425</v>
      </c>
      <c r="F116" s="7">
        <v>44274</v>
      </c>
      <c r="G116" s="8">
        <f t="shared" si="3"/>
        <v>-1</v>
      </c>
      <c r="H116" s="7">
        <v>44274</v>
      </c>
      <c r="I116" s="8">
        <f>IF($H116="", "", 参数!$B$3-$H116)</f>
        <v>1750</v>
      </c>
      <c r="J116" s="6" t="s">
        <v>917</v>
      </c>
      <c r="K116" s="9">
        <v>28600</v>
      </c>
      <c r="L116" s="9">
        <v>0</v>
      </c>
    </row>
    <row r="117" spans="1:12" x14ac:dyDescent="0.2">
      <c r="A117" s="6" t="s">
        <v>879</v>
      </c>
      <c r="B117" s="6" t="s">
        <v>353</v>
      </c>
      <c r="C117" s="7">
        <v>43908</v>
      </c>
      <c r="D117" s="7">
        <v>43977</v>
      </c>
      <c r="E117" s="8">
        <f t="shared" si="2"/>
        <v>69</v>
      </c>
      <c r="F117" s="7">
        <v>44007</v>
      </c>
      <c r="G117" s="8">
        <f t="shared" si="3"/>
        <v>30</v>
      </c>
      <c r="H117" s="7">
        <v>44007</v>
      </c>
      <c r="I117" s="8">
        <f>IF($H117="", "", 参数!$B$3-$H117)</f>
        <v>2017</v>
      </c>
      <c r="J117" s="6" t="s">
        <v>917</v>
      </c>
      <c r="K117" s="9">
        <v>153000</v>
      </c>
      <c r="L117" s="9">
        <v>0</v>
      </c>
    </row>
    <row r="118" spans="1:12" x14ac:dyDescent="0.2">
      <c r="A118" s="6" t="s">
        <v>1081</v>
      </c>
      <c r="B118" s="6" t="s">
        <v>1080</v>
      </c>
      <c r="C118" s="7">
        <v>43938</v>
      </c>
      <c r="D118" s="7">
        <v>43961</v>
      </c>
      <c r="E118" s="8">
        <f t="shared" si="2"/>
        <v>23</v>
      </c>
      <c r="F118" s="7">
        <v>43958</v>
      </c>
      <c r="G118" s="8">
        <f t="shared" si="3"/>
        <v>-3</v>
      </c>
      <c r="H118" s="7">
        <v>43958</v>
      </c>
      <c r="I118" s="8">
        <f>IF($H118="", "", 参数!$B$3-$H118)</f>
        <v>2066</v>
      </c>
      <c r="J118" s="6" t="s">
        <v>917</v>
      </c>
      <c r="K118" s="9">
        <v>4300</v>
      </c>
      <c r="L118" s="9">
        <v>0</v>
      </c>
    </row>
    <row r="119" spans="1:12" x14ac:dyDescent="0.2">
      <c r="A119" s="6" t="s">
        <v>1083</v>
      </c>
      <c r="B119" s="6" t="s">
        <v>1082</v>
      </c>
      <c r="C119" s="7">
        <v>43983</v>
      </c>
      <c r="D119" s="7">
        <v>43988</v>
      </c>
      <c r="E119" s="8">
        <f t="shared" si="2"/>
        <v>5</v>
      </c>
      <c r="F119" s="7">
        <v>44230</v>
      </c>
      <c r="G119" s="8">
        <f t="shared" si="3"/>
        <v>242</v>
      </c>
      <c r="H119" s="7">
        <v>44230</v>
      </c>
      <c r="I119" s="8">
        <f>IF($H119="", "", 参数!$B$3-$H119)</f>
        <v>1794</v>
      </c>
      <c r="J119" s="6" t="s">
        <v>917</v>
      </c>
      <c r="K119" s="9">
        <v>137376</v>
      </c>
      <c r="L119" s="9">
        <v>0</v>
      </c>
    </row>
    <row r="120" spans="1:12" x14ac:dyDescent="0.2">
      <c r="A120" s="6" t="s">
        <v>865</v>
      </c>
      <c r="B120" s="6" t="s">
        <v>136</v>
      </c>
      <c r="C120" s="7">
        <v>43990</v>
      </c>
      <c r="D120" s="7">
        <v>44215</v>
      </c>
      <c r="E120" s="8">
        <f t="shared" si="2"/>
        <v>225</v>
      </c>
      <c r="F120" s="7">
        <v>45013</v>
      </c>
      <c r="G120" s="8">
        <f t="shared" si="3"/>
        <v>798</v>
      </c>
      <c r="H120" s="7">
        <v>45013</v>
      </c>
      <c r="I120" s="8">
        <f>IF($H120="", "", 参数!$B$3-$H120)</f>
        <v>1011</v>
      </c>
      <c r="J120" s="6" t="s">
        <v>917</v>
      </c>
      <c r="K120" s="9">
        <v>15436.8</v>
      </c>
      <c r="L120" s="9">
        <v>23836.799999999999</v>
      </c>
    </row>
    <row r="121" spans="1:12" x14ac:dyDescent="0.2">
      <c r="A121" s="6" t="s">
        <v>1085</v>
      </c>
      <c r="B121" s="6" t="s">
        <v>1084</v>
      </c>
      <c r="C121" s="7">
        <v>44007</v>
      </c>
      <c r="D121" s="7">
        <v>44010</v>
      </c>
      <c r="E121" s="8">
        <f t="shared" si="2"/>
        <v>3</v>
      </c>
      <c r="F121" s="7">
        <v>44160</v>
      </c>
      <c r="G121" s="8">
        <f t="shared" si="3"/>
        <v>150</v>
      </c>
      <c r="H121" s="7">
        <v>44160</v>
      </c>
      <c r="I121" s="8">
        <f>IF($H121="", "", 参数!$B$3-$H121)</f>
        <v>1864</v>
      </c>
      <c r="J121" s="6" t="s">
        <v>917</v>
      </c>
      <c r="K121" s="9">
        <v>840</v>
      </c>
      <c r="L121" s="9">
        <v>0</v>
      </c>
    </row>
    <row r="122" spans="1:12" x14ac:dyDescent="0.2">
      <c r="A122" s="6" t="s">
        <v>1087</v>
      </c>
      <c r="B122" s="6" t="s">
        <v>1086</v>
      </c>
      <c r="C122" s="7">
        <v>44023</v>
      </c>
      <c r="D122" s="7">
        <v>44031</v>
      </c>
      <c r="E122" s="8">
        <f t="shared" si="2"/>
        <v>8</v>
      </c>
      <c r="F122" s="7">
        <v>44071</v>
      </c>
      <c r="G122" s="8">
        <f t="shared" si="3"/>
        <v>40</v>
      </c>
      <c r="H122" s="7">
        <v>44071</v>
      </c>
      <c r="I122" s="8">
        <f>IF($H122="", "", 参数!$B$3-$H122)</f>
        <v>1953</v>
      </c>
      <c r="J122" s="6" t="s">
        <v>917</v>
      </c>
      <c r="K122" s="9">
        <v>5120</v>
      </c>
      <c r="L122" s="9">
        <v>0</v>
      </c>
    </row>
    <row r="123" spans="1:12" x14ac:dyDescent="0.2">
      <c r="A123" s="6" t="s">
        <v>1088</v>
      </c>
      <c r="B123" s="6" t="s">
        <v>1080</v>
      </c>
      <c r="C123" s="7">
        <v>44037</v>
      </c>
      <c r="D123" s="7">
        <v>44742</v>
      </c>
      <c r="E123" s="8">
        <f t="shared" si="2"/>
        <v>705</v>
      </c>
      <c r="F123" s="7">
        <v>44488</v>
      </c>
      <c r="G123" s="8">
        <f t="shared" si="3"/>
        <v>-254</v>
      </c>
      <c r="H123" s="7">
        <v>44488</v>
      </c>
      <c r="I123" s="8">
        <f>IF($H123="", "", 参数!$B$3-$H123)</f>
        <v>1536</v>
      </c>
      <c r="J123" s="6" t="s">
        <v>917</v>
      </c>
      <c r="K123" s="9">
        <v>4300</v>
      </c>
      <c r="L123" s="9">
        <v>0</v>
      </c>
    </row>
    <row r="124" spans="1:12" x14ac:dyDescent="0.2">
      <c r="A124" s="6" t="s">
        <v>19</v>
      </c>
      <c r="B124" s="6" t="s">
        <v>18</v>
      </c>
      <c r="C124" s="7">
        <v>44050</v>
      </c>
      <c r="D124" s="7">
        <v>44210</v>
      </c>
      <c r="E124" s="8">
        <f t="shared" si="2"/>
        <v>160</v>
      </c>
      <c r="F124" s="7"/>
      <c r="G124" s="8" t="str">
        <f t="shared" si="3"/>
        <v/>
      </c>
      <c r="H124" s="7">
        <v>44210</v>
      </c>
      <c r="I124" s="8">
        <f>IF($H124="", "", 参数!$B$3-$H124)</f>
        <v>1814</v>
      </c>
      <c r="J124" s="6" t="s">
        <v>917</v>
      </c>
      <c r="K124" s="9">
        <v>23693</v>
      </c>
      <c r="L124" s="9">
        <v>-3757</v>
      </c>
    </row>
    <row r="125" spans="1:12" x14ac:dyDescent="0.2">
      <c r="A125" s="6" t="s">
        <v>1089</v>
      </c>
      <c r="B125" s="6" t="s">
        <v>958</v>
      </c>
      <c r="C125" s="7">
        <v>44079</v>
      </c>
      <c r="D125" s="7">
        <v>44102</v>
      </c>
      <c r="E125" s="8">
        <f t="shared" si="2"/>
        <v>23</v>
      </c>
      <c r="F125" s="7">
        <v>44133</v>
      </c>
      <c r="G125" s="8">
        <f t="shared" si="3"/>
        <v>31</v>
      </c>
      <c r="H125" s="7">
        <v>44133</v>
      </c>
      <c r="I125" s="8">
        <f>IF($H125="", "", 参数!$B$3-$H125)</f>
        <v>1891</v>
      </c>
      <c r="J125" s="6" t="s">
        <v>917</v>
      </c>
      <c r="K125" s="9">
        <v>2000</v>
      </c>
      <c r="L125" s="9">
        <v>0</v>
      </c>
    </row>
    <row r="126" spans="1:12" x14ac:dyDescent="0.2">
      <c r="A126" s="6" t="s">
        <v>1091</v>
      </c>
      <c r="B126" s="6" t="s">
        <v>1090</v>
      </c>
      <c r="C126" s="7">
        <v>44098</v>
      </c>
      <c r="D126" s="7">
        <v>44137</v>
      </c>
      <c r="E126" s="8">
        <f t="shared" si="2"/>
        <v>39</v>
      </c>
      <c r="F126" s="7">
        <v>44148</v>
      </c>
      <c r="G126" s="8">
        <f t="shared" si="3"/>
        <v>11</v>
      </c>
      <c r="H126" s="7">
        <v>44148</v>
      </c>
      <c r="I126" s="8">
        <f>IF($H126="", "", 参数!$B$3-$H126)</f>
        <v>1876</v>
      </c>
      <c r="J126" s="6" t="s">
        <v>917</v>
      </c>
      <c r="K126" s="9">
        <v>69000</v>
      </c>
      <c r="L126" s="9">
        <v>0</v>
      </c>
    </row>
    <row r="127" spans="1:12" x14ac:dyDescent="0.2">
      <c r="A127" s="6" t="s">
        <v>1093</v>
      </c>
      <c r="B127" s="6" t="s">
        <v>1092</v>
      </c>
      <c r="C127" s="7">
        <v>44107</v>
      </c>
      <c r="D127" s="7">
        <v>44125</v>
      </c>
      <c r="E127" s="8">
        <f t="shared" si="2"/>
        <v>18</v>
      </c>
      <c r="F127" s="7">
        <v>44176</v>
      </c>
      <c r="G127" s="8">
        <f t="shared" si="3"/>
        <v>51</v>
      </c>
      <c r="H127" s="7">
        <v>44176</v>
      </c>
      <c r="I127" s="8">
        <f>IF($H127="", "", 参数!$B$3-$H127)</f>
        <v>1848</v>
      </c>
      <c r="J127" s="6" t="s">
        <v>917</v>
      </c>
      <c r="K127" s="9">
        <v>94500</v>
      </c>
      <c r="L127" s="9">
        <v>0</v>
      </c>
    </row>
    <row r="128" spans="1:12" x14ac:dyDescent="0.2">
      <c r="A128" s="6" t="s">
        <v>1095</v>
      </c>
      <c r="B128" s="6" t="s">
        <v>1094</v>
      </c>
      <c r="C128" s="7">
        <v>44118</v>
      </c>
      <c r="D128" s="7">
        <v>44123</v>
      </c>
      <c r="E128" s="8">
        <f t="shared" si="2"/>
        <v>5</v>
      </c>
      <c r="F128" s="7">
        <v>44148</v>
      </c>
      <c r="G128" s="8">
        <f t="shared" si="3"/>
        <v>25</v>
      </c>
      <c r="H128" s="7">
        <v>44148</v>
      </c>
      <c r="I128" s="8">
        <f>IF($H128="", "", 参数!$B$3-$H128)</f>
        <v>1876</v>
      </c>
      <c r="J128" s="6" t="s">
        <v>917</v>
      </c>
      <c r="K128" s="9">
        <v>1250</v>
      </c>
      <c r="L128" s="9">
        <v>0</v>
      </c>
    </row>
    <row r="129" spans="1:12" x14ac:dyDescent="0.2">
      <c r="A129" s="6" t="s">
        <v>1097</v>
      </c>
      <c r="B129" s="6" t="s">
        <v>1096</v>
      </c>
      <c r="C129" s="7">
        <v>44122</v>
      </c>
      <c r="D129" s="7">
        <v>44265</v>
      </c>
      <c r="E129" s="8">
        <f t="shared" si="2"/>
        <v>143</v>
      </c>
      <c r="F129" s="7">
        <v>44251</v>
      </c>
      <c r="G129" s="8">
        <f t="shared" si="3"/>
        <v>-14</v>
      </c>
      <c r="H129" s="7">
        <v>44251</v>
      </c>
      <c r="I129" s="8">
        <f>IF($H129="", "", 参数!$B$3-$H129)</f>
        <v>1773</v>
      </c>
      <c r="J129" s="6" t="s">
        <v>917</v>
      </c>
      <c r="K129" s="9">
        <v>15500</v>
      </c>
      <c r="L129" s="9">
        <v>0</v>
      </c>
    </row>
    <row r="130" spans="1:12" x14ac:dyDescent="0.2">
      <c r="A130" s="6" t="s">
        <v>1099</v>
      </c>
      <c r="B130" s="6" t="s">
        <v>1098</v>
      </c>
      <c r="C130" s="7">
        <v>44128</v>
      </c>
      <c r="D130" s="7">
        <v>44102</v>
      </c>
      <c r="E130" s="8">
        <f t="shared" si="2"/>
        <v>-26</v>
      </c>
      <c r="F130" s="7">
        <v>44130</v>
      </c>
      <c r="G130" s="8">
        <f t="shared" si="3"/>
        <v>28</v>
      </c>
      <c r="H130" s="7">
        <v>44130</v>
      </c>
      <c r="I130" s="8">
        <f>IF($H130="", "", 参数!$B$3-$H130)</f>
        <v>1894</v>
      </c>
      <c r="J130" s="6" t="s">
        <v>917</v>
      </c>
      <c r="K130" s="9">
        <v>1939.34</v>
      </c>
      <c r="L130" s="9">
        <v>0</v>
      </c>
    </row>
    <row r="131" spans="1:12" x14ac:dyDescent="0.2">
      <c r="A131" s="6" t="s">
        <v>1100</v>
      </c>
      <c r="B131" s="6" t="s">
        <v>1023</v>
      </c>
      <c r="C131" s="7">
        <v>44132</v>
      </c>
      <c r="D131" s="7">
        <v>44154</v>
      </c>
      <c r="E131" s="8">
        <f t="shared" ref="E131:E194" si="4">IF(OR($C131="", $D131=""),"", $D131-$C131)</f>
        <v>22</v>
      </c>
      <c r="F131" s="7">
        <v>44260</v>
      </c>
      <c r="G131" s="8">
        <f t="shared" ref="G131:G194" si="5">IF(OR($C131="", $D131="",$F131=""),"", $F131-$D131)</f>
        <v>106</v>
      </c>
      <c r="H131" s="7">
        <v>44260</v>
      </c>
      <c r="I131" s="8">
        <f>IF($H131="", "", 参数!$B$3-$H131)</f>
        <v>1764</v>
      </c>
      <c r="J131" s="6" t="s">
        <v>917</v>
      </c>
      <c r="K131" s="9">
        <v>9250</v>
      </c>
      <c r="L131" s="9">
        <v>0</v>
      </c>
    </row>
    <row r="132" spans="1:12" x14ac:dyDescent="0.2">
      <c r="A132" s="6" t="s">
        <v>1101</v>
      </c>
      <c r="B132" s="6" t="s">
        <v>1090</v>
      </c>
      <c r="C132" s="7">
        <v>44157</v>
      </c>
      <c r="D132" s="7">
        <v>44159</v>
      </c>
      <c r="E132" s="8">
        <f t="shared" si="4"/>
        <v>2</v>
      </c>
      <c r="F132" s="7">
        <v>44180</v>
      </c>
      <c r="G132" s="8">
        <f t="shared" si="5"/>
        <v>21</v>
      </c>
      <c r="H132" s="7">
        <v>44180</v>
      </c>
      <c r="I132" s="8">
        <f>IF($H132="", "", 参数!$B$3-$H132)</f>
        <v>1844</v>
      </c>
      <c r="J132" s="6" t="s">
        <v>917</v>
      </c>
      <c r="K132" s="9">
        <v>20000</v>
      </c>
      <c r="L132" s="9">
        <v>0</v>
      </c>
    </row>
    <row r="133" spans="1:12" x14ac:dyDescent="0.2">
      <c r="A133" s="6" t="s">
        <v>1103</v>
      </c>
      <c r="B133" s="6" t="s">
        <v>1102</v>
      </c>
      <c r="C133" s="7">
        <v>44166</v>
      </c>
      <c r="D133" s="7">
        <v>44313</v>
      </c>
      <c r="E133" s="8">
        <f t="shared" si="4"/>
        <v>147</v>
      </c>
      <c r="F133" s="7">
        <v>44342</v>
      </c>
      <c r="G133" s="8">
        <f t="shared" si="5"/>
        <v>29</v>
      </c>
      <c r="H133" s="7">
        <v>44342</v>
      </c>
      <c r="I133" s="8">
        <f>IF($H133="", "", 参数!$B$3-$H133)</f>
        <v>1682</v>
      </c>
      <c r="J133" s="6" t="s">
        <v>917</v>
      </c>
      <c r="K133" s="9">
        <v>1750</v>
      </c>
      <c r="L133" s="9">
        <v>0</v>
      </c>
    </row>
    <row r="134" spans="1:12" x14ac:dyDescent="0.2">
      <c r="A134" s="6" t="s">
        <v>890</v>
      </c>
      <c r="B134" s="6" t="s">
        <v>1104</v>
      </c>
      <c r="C134" s="7">
        <v>44186</v>
      </c>
      <c r="D134" s="7">
        <v>44256</v>
      </c>
      <c r="E134" s="8">
        <f t="shared" si="4"/>
        <v>70</v>
      </c>
      <c r="F134" s="7">
        <v>44258</v>
      </c>
      <c r="G134" s="8">
        <f t="shared" si="5"/>
        <v>2</v>
      </c>
      <c r="H134" s="7">
        <v>44258</v>
      </c>
      <c r="I134" s="8">
        <f>IF($H134="", "", 参数!$B$3-$H134)</f>
        <v>1766</v>
      </c>
      <c r="J134" s="6" t="s">
        <v>917</v>
      </c>
      <c r="K134" s="9">
        <v>41621</v>
      </c>
      <c r="L134" s="9">
        <v>0</v>
      </c>
    </row>
    <row r="135" spans="1:12" x14ac:dyDescent="0.2">
      <c r="A135" s="6" t="s">
        <v>1105</v>
      </c>
      <c r="B135" s="6" t="s">
        <v>997</v>
      </c>
      <c r="C135" s="7">
        <v>44188</v>
      </c>
      <c r="D135" s="7">
        <v>44216</v>
      </c>
      <c r="E135" s="8">
        <f t="shared" si="4"/>
        <v>28</v>
      </c>
      <c r="F135" s="7">
        <v>44342</v>
      </c>
      <c r="G135" s="8">
        <f t="shared" si="5"/>
        <v>126</v>
      </c>
      <c r="H135" s="7">
        <v>44342</v>
      </c>
      <c r="I135" s="8">
        <f>IF($H135="", "", 参数!$B$3-$H135)</f>
        <v>1682</v>
      </c>
      <c r="J135" s="6" t="s">
        <v>917</v>
      </c>
      <c r="K135" s="9">
        <v>6000</v>
      </c>
      <c r="L135" s="9">
        <v>0</v>
      </c>
    </row>
    <row r="136" spans="1:12" x14ac:dyDescent="0.2">
      <c r="A136" s="6" t="s">
        <v>899</v>
      </c>
      <c r="B136" s="6" t="s">
        <v>898</v>
      </c>
      <c r="C136" s="7">
        <v>44192</v>
      </c>
      <c r="D136" s="7">
        <v>44203</v>
      </c>
      <c r="E136" s="8">
        <f t="shared" si="4"/>
        <v>11</v>
      </c>
      <c r="F136" s="7">
        <v>44215</v>
      </c>
      <c r="G136" s="8">
        <f t="shared" si="5"/>
        <v>12</v>
      </c>
      <c r="H136" s="7">
        <v>44215</v>
      </c>
      <c r="I136" s="8">
        <f>IF($H136="", "", 参数!$B$3-$H136)</f>
        <v>1809</v>
      </c>
      <c r="J136" s="6" t="s">
        <v>917</v>
      </c>
      <c r="K136" s="9">
        <v>3511.56</v>
      </c>
      <c r="L136" s="9">
        <v>0</v>
      </c>
    </row>
    <row r="137" spans="1:12" x14ac:dyDescent="0.2">
      <c r="A137" s="6" t="s">
        <v>1106</v>
      </c>
      <c r="B137" s="6" t="s">
        <v>303</v>
      </c>
      <c r="C137" s="7">
        <v>44195</v>
      </c>
      <c r="D137" s="7">
        <v>44221</v>
      </c>
      <c r="E137" s="8">
        <f t="shared" si="4"/>
        <v>26</v>
      </c>
      <c r="F137" s="7">
        <v>44285</v>
      </c>
      <c r="G137" s="8">
        <f t="shared" si="5"/>
        <v>64</v>
      </c>
      <c r="H137" s="7">
        <v>44285</v>
      </c>
      <c r="I137" s="8">
        <f>IF($H137="", "", 参数!$B$3-$H137)</f>
        <v>1739</v>
      </c>
      <c r="J137" s="6" t="s">
        <v>917</v>
      </c>
      <c r="K137" s="9">
        <v>14800</v>
      </c>
      <c r="L137" s="9">
        <v>0</v>
      </c>
    </row>
    <row r="138" spans="1:12" x14ac:dyDescent="0.2">
      <c r="A138" s="6" t="s">
        <v>1108</v>
      </c>
      <c r="B138" s="6" t="s">
        <v>1107</v>
      </c>
      <c r="C138" s="7">
        <v>44206</v>
      </c>
      <c r="D138" s="7">
        <v>44235</v>
      </c>
      <c r="E138" s="8">
        <f t="shared" si="4"/>
        <v>29</v>
      </c>
      <c r="F138" s="7">
        <v>44273</v>
      </c>
      <c r="G138" s="8">
        <f t="shared" si="5"/>
        <v>38</v>
      </c>
      <c r="H138" s="7">
        <v>44273</v>
      </c>
      <c r="I138" s="8">
        <f>IF($H138="", "", 参数!$B$3-$H138)</f>
        <v>1751</v>
      </c>
      <c r="J138" s="6" t="s">
        <v>917</v>
      </c>
      <c r="K138" s="9">
        <v>4.0000000008149099E-3</v>
      </c>
      <c r="L138" s="9">
        <v>0</v>
      </c>
    </row>
    <row r="139" spans="1:12" x14ac:dyDescent="0.2">
      <c r="A139" s="6" t="s">
        <v>1109</v>
      </c>
      <c r="B139" s="6" t="s">
        <v>1047</v>
      </c>
      <c r="C139" s="7">
        <v>44209</v>
      </c>
      <c r="D139" s="7">
        <v>44229</v>
      </c>
      <c r="E139" s="8">
        <f t="shared" si="4"/>
        <v>20</v>
      </c>
      <c r="F139" s="7">
        <v>44307</v>
      </c>
      <c r="G139" s="8">
        <f t="shared" si="5"/>
        <v>78</v>
      </c>
      <c r="H139" s="7">
        <v>44307</v>
      </c>
      <c r="I139" s="8">
        <f>IF($H139="", "", 参数!$B$3-$H139)</f>
        <v>1717</v>
      </c>
      <c r="J139" s="6" t="s">
        <v>917</v>
      </c>
      <c r="K139" s="9">
        <v>15000</v>
      </c>
      <c r="L139" s="9">
        <v>0</v>
      </c>
    </row>
    <row r="140" spans="1:12" x14ac:dyDescent="0.2">
      <c r="A140" s="6" t="s">
        <v>883</v>
      </c>
      <c r="B140" s="6" t="s">
        <v>882</v>
      </c>
      <c r="C140" s="7">
        <v>44226</v>
      </c>
      <c r="D140" s="7">
        <v>44331</v>
      </c>
      <c r="E140" s="8">
        <f t="shared" si="4"/>
        <v>105</v>
      </c>
      <c r="F140" s="7">
        <v>44376</v>
      </c>
      <c r="G140" s="8">
        <f t="shared" si="5"/>
        <v>45</v>
      </c>
      <c r="H140" s="7">
        <v>44376</v>
      </c>
      <c r="I140" s="8">
        <f>IF($H140="", "", 参数!$B$3-$H140)</f>
        <v>1648</v>
      </c>
      <c r="J140" s="6" t="s">
        <v>917</v>
      </c>
      <c r="K140" s="9">
        <v>3.79999999131542E-3</v>
      </c>
      <c r="L140" s="9">
        <v>0</v>
      </c>
    </row>
    <row r="141" spans="1:12" x14ac:dyDescent="0.2">
      <c r="A141" s="6" t="s">
        <v>1111</v>
      </c>
      <c r="B141" s="6" t="s">
        <v>1110</v>
      </c>
      <c r="C141" s="7">
        <v>44228</v>
      </c>
      <c r="D141" s="7">
        <v>44229</v>
      </c>
      <c r="E141" s="8">
        <f t="shared" si="4"/>
        <v>1</v>
      </c>
      <c r="F141" s="7">
        <v>44248</v>
      </c>
      <c r="G141" s="8">
        <f t="shared" si="5"/>
        <v>19</v>
      </c>
      <c r="H141" s="7">
        <v>44248</v>
      </c>
      <c r="I141" s="8">
        <f>IF($H141="", "", 参数!$B$3-$H141)</f>
        <v>1776</v>
      </c>
      <c r="J141" s="6" t="s">
        <v>917</v>
      </c>
      <c r="K141" s="9">
        <v>1750</v>
      </c>
      <c r="L141" s="9">
        <v>0</v>
      </c>
    </row>
    <row r="142" spans="1:12" x14ac:dyDescent="0.2">
      <c r="A142" s="6" t="s">
        <v>1112</v>
      </c>
      <c r="B142" s="6" t="s">
        <v>1040</v>
      </c>
      <c r="C142" s="7">
        <v>44228</v>
      </c>
      <c r="D142" s="7">
        <v>44263</v>
      </c>
      <c r="E142" s="8">
        <f t="shared" si="4"/>
        <v>35</v>
      </c>
      <c r="F142" s="7">
        <v>44292</v>
      </c>
      <c r="G142" s="8">
        <f t="shared" si="5"/>
        <v>29</v>
      </c>
      <c r="H142" s="7">
        <v>44292</v>
      </c>
      <c r="I142" s="8">
        <f>IF($H142="", "", 参数!$B$3-$H142)</f>
        <v>1732</v>
      </c>
      <c r="J142" s="6" t="s">
        <v>917</v>
      </c>
      <c r="K142" s="9">
        <v>1200</v>
      </c>
      <c r="L142" s="9">
        <v>0</v>
      </c>
    </row>
    <row r="143" spans="1:12" x14ac:dyDescent="0.2">
      <c r="A143" s="6" t="s">
        <v>1114</v>
      </c>
      <c r="B143" s="6" t="s">
        <v>1113</v>
      </c>
      <c r="C143" s="7">
        <v>44228</v>
      </c>
      <c r="D143" s="7">
        <v>44396</v>
      </c>
      <c r="E143" s="8">
        <f t="shared" si="4"/>
        <v>168</v>
      </c>
      <c r="F143" s="7">
        <v>44446</v>
      </c>
      <c r="G143" s="8">
        <f t="shared" si="5"/>
        <v>50</v>
      </c>
      <c r="H143" s="7">
        <v>44446</v>
      </c>
      <c r="I143" s="8">
        <f>IF($H143="", "", 参数!$B$3-$H143)</f>
        <v>1578</v>
      </c>
      <c r="J143" s="6" t="s">
        <v>917</v>
      </c>
      <c r="K143" s="9">
        <v>7263.2860000000001</v>
      </c>
      <c r="L143" s="9">
        <v>0</v>
      </c>
    </row>
    <row r="144" spans="1:12" x14ac:dyDescent="0.2">
      <c r="A144" s="6" t="s">
        <v>1116</v>
      </c>
      <c r="B144" s="6" t="s">
        <v>1115</v>
      </c>
      <c r="C144" s="7">
        <v>44228</v>
      </c>
      <c r="D144" s="7">
        <v>44276</v>
      </c>
      <c r="E144" s="8">
        <f t="shared" si="4"/>
        <v>48</v>
      </c>
      <c r="F144" s="7">
        <v>44273</v>
      </c>
      <c r="G144" s="8">
        <f t="shared" si="5"/>
        <v>-3</v>
      </c>
      <c r="H144" s="7">
        <v>44273</v>
      </c>
      <c r="I144" s="8">
        <f>IF($H144="", "", 参数!$B$3-$H144)</f>
        <v>1751</v>
      </c>
      <c r="J144" s="6" t="s">
        <v>917</v>
      </c>
      <c r="K144" s="9">
        <v>152125</v>
      </c>
      <c r="L144" s="9">
        <v>0</v>
      </c>
    </row>
    <row r="145" spans="1:12" x14ac:dyDescent="0.2">
      <c r="A145" s="6" t="s">
        <v>1118</v>
      </c>
      <c r="B145" s="6" t="s">
        <v>1117</v>
      </c>
      <c r="C145" s="7">
        <v>44233</v>
      </c>
      <c r="D145" s="7">
        <v>44271</v>
      </c>
      <c r="E145" s="8">
        <f t="shared" si="4"/>
        <v>38</v>
      </c>
      <c r="F145" s="7">
        <v>44522</v>
      </c>
      <c r="G145" s="8">
        <f t="shared" si="5"/>
        <v>251</v>
      </c>
      <c r="H145" s="7">
        <v>44522</v>
      </c>
      <c r="I145" s="8">
        <f>IF($H145="", "", 参数!$B$3-$H145)</f>
        <v>1502</v>
      </c>
      <c r="J145" s="6" t="s">
        <v>917</v>
      </c>
      <c r="K145" s="9">
        <v>3.8295999984256902E-3</v>
      </c>
      <c r="L145" s="9">
        <v>0</v>
      </c>
    </row>
    <row r="146" spans="1:12" x14ac:dyDescent="0.2">
      <c r="A146" s="6" t="s">
        <v>1120</v>
      </c>
      <c r="B146" s="6" t="s">
        <v>1119</v>
      </c>
      <c r="C146" s="7">
        <v>44235</v>
      </c>
      <c r="D146" s="7">
        <v>44273</v>
      </c>
      <c r="E146" s="8">
        <f t="shared" si="4"/>
        <v>38</v>
      </c>
      <c r="F146" s="7">
        <v>44309</v>
      </c>
      <c r="G146" s="8">
        <f t="shared" si="5"/>
        <v>36</v>
      </c>
      <c r="H146" s="7">
        <v>44309</v>
      </c>
      <c r="I146" s="8">
        <f>IF($H146="", "", 参数!$B$3-$H146)</f>
        <v>1715</v>
      </c>
      <c r="J146" s="6" t="s">
        <v>917</v>
      </c>
      <c r="K146" s="9">
        <v>20000</v>
      </c>
      <c r="L146" s="9">
        <v>0</v>
      </c>
    </row>
    <row r="147" spans="1:12" x14ac:dyDescent="0.2">
      <c r="A147" s="6" t="s">
        <v>1122</v>
      </c>
      <c r="B147" s="6" t="s">
        <v>1121</v>
      </c>
      <c r="C147" s="7">
        <v>44251</v>
      </c>
      <c r="D147" s="7">
        <v>44265</v>
      </c>
      <c r="E147" s="8">
        <f t="shared" si="4"/>
        <v>14</v>
      </c>
      <c r="F147" s="7">
        <v>44340</v>
      </c>
      <c r="G147" s="8">
        <f t="shared" si="5"/>
        <v>75</v>
      </c>
      <c r="H147" s="7">
        <v>44340</v>
      </c>
      <c r="I147" s="8">
        <f>IF($H147="", "", 参数!$B$3-$H147)</f>
        <v>1684</v>
      </c>
      <c r="J147" s="6" t="s">
        <v>917</v>
      </c>
      <c r="K147" s="9">
        <v>2485</v>
      </c>
      <c r="L147" s="9">
        <v>0</v>
      </c>
    </row>
    <row r="148" spans="1:12" x14ac:dyDescent="0.2">
      <c r="A148" s="6" t="s">
        <v>1123</v>
      </c>
      <c r="B148" s="6" t="s">
        <v>136</v>
      </c>
      <c r="C148" s="7">
        <v>44256</v>
      </c>
      <c r="D148" s="7">
        <v>44259</v>
      </c>
      <c r="E148" s="8">
        <f t="shared" si="4"/>
        <v>3</v>
      </c>
      <c r="F148" s="7">
        <v>45013</v>
      </c>
      <c r="G148" s="8">
        <f t="shared" si="5"/>
        <v>754</v>
      </c>
      <c r="H148" s="7">
        <v>45013</v>
      </c>
      <c r="I148" s="8">
        <f>IF($H148="", "", 参数!$B$3-$H148)</f>
        <v>1011</v>
      </c>
      <c r="J148" s="6" t="s">
        <v>917</v>
      </c>
      <c r="K148" s="9">
        <v>1200</v>
      </c>
      <c r="L148" s="9">
        <v>0</v>
      </c>
    </row>
    <row r="149" spans="1:12" x14ac:dyDescent="0.2">
      <c r="A149" s="6" t="s">
        <v>891</v>
      </c>
      <c r="B149" s="6" t="s">
        <v>994</v>
      </c>
      <c r="C149" s="7">
        <v>44257</v>
      </c>
      <c r="D149" s="7">
        <v>44300</v>
      </c>
      <c r="E149" s="8">
        <f t="shared" si="4"/>
        <v>43</v>
      </c>
      <c r="F149" s="7">
        <v>44533</v>
      </c>
      <c r="G149" s="8">
        <f t="shared" si="5"/>
        <v>233</v>
      </c>
      <c r="H149" s="7">
        <v>44533</v>
      </c>
      <c r="I149" s="8">
        <f>IF($H149="", "", 参数!$B$3-$H149)</f>
        <v>1491</v>
      </c>
      <c r="J149" s="6" t="s">
        <v>917</v>
      </c>
      <c r="K149" s="9">
        <v>70790</v>
      </c>
      <c r="L149" s="9">
        <v>0</v>
      </c>
    </row>
    <row r="150" spans="1:12" x14ac:dyDescent="0.2">
      <c r="A150" s="6" t="s">
        <v>1124</v>
      </c>
      <c r="B150" s="6" t="s">
        <v>268</v>
      </c>
      <c r="C150" s="7">
        <v>44259</v>
      </c>
      <c r="D150" s="7">
        <v>44273</v>
      </c>
      <c r="E150" s="8">
        <f t="shared" si="4"/>
        <v>14</v>
      </c>
      <c r="F150" s="7"/>
      <c r="G150" s="8" t="str">
        <f t="shared" si="5"/>
        <v/>
      </c>
      <c r="H150" s="7">
        <v>44273</v>
      </c>
      <c r="I150" s="8">
        <f>IF($H150="", "", 参数!$B$3-$H150)</f>
        <v>1751</v>
      </c>
      <c r="J150" s="6" t="s">
        <v>917</v>
      </c>
      <c r="K150" s="9">
        <v>73530</v>
      </c>
      <c r="L150" s="9">
        <v>73530</v>
      </c>
    </row>
    <row r="151" spans="1:12" x14ac:dyDescent="0.2">
      <c r="A151" s="6" t="s">
        <v>1126</v>
      </c>
      <c r="B151" s="6" t="s">
        <v>1125</v>
      </c>
      <c r="C151" s="7">
        <v>44261</v>
      </c>
      <c r="D151" s="7">
        <v>44275</v>
      </c>
      <c r="E151" s="8">
        <f t="shared" si="4"/>
        <v>14</v>
      </c>
      <c r="F151" s="7">
        <v>44334</v>
      </c>
      <c r="G151" s="8">
        <f t="shared" si="5"/>
        <v>59</v>
      </c>
      <c r="H151" s="7">
        <v>44334</v>
      </c>
      <c r="I151" s="8">
        <f>IF($H151="", "", 参数!$B$3-$H151)</f>
        <v>1690</v>
      </c>
      <c r="J151" s="6" t="s">
        <v>917</v>
      </c>
      <c r="K151" s="9">
        <v>2176</v>
      </c>
      <c r="L151" s="9">
        <v>0</v>
      </c>
    </row>
    <row r="152" spans="1:12" x14ac:dyDescent="0.2">
      <c r="A152" s="6" t="s">
        <v>1128</v>
      </c>
      <c r="B152" s="6" t="s">
        <v>1127</v>
      </c>
      <c r="C152" s="7">
        <v>44263</v>
      </c>
      <c r="D152" s="7">
        <v>44289</v>
      </c>
      <c r="E152" s="8">
        <f t="shared" si="4"/>
        <v>26</v>
      </c>
      <c r="F152" s="7">
        <v>44307</v>
      </c>
      <c r="G152" s="8">
        <f t="shared" si="5"/>
        <v>18</v>
      </c>
      <c r="H152" s="7">
        <v>44307</v>
      </c>
      <c r="I152" s="8">
        <f>IF($H152="", "", 参数!$B$3-$H152)</f>
        <v>1717</v>
      </c>
      <c r="J152" s="6" t="s">
        <v>917</v>
      </c>
      <c r="K152" s="9">
        <v>50000</v>
      </c>
      <c r="L152" s="9">
        <v>0</v>
      </c>
    </row>
    <row r="153" spans="1:12" x14ac:dyDescent="0.2">
      <c r="A153" s="6" t="s">
        <v>1129</v>
      </c>
      <c r="B153" s="6" t="s">
        <v>275</v>
      </c>
      <c r="C153" s="7">
        <v>44267</v>
      </c>
      <c r="D153" s="7">
        <v>44271</v>
      </c>
      <c r="E153" s="8">
        <f t="shared" si="4"/>
        <v>4</v>
      </c>
      <c r="F153" s="7">
        <v>44287</v>
      </c>
      <c r="G153" s="8">
        <f t="shared" si="5"/>
        <v>16</v>
      </c>
      <c r="H153" s="7">
        <v>44287</v>
      </c>
      <c r="I153" s="8">
        <f>IF($H153="", "", 参数!$B$3-$H153)</f>
        <v>1737</v>
      </c>
      <c r="J153" s="6" t="s">
        <v>917</v>
      </c>
      <c r="K153" s="9">
        <v>18000</v>
      </c>
      <c r="L153" s="9">
        <v>0</v>
      </c>
    </row>
    <row r="154" spans="1:12" x14ac:dyDescent="0.2">
      <c r="A154" s="6" t="s">
        <v>1130</v>
      </c>
      <c r="B154" s="6" t="s">
        <v>136</v>
      </c>
      <c r="C154" s="7">
        <v>44289</v>
      </c>
      <c r="D154" s="7">
        <v>44294</v>
      </c>
      <c r="E154" s="8">
        <f t="shared" si="4"/>
        <v>5</v>
      </c>
      <c r="F154" s="7">
        <v>45013</v>
      </c>
      <c r="G154" s="8">
        <f t="shared" si="5"/>
        <v>719</v>
      </c>
      <c r="H154" s="7">
        <v>45013</v>
      </c>
      <c r="I154" s="8">
        <f>IF($H154="", "", 参数!$B$3-$H154)</f>
        <v>1011</v>
      </c>
      <c r="J154" s="6" t="s">
        <v>917</v>
      </c>
      <c r="K154" s="9">
        <v>1200</v>
      </c>
      <c r="L154" s="9">
        <v>0</v>
      </c>
    </row>
    <row r="155" spans="1:12" x14ac:dyDescent="0.2">
      <c r="A155" s="6" t="s">
        <v>1131</v>
      </c>
      <c r="B155" s="6" t="s">
        <v>353</v>
      </c>
      <c r="C155" s="7">
        <v>44296</v>
      </c>
      <c r="D155" s="7">
        <v>44669</v>
      </c>
      <c r="E155" s="8">
        <f t="shared" si="4"/>
        <v>373</v>
      </c>
      <c r="F155" s="7">
        <v>44407</v>
      </c>
      <c r="G155" s="8">
        <f t="shared" si="5"/>
        <v>-262</v>
      </c>
      <c r="H155" s="7">
        <v>44407</v>
      </c>
      <c r="I155" s="8">
        <f>IF($H155="", "", 参数!$B$3-$H155)</f>
        <v>1617</v>
      </c>
      <c r="J155" s="6" t="s">
        <v>917</v>
      </c>
      <c r="K155" s="9">
        <v>217662.4</v>
      </c>
      <c r="L155" s="9">
        <v>0</v>
      </c>
    </row>
    <row r="156" spans="1:12" x14ac:dyDescent="0.2">
      <c r="A156" s="6" t="s">
        <v>864</v>
      </c>
      <c r="B156" s="6" t="s">
        <v>850</v>
      </c>
      <c r="C156" s="7">
        <v>44312</v>
      </c>
      <c r="D156" s="7">
        <v>44349</v>
      </c>
      <c r="E156" s="8">
        <f t="shared" si="4"/>
        <v>37</v>
      </c>
      <c r="F156" s="7">
        <v>44614</v>
      </c>
      <c r="G156" s="8">
        <f t="shared" si="5"/>
        <v>265</v>
      </c>
      <c r="H156" s="7">
        <v>44614</v>
      </c>
      <c r="I156" s="8">
        <f>IF($H156="", "", 参数!$B$3-$H156)</f>
        <v>1410</v>
      </c>
      <c r="J156" s="6" t="s">
        <v>917</v>
      </c>
      <c r="K156" s="9">
        <v>71816</v>
      </c>
      <c r="L156" s="9">
        <v>0</v>
      </c>
    </row>
    <row r="157" spans="1:12" x14ac:dyDescent="0.2">
      <c r="A157" s="6" t="s">
        <v>91</v>
      </c>
      <c r="B157" s="6" t="s">
        <v>90</v>
      </c>
      <c r="C157" s="7">
        <v>44331</v>
      </c>
      <c r="D157" s="7">
        <v>44737</v>
      </c>
      <c r="E157" s="8">
        <f t="shared" si="4"/>
        <v>406</v>
      </c>
      <c r="F157" s="7">
        <v>45134</v>
      </c>
      <c r="G157" s="8">
        <f t="shared" si="5"/>
        <v>397</v>
      </c>
      <c r="H157" s="7">
        <v>45134</v>
      </c>
      <c r="I157" s="8">
        <f>IF($H157="", "", 参数!$B$3-$H157)</f>
        <v>890</v>
      </c>
      <c r="J157" s="6" t="s">
        <v>917</v>
      </c>
      <c r="K157" s="9">
        <v>15600</v>
      </c>
      <c r="L157" s="9">
        <v>15600</v>
      </c>
    </row>
    <row r="158" spans="1:12" x14ac:dyDescent="0.2">
      <c r="A158" s="6" t="s">
        <v>1132</v>
      </c>
      <c r="B158" s="6" t="s">
        <v>1094</v>
      </c>
      <c r="C158" s="7">
        <v>44334</v>
      </c>
      <c r="D158" s="7">
        <v>44341</v>
      </c>
      <c r="E158" s="8">
        <f t="shared" si="4"/>
        <v>7</v>
      </c>
      <c r="F158" s="7">
        <v>44349</v>
      </c>
      <c r="G158" s="8">
        <f t="shared" si="5"/>
        <v>8</v>
      </c>
      <c r="H158" s="7">
        <v>44349</v>
      </c>
      <c r="I158" s="8">
        <f>IF($H158="", "", 参数!$B$3-$H158)</f>
        <v>1675</v>
      </c>
      <c r="J158" s="6" t="s">
        <v>917</v>
      </c>
      <c r="K158" s="9">
        <v>1750</v>
      </c>
      <c r="L158" s="9">
        <v>0</v>
      </c>
    </row>
    <row r="159" spans="1:12" x14ac:dyDescent="0.2">
      <c r="A159" s="6" t="s">
        <v>1133</v>
      </c>
      <c r="B159" s="6" t="s">
        <v>63</v>
      </c>
      <c r="C159" s="7">
        <v>44342</v>
      </c>
      <c r="D159" s="7">
        <v>44348</v>
      </c>
      <c r="E159" s="8">
        <f t="shared" si="4"/>
        <v>6</v>
      </c>
      <c r="F159" s="7">
        <v>44392</v>
      </c>
      <c r="G159" s="8">
        <f t="shared" si="5"/>
        <v>44</v>
      </c>
      <c r="H159" s="7">
        <v>44392</v>
      </c>
      <c r="I159" s="8">
        <f>IF($H159="", "", 参数!$B$3-$H159)</f>
        <v>1632</v>
      </c>
      <c r="J159" s="6" t="s">
        <v>917</v>
      </c>
      <c r="K159" s="9">
        <v>328</v>
      </c>
      <c r="L159" s="9">
        <v>0</v>
      </c>
    </row>
    <row r="160" spans="1:12" x14ac:dyDescent="0.2">
      <c r="A160" s="6" t="s">
        <v>1134</v>
      </c>
      <c r="B160" s="6" t="s">
        <v>997</v>
      </c>
      <c r="C160" s="7">
        <v>44367</v>
      </c>
      <c r="D160" s="7">
        <v>44375</v>
      </c>
      <c r="E160" s="8">
        <f t="shared" si="4"/>
        <v>8</v>
      </c>
      <c r="F160" s="7">
        <v>44406</v>
      </c>
      <c r="G160" s="8">
        <f t="shared" si="5"/>
        <v>31</v>
      </c>
      <c r="H160" s="7">
        <v>44406</v>
      </c>
      <c r="I160" s="8">
        <f>IF($H160="", "", 参数!$B$3-$H160)</f>
        <v>1618</v>
      </c>
      <c r="J160" s="6" t="s">
        <v>917</v>
      </c>
      <c r="K160" s="9">
        <v>17250</v>
      </c>
      <c r="L160" s="9">
        <v>0</v>
      </c>
    </row>
    <row r="161" spans="1:12" x14ac:dyDescent="0.2">
      <c r="A161" s="6" t="s">
        <v>851</v>
      </c>
      <c r="B161" s="6" t="s">
        <v>867</v>
      </c>
      <c r="C161" s="7">
        <v>44370</v>
      </c>
      <c r="D161" s="7">
        <v>44377</v>
      </c>
      <c r="E161" s="8">
        <f t="shared" si="4"/>
        <v>7</v>
      </c>
      <c r="F161" s="7">
        <v>44401</v>
      </c>
      <c r="G161" s="8">
        <f t="shared" si="5"/>
        <v>24</v>
      </c>
      <c r="H161" s="7">
        <v>44401</v>
      </c>
      <c r="I161" s="8">
        <f>IF($H161="", "", 参数!$B$3-$H161)</f>
        <v>1623</v>
      </c>
      <c r="J161" s="6" t="s">
        <v>917</v>
      </c>
      <c r="K161" s="9">
        <v>39264</v>
      </c>
      <c r="L161" s="9">
        <v>0</v>
      </c>
    </row>
    <row r="162" spans="1:12" x14ac:dyDescent="0.2">
      <c r="A162" s="6" t="s">
        <v>1135</v>
      </c>
      <c r="B162" s="6" t="s">
        <v>1084</v>
      </c>
      <c r="C162" s="7">
        <v>44372</v>
      </c>
      <c r="D162" s="7">
        <v>44377</v>
      </c>
      <c r="E162" s="8">
        <f t="shared" si="4"/>
        <v>5</v>
      </c>
      <c r="F162" s="7">
        <v>44419</v>
      </c>
      <c r="G162" s="8">
        <f t="shared" si="5"/>
        <v>42</v>
      </c>
      <c r="H162" s="7">
        <v>44419</v>
      </c>
      <c r="I162" s="8">
        <f>IF($H162="", "", 参数!$B$3-$H162)</f>
        <v>1605</v>
      </c>
      <c r="J162" s="6" t="s">
        <v>917</v>
      </c>
      <c r="K162" s="9">
        <v>1000</v>
      </c>
      <c r="L162" s="9">
        <v>0</v>
      </c>
    </row>
    <row r="163" spans="1:12" x14ac:dyDescent="0.2">
      <c r="A163" s="6" t="s">
        <v>1136</v>
      </c>
      <c r="B163" s="6" t="s">
        <v>685</v>
      </c>
      <c r="C163" s="7">
        <v>44385</v>
      </c>
      <c r="D163" s="7">
        <v>44399</v>
      </c>
      <c r="E163" s="8">
        <f t="shared" si="4"/>
        <v>14</v>
      </c>
      <c r="F163" s="7">
        <v>44456</v>
      </c>
      <c r="G163" s="8">
        <f t="shared" si="5"/>
        <v>57</v>
      </c>
      <c r="H163" s="7">
        <v>44456</v>
      </c>
      <c r="I163" s="8">
        <f>IF($H163="", "", 参数!$B$3-$H163)</f>
        <v>1568</v>
      </c>
      <c r="J163" s="6" t="s">
        <v>917</v>
      </c>
      <c r="K163" s="9">
        <v>31080</v>
      </c>
      <c r="L163" s="9">
        <v>0</v>
      </c>
    </row>
    <row r="164" spans="1:12" x14ac:dyDescent="0.2">
      <c r="A164" s="6" t="s">
        <v>1137</v>
      </c>
      <c r="B164" s="6" t="s">
        <v>1040</v>
      </c>
      <c r="C164" s="7">
        <v>44386</v>
      </c>
      <c r="D164" s="7">
        <v>44398</v>
      </c>
      <c r="E164" s="8">
        <f t="shared" si="4"/>
        <v>12</v>
      </c>
      <c r="F164" s="7">
        <v>44427</v>
      </c>
      <c r="G164" s="8">
        <f t="shared" si="5"/>
        <v>29</v>
      </c>
      <c r="H164" s="7">
        <v>44427</v>
      </c>
      <c r="I164" s="8">
        <f>IF($H164="", "", 参数!$B$3-$H164)</f>
        <v>1597</v>
      </c>
      <c r="J164" s="6" t="s">
        <v>917</v>
      </c>
      <c r="K164" s="9">
        <v>1040</v>
      </c>
      <c r="L164" s="9">
        <v>0</v>
      </c>
    </row>
    <row r="165" spans="1:12" x14ac:dyDescent="0.2">
      <c r="A165" s="6" t="s">
        <v>1138</v>
      </c>
      <c r="B165" s="6" t="s">
        <v>141</v>
      </c>
      <c r="C165" s="7">
        <v>44390</v>
      </c>
      <c r="D165" s="7">
        <v>44397</v>
      </c>
      <c r="E165" s="8">
        <f t="shared" si="4"/>
        <v>7</v>
      </c>
      <c r="F165" s="7">
        <v>44524</v>
      </c>
      <c r="G165" s="8">
        <f t="shared" si="5"/>
        <v>127</v>
      </c>
      <c r="H165" s="7">
        <v>44524</v>
      </c>
      <c r="I165" s="8">
        <f>IF($H165="", "", 参数!$B$3-$H165)</f>
        <v>1500</v>
      </c>
      <c r="J165" s="6" t="s">
        <v>917</v>
      </c>
      <c r="K165" s="9">
        <v>3.9999999935389496E-3</v>
      </c>
      <c r="L165" s="9">
        <v>0</v>
      </c>
    </row>
    <row r="166" spans="1:12" x14ac:dyDescent="0.2">
      <c r="A166" s="6" t="s">
        <v>146</v>
      </c>
      <c r="B166" s="6" t="s">
        <v>145</v>
      </c>
      <c r="C166" s="7">
        <v>44392</v>
      </c>
      <c r="D166" s="7">
        <v>44464</v>
      </c>
      <c r="E166" s="8">
        <f t="shared" si="4"/>
        <v>72</v>
      </c>
      <c r="F166" s="7">
        <v>45061</v>
      </c>
      <c r="G166" s="8">
        <f t="shared" si="5"/>
        <v>597</v>
      </c>
      <c r="H166" s="7">
        <v>45061</v>
      </c>
      <c r="I166" s="8">
        <f>IF($H166="", "", 参数!$B$3-$H166)</f>
        <v>963</v>
      </c>
      <c r="J166" s="6" t="s">
        <v>917</v>
      </c>
      <c r="K166" s="9">
        <v>34965</v>
      </c>
      <c r="L166" s="9">
        <v>35400</v>
      </c>
    </row>
    <row r="167" spans="1:12" x14ac:dyDescent="0.2">
      <c r="A167" s="6" t="s">
        <v>1139</v>
      </c>
      <c r="B167" s="6" t="s">
        <v>897</v>
      </c>
      <c r="C167" s="7">
        <v>44396</v>
      </c>
      <c r="D167" s="7">
        <v>44405</v>
      </c>
      <c r="E167" s="8">
        <f t="shared" si="4"/>
        <v>9</v>
      </c>
      <c r="F167" s="7"/>
      <c r="G167" s="8" t="str">
        <f t="shared" si="5"/>
        <v/>
      </c>
      <c r="H167" s="7">
        <v>44405</v>
      </c>
      <c r="I167" s="8">
        <f>IF($H167="", "", 参数!$B$3-$H167)</f>
        <v>1619</v>
      </c>
      <c r="J167" s="6" t="s">
        <v>917</v>
      </c>
      <c r="K167" s="9">
        <v>172800</v>
      </c>
      <c r="L167" s="9">
        <v>172800</v>
      </c>
    </row>
    <row r="168" spans="1:12" x14ac:dyDescent="0.2">
      <c r="A168" s="6" t="s">
        <v>852</v>
      </c>
      <c r="B168" s="6" t="s">
        <v>847</v>
      </c>
      <c r="C168" s="7">
        <v>44396</v>
      </c>
      <c r="D168" s="7">
        <v>44637</v>
      </c>
      <c r="E168" s="8">
        <f t="shared" si="4"/>
        <v>241</v>
      </c>
      <c r="F168" s="7">
        <v>44463</v>
      </c>
      <c r="G168" s="8">
        <f t="shared" si="5"/>
        <v>-174</v>
      </c>
      <c r="H168" s="7">
        <v>44463</v>
      </c>
      <c r="I168" s="8">
        <f>IF($H168="", "", 参数!$B$3-$H168)</f>
        <v>1561</v>
      </c>
      <c r="J168" s="6" t="s">
        <v>917</v>
      </c>
      <c r="K168" s="9">
        <v>3607</v>
      </c>
      <c r="L168" s="9">
        <v>0</v>
      </c>
    </row>
    <row r="169" spans="1:12" x14ac:dyDescent="0.2">
      <c r="A169" s="6" t="s">
        <v>901</v>
      </c>
      <c r="B169" s="6" t="s">
        <v>903</v>
      </c>
      <c r="C169" s="7">
        <v>44397</v>
      </c>
      <c r="D169" s="7">
        <v>44412</v>
      </c>
      <c r="E169" s="8">
        <f t="shared" si="4"/>
        <v>15</v>
      </c>
      <c r="F169" s="7">
        <v>44544</v>
      </c>
      <c r="G169" s="8">
        <f t="shared" si="5"/>
        <v>132</v>
      </c>
      <c r="H169" s="7">
        <v>44544</v>
      </c>
      <c r="I169" s="8">
        <f>IF($H169="", "", 参数!$B$3-$H169)</f>
        <v>1480</v>
      </c>
      <c r="J169" s="6" t="s">
        <v>917</v>
      </c>
      <c r="K169" s="9">
        <v>58000</v>
      </c>
      <c r="L169" s="9">
        <v>0</v>
      </c>
    </row>
    <row r="170" spans="1:12" x14ac:dyDescent="0.2">
      <c r="A170" s="6" t="s">
        <v>1140</v>
      </c>
      <c r="B170" s="6" t="s">
        <v>81</v>
      </c>
      <c r="C170" s="7">
        <v>44418</v>
      </c>
      <c r="D170" s="7">
        <v>44440</v>
      </c>
      <c r="E170" s="8">
        <f t="shared" si="4"/>
        <v>22</v>
      </c>
      <c r="F170" s="7">
        <v>44565</v>
      </c>
      <c r="G170" s="8">
        <f t="shared" si="5"/>
        <v>125</v>
      </c>
      <c r="H170" s="7">
        <v>44565</v>
      </c>
      <c r="I170" s="8">
        <f>IF($H170="", "", 参数!$B$3-$H170)</f>
        <v>1459</v>
      </c>
      <c r="J170" s="6" t="s">
        <v>917</v>
      </c>
      <c r="K170" s="9">
        <v>24000</v>
      </c>
      <c r="L170" s="9">
        <v>0</v>
      </c>
    </row>
    <row r="171" spans="1:12" x14ac:dyDescent="0.2">
      <c r="A171" s="6" t="s">
        <v>1142</v>
      </c>
      <c r="B171" s="6" t="s">
        <v>1141</v>
      </c>
      <c r="C171" s="7">
        <v>44431</v>
      </c>
      <c r="D171" s="7">
        <v>44436</v>
      </c>
      <c r="E171" s="8">
        <f t="shared" si="4"/>
        <v>5</v>
      </c>
      <c r="F171" s="7">
        <v>44543</v>
      </c>
      <c r="G171" s="8">
        <f t="shared" si="5"/>
        <v>107</v>
      </c>
      <c r="H171" s="7">
        <v>44543</v>
      </c>
      <c r="I171" s="8">
        <f>IF($H171="", "", 参数!$B$3-$H171)</f>
        <v>1481</v>
      </c>
      <c r="J171" s="6" t="s">
        <v>917</v>
      </c>
      <c r="K171" s="9">
        <v>62000</v>
      </c>
      <c r="L171" s="9">
        <v>0</v>
      </c>
    </row>
    <row r="172" spans="1:12" x14ac:dyDescent="0.2">
      <c r="A172" s="6" t="s">
        <v>904</v>
      </c>
      <c r="B172" s="6" t="s">
        <v>900</v>
      </c>
      <c r="C172" s="7">
        <v>44436</v>
      </c>
      <c r="D172" s="7">
        <v>44537</v>
      </c>
      <c r="E172" s="8">
        <f t="shared" si="4"/>
        <v>101</v>
      </c>
      <c r="F172" s="7">
        <v>44573</v>
      </c>
      <c r="G172" s="8">
        <f t="shared" si="5"/>
        <v>36</v>
      </c>
      <c r="H172" s="7">
        <v>44573</v>
      </c>
      <c r="I172" s="8">
        <f>IF($H172="", "", 参数!$B$3-$H172)</f>
        <v>1451</v>
      </c>
      <c r="J172" s="6" t="s">
        <v>917</v>
      </c>
      <c r="K172" s="9">
        <v>11744.44</v>
      </c>
      <c r="L172" s="9">
        <v>0</v>
      </c>
    </row>
    <row r="173" spans="1:12" x14ac:dyDescent="0.2">
      <c r="A173" s="6" t="s">
        <v>1143</v>
      </c>
      <c r="B173" s="6" t="s">
        <v>1125</v>
      </c>
      <c r="C173" s="7">
        <v>44438</v>
      </c>
      <c r="D173" s="7">
        <v>44441</v>
      </c>
      <c r="E173" s="8">
        <f t="shared" si="4"/>
        <v>3</v>
      </c>
      <c r="F173" s="7">
        <v>44456</v>
      </c>
      <c r="G173" s="8">
        <f t="shared" si="5"/>
        <v>15</v>
      </c>
      <c r="H173" s="7">
        <v>44456</v>
      </c>
      <c r="I173" s="8">
        <f>IF($H173="", "", 参数!$B$3-$H173)</f>
        <v>1568</v>
      </c>
      <c r="J173" s="6" t="s">
        <v>917</v>
      </c>
      <c r="K173" s="9">
        <v>1200</v>
      </c>
      <c r="L173" s="9">
        <v>0</v>
      </c>
    </row>
    <row r="174" spans="1:12" x14ac:dyDescent="0.2">
      <c r="A174" s="6" t="s">
        <v>1144</v>
      </c>
      <c r="B174" s="6" t="s">
        <v>900</v>
      </c>
      <c r="C174" s="7">
        <v>44453</v>
      </c>
      <c r="D174" s="7">
        <v>44537</v>
      </c>
      <c r="E174" s="8">
        <f t="shared" si="4"/>
        <v>84</v>
      </c>
      <c r="F174" s="7">
        <v>44573</v>
      </c>
      <c r="G174" s="8">
        <f t="shared" si="5"/>
        <v>36</v>
      </c>
      <c r="H174" s="7">
        <v>44573</v>
      </c>
      <c r="I174" s="8">
        <f>IF($H174="", "", 参数!$B$3-$H174)</f>
        <v>1451</v>
      </c>
      <c r="J174" s="6" t="s">
        <v>917</v>
      </c>
      <c r="K174" s="9">
        <v>918.16000000000304</v>
      </c>
      <c r="L174" s="9">
        <v>0</v>
      </c>
    </row>
    <row r="175" spans="1:12" x14ac:dyDescent="0.2">
      <c r="A175" s="6" t="s">
        <v>896</v>
      </c>
      <c r="B175" s="6" t="s">
        <v>882</v>
      </c>
      <c r="C175" s="7">
        <v>44460</v>
      </c>
      <c r="D175" s="7">
        <v>44557</v>
      </c>
      <c r="E175" s="8">
        <f t="shared" si="4"/>
        <v>97</v>
      </c>
      <c r="F175" s="7">
        <v>44618</v>
      </c>
      <c r="G175" s="8">
        <f t="shared" si="5"/>
        <v>61</v>
      </c>
      <c r="H175" s="7">
        <v>44618</v>
      </c>
      <c r="I175" s="8">
        <f>IF($H175="", "", 参数!$B$3-$H175)</f>
        <v>1406</v>
      </c>
      <c r="J175" s="6" t="s">
        <v>917</v>
      </c>
      <c r="K175" s="9">
        <v>2565.2044999999998</v>
      </c>
      <c r="L175" s="9">
        <v>0</v>
      </c>
    </row>
    <row r="176" spans="1:12" x14ac:dyDescent="0.2">
      <c r="A176" s="6" t="s">
        <v>777</v>
      </c>
      <c r="B176" s="6" t="s">
        <v>776</v>
      </c>
      <c r="C176" s="7">
        <v>44468</v>
      </c>
      <c r="D176" s="7">
        <v>44729</v>
      </c>
      <c r="E176" s="8">
        <f t="shared" si="4"/>
        <v>261</v>
      </c>
      <c r="F176" s="7"/>
      <c r="G176" s="8" t="str">
        <f t="shared" si="5"/>
        <v/>
      </c>
      <c r="H176" s="7">
        <v>44729</v>
      </c>
      <c r="I176" s="8">
        <f>IF($H176="", "", 参数!$B$3-$H176)</f>
        <v>1295</v>
      </c>
      <c r="J176" s="6" t="s">
        <v>917</v>
      </c>
      <c r="K176" s="9">
        <v>4500</v>
      </c>
      <c r="L176" s="9">
        <v>0</v>
      </c>
    </row>
    <row r="177" spans="1:12" x14ac:dyDescent="0.2">
      <c r="A177" s="6" t="s">
        <v>876</v>
      </c>
      <c r="B177" s="6" t="s">
        <v>875</v>
      </c>
      <c r="C177" s="7">
        <v>44488</v>
      </c>
      <c r="D177" s="7">
        <v>44497</v>
      </c>
      <c r="E177" s="8">
        <f t="shared" si="4"/>
        <v>9</v>
      </c>
      <c r="F177" s="7">
        <v>44508</v>
      </c>
      <c r="G177" s="8">
        <f t="shared" si="5"/>
        <v>11</v>
      </c>
      <c r="H177" s="7">
        <v>44508</v>
      </c>
      <c r="I177" s="8">
        <f>IF($H177="", "", 参数!$B$3-$H177)</f>
        <v>1516</v>
      </c>
      <c r="J177" s="6" t="s">
        <v>917</v>
      </c>
      <c r="K177" s="9">
        <v>1497.5</v>
      </c>
      <c r="L177" s="9">
        <v>0</v>
      </c>
    </row>
    <row r="178" spans="1:12" x14ac:dyDescent="0.2">
      <c r="A178" s="6" t="s">
        <v>205</v>
      </c>
      <c r="B178" s="6" t="s">
        <v>204</v>
      </c>
      <c r="C178" s="7">
        <v>44489</v>
      </c>
      <c r="D178" s="7">
        <v>44683</v>
      </c>
      <c r="E178" s="8">
        <f t="shared" si="4"/>
        <v>194</v>
      </c>
      <c r="F178" s="7">
        <v>45034</v>
      </c>
      <c r="G178" s="8">
        <f t="shared" si="5"/>
        <v>351</v>
      </c>
      <c r="H178" s="7">
        <v>45034</v>
      </c>
      <c r="I178" s="8">
        <f>IF($H178="", "", 参数!$B$3-$H178)</f>
        <v>990</v>
      </c>
      <c r="J178" s="6" t="s">
        <v>917</v>
      </c>
      <c r="K178" s="9">
        <v>120000</v>
      </c>
      <c r="L178" s="9">
        <v>0</v>
      </c>
    </row>
    <row r="179" spans="1:12" x14ac:dyDescent="0.2">
      <c r="A179" s="6" t="s">
        <v>497</v>
      </c>
      <c r="B179" s="6" t="s">
        <v>482</v>
      </c>
      <c r="C179" s="7">
        <v>44491</v>
      </c>
      <c r="D179" s="7">
        <v>44854</v>
      </c>
      <c r="E179" s="8">
        <f t="shared" si="4"/>
        <v>363</v>
      </c>
      <c r="F179" s="7">
        <v>45272</v>
      </c>
      <c r="G179" s="8">
        <f t="shared" si="5"/>
        <v>418</v>
      </c>
      <c r="H179" s="7">
        <v>45272</v>
      </c>
      <c r="I179" s="8">
        <f>IF($H179="", "", 参数!$B$3-$H179)</f>
        <v>752</v>
      </c>
      <c r="J179" s="6" t="s">
        <v>917</v>
      </c>
      <c r="K179" s="9">
        <v>12236</v>
      </c>
      <c r="L179" s="9">
        <v>0</v>
      </c>
    </row>
    <row r="180" spans="1:12" x14ac:dyDescent="0.2">
      <c r="A180" s="6" t="s">
        <v>671</v>
      </c>
      <c r="B180" s="6" t="s">
        <v>670</v>
      </c>
      <c r="C180" s="7">
        <v>44497</v>
      </c>
      <c r="D180" s="7">
        <v>45107</v>
      </c>
      <c r="E180" s="8">
        <f t="shared" si="4"/>
        <v>610</v>
      </c>
      <c r="F180" s="7">
        <v>45547</v>
      </c>
      <c r="G180" s="8">
        <f t="shared" si="5"/>
        <v>440</v>
      </c>
      <c r="H180" s="7">
        <v>45547</v>
      </c>
      <c r="I180" s="8">
        <f>IF($H180="", "", 参数!$B$3-$H180)</f>
        <v>477</v>
      </c>
      <c r="J180" s="6" t="s">
        <v>917</v>
      </c>
      <c r="K180" s="9">
        <v>50000</v>
      </c>
      <c r="L180" s="9">
        <v>0</v>
      </c>
    </row>
    <row r="181" spans="1:12" x14ac:dyDescent="0.2">
      <c r="A181" s="6" t="s">
        <v>1146</v>
      </c>
      <c r="B181" s="6" t="s">
        <v>1145</v>
      </c>
      <c r="C181" s="7">
        <v>44504</v>
      </c>
      <c r="D181" s="7">
        <v>44520</v>
      </c>
      <c r="E181" s="8">
        <f t="shared" si="4"/>
        <v>16</v>
      </c>
      <c r="F181" s="7">
        <v>44664</v>
      </c>
      <c r="G181" s="8">
        <f t="shared" si="5"/>
        <v>144</v>
      </c>
      <c r="H181" s="7">
        <v>44664</v>
      </c>
      <c r="I181" s="8">
        <f>IF($H181="", "", 参数!$B$3-$H181)</f>
        <v>1360</v>
      </c>
      <c r="J181" s="6" t="s">
        <v>917</v>
      </c>
      <c r="K181" s="9">
        <v>14098.772999999999</v>
      </c>
      <c r="L181" s="9">
        <v>0</v>
      </c>
    </row>
    <row r="182" spans="1:12" x14ac:dyDescent="0.2">
      <c r="A182" s="6" t="s">
        <v>1148</v>
      </c>
      <c r="B182" s="6" t="s">
        <v>1147</v>
      </c>
      <c r="C182" s="7">
        <v>44506</v>
      </c>
      <c r="D182" s="7">
        <v>44532</v>
      </c>
      <c r="E182" s="8">
        <f t="shared" si="4"/>
        <v>26</v>
      </c>
      <c r="F182" s="7"/>
      <c r="G182" s="8" t="str">
        <f t="shared" si="5"/>
        <v/>
      </c>
      <c r="H182" s="7">
        <v>44532</v>
      </c>
      <c r="I182" s="8">
        <f>IF($H182="", "", 参数!$B$3-$H182)</f>
        <v>1492</v>
      </c>
      <c r="J182" s="6" t="s">
        <v>917</v>
      </c>
      <c r="K182" s="9">
        <v>68000</v>
      </c>
      <c r="L182" s="9">
        <v>68000</v>
      </c>
    </row>
    <row r="183" spans="1:12" x14ac:dyDescent="0.2">
      <c r="A183" s="6" t="s">
        <v>878</v>
      </c>
      <c r="B183" s="6" t="s">
        <v>849</v>
      </c>
      <c r="C183" s="7">
        <v>44515</v>
      </c>
      <c r="D183" s="7">
        <v>44516</v>
      </c>
      <c r="E183" s="8">
        <f t="shared" si="4"/>
        <v>1</v>
      </c>
      <c r="F183" s="7">
        <v>44572</v>
      </c>
      <c r="G183" s="8">
        <f t="shared" si="5"/>
        <v>56</v>
      </c>
      <c r="H183" s="7">
        <v>44572</v>
      </c>
      <c r="I183" s="8">
        <f>IF($H183="", "", 参数!$B$3-$H183)</f>
        <v>1452</v>
      </c>
      <c r="J183" s="6" t="s">
        <v>917</v>
      </c>
      <c r="K183" s="9">
        <v>3070</v>
      </c>
      <c r="L183" s="9">
        <v>0</v>
      </c>
    </row>
    <row r="184" spans="1:12" x14ac:dyDescent="0.2">
      <c r="A184" s="6" t="s">
        <v>894</v>
      </c>
      <c r="B184" s="6" t="s">
        <v>849</v>
      </c>
      <c r="C184" s="7">
        <v>44515</v>
      </c>
      <c r="D184" s="7">
        <v>44532</v>
      </c>
      <c r="E184" s="8">
        <f t="shared" si="4"/>
        <v>17</v>
      </c>
      <c r="F184" s="7">
        <v>44572</v>
      </c>
      <c r="G184" s="8">
        <f t="shared" si="5"/>
        <v>40</v>
      </c>
      <c r="H184" s="7">
        <v>44572</v>
      </c>
      <c r="I184" s="8">
        <f>IF($H184="", "", 参数!$B$3-$H184)</f>
        <v>1452</v>
      </c>
      <c r="J184" s="6" t="s">
        <v>917</v>
      </c>
      <c r="K184" s="9">
        <v>34800</v>
      </c>
      <c r="L184" s="9">
        <v>0</v>
      </c>
    </row>
    <row r="185" spans="1:12" x14ac:dyDescent="0.2">
      <c r="A185" s="6" t="s">
        <v>1149</v>
      </c>
      <c r="B185" s="6" t="s">
        <v>1104</v>
      </c>
      <c r="C185" s="7">
        <v>44517</v>
      </c>
      <c r="D185" s="7">
        <v>44528</v>
      </c>
      <c r="E185" s="8">
        <f t="shared" si="4"/>
        <v>11</v>
      </c>
      <c r="F185" s="7">
        <v>44559</v>
      </c>
      <c r="G185" s="8">
        <f t="shared" si="5"/>
        <v>31</v>
      </c>
      <c r="H185" s="7">
        <v>44559</v>
      </c>
      <c r="I185" s="8">
        <f>IF($H185="", "", 参数!$B$3-$H185)</f>
        <v>1465</v>
      </c>
      <c r="J185" s="6" t="s">
        <v>917</v>
      </c>
      <c r="K185" s="9">
        <v>56000</v>
      </c>
      <c r="L185" s="9">
        <v>0</v>
      </c>
    </row>
    <row r="186" spans="1:12" x14ac:dyDescent="0.2">
      <c r="A186" s="6" t="s">
        <v>1150</v>
      </c>
      <c r="B186" s="6" t="s">
        <v>847</v>
      </c>
      <c r="C186" s="7">
        <v>44520</v>
      </c>
      <c r="D186" s="7">
        <v>44552</v>
      </c>
      <c r="E186" s="8">
        <f t="shared" si="4"/>
        <v>32</v>
      </c>
      <c r="F186" s="7">
        <v>44602</v>
      </c>
      <c r="G186" s="8">
        <f t="shared" si="5"/>
        <v>50</v>
      </c>
      <c r="H186" s="7">
        <v>44602</v>
      </c>
      <c r="I186" s="8">
        <f>IF($H186="", "", 参数!$B$3-$H186)</f>
        <v>1422</v>
      </c>
      <c r="J186" s="6" t="s">
        <v>917</v>
      </c>
      <c r="K186" s="9">
        <v>4100</v>
      </c>
      <c r="L186" s="9">
        <v>0</v>
      </c>
    </row>
    <row r="187" spans="1:12" x14ac:dyDescent="0.2">
      <c r="A187" s="6" t="s">
        <v>147</v>
      </c>
      <c r="B187" s="6" t="s">
        <v>145</v>
      </c>
      <c r="C187" s="7">
        <v>44524</v>
      </c>
      <c r="D187" s="7">
        <v>44531</v>
      </c>
      <c r="E187" s="8">
        <f t="shared" si="4"/>
        <v>7</v>
      </c>
      <c r="F187" s="7">
        <v>45020</v>
      </c>
      <c r="G187" s="8">
        <f t="shared" si="5"/>
        <v>489</v>
      </c>
      <c r="H187" s="7">
        <v>45020</v>
      </c>
      <c r="I187" s="8">
        <f>IF($H187="", "", 参数!$B$3-$H187)</f>
        <v>1004</v>
      </c>
      <c r="J187" s="6" t="s">
        <v>917</v>
      </c>
      <c r="K187" s="9">
        <v>750</v>
      </c>
      <c r="L187" s="9">
        <v>0</v>
      </c>
    </row>
    <row r="188" spans="1:12" x14ac:dyDescent="0.2">
      <c r="A188" s="6" t="s">
        <v>1151</v>
      </c>
      <c r="B188" s="6" t="s">
        <v>383</v>
      </c>
      <c r="C188" s="7">
        <v>44529</v>
      </c>
      <c r="D188" s="7">
        <v>44561</v>
      </c>
      <c r="E188" s="8">
        <f t="shared" si="4"/>
        <v>32</v>
      </c>
      <c r="F188" s="7">
        <v>44664</v>
      </c>
      <c r="G188" s="8">
        <f t="shared" si="5"/>
        <v>103</v>
      </c>
      <c r="H188" s="7">
        <v>44664</v>
      </c>
      <c r="I188" s="8">
        <f>IF($H188="", "", 参数!$B$3-$H188)</f>
        <v>1360</v>
      </c>
      <c r="J188" s="6" t="s">
        <v>917</v>
      </c>
      <c r="K188" s="9">
        <v>4050</v>
      </c>
      <c r="L188" s="9">
        <v>0</v>
      </c>
    </row>
    <row r="189" spans="1:12" x14ac:dyDescent="0.2">
      <c r="A189" s="6" t="s">
        <v>455</v>
      </c>
      <c r="B189" s="6" t="s">
        <v>454</v>
      </c>
      <c r="C189" s="7">
        <v>44532</v>
      </c>
      <c r="D189" s="7">
        <v>44637</v>
      </c>
      <c r="E189" s="8">
        <f t="shared" si="4"/>
        <v>105</v>
      </c>
      <c r="F189" s="7">
        <v>45236</v>
      </c>
      <c r="G189" s="8">
        <f t="shared" si="5"/>
        <v>599</v>
      </c>
      <c r="H189" s="7">
        <v>45236</v>
      </c>
      <c r="I189" s="8">
        <f>IF($H189="", "", 参数!$B$3-$H189)</f>
        <v>788</v>
      </c>
      <c r="J189" s="6" t="s">
        <v>917</v>
      </c>
      <c r="K189" s="9">
        <v>1881</v>
      </c>
      <c r="L189" s="9">
        <v>0</v>
      </c>
    </row>
    <row r="190" spans="1:12" x14ac:dyDescent="0.2">
      <c r="A190" s="6" t="s">
        <v>1152</v>
      </c>
      <c r="B190" s="6" t="s">
        <v>1127</v>
      </c>
      <c r="C190" s="7">
        <v>44532</v>
      </c>
      <c r="D190" s="7">
        <v>44544</v>
      </c>
      <c r="E190" s="8">
        <f t="shared" si="4"/>
        <v>12</v>
      </c>
      <c r="F190" s="7">
        <v>44546</v>
      </c>
      <c r="G190" s="8">
        <f t="shared" si="5"/>
        <v>2</v>
      </c>
      <c r="H190" s="7">
        <v>44546</v>
      </c>
      <c r="I190" s="8">
        <f>IF($H190="", "", 参数!$B$3-$H190)</f>
        <v>1478</v>
      </c>
      <c r="J190" s="6" t="s">
        <v>917</v>
      </c>
      <c r="K190" s="9">
        <v>14765</v>
      </c>
      <c r="L190" s="9">
        <v>0</v>
      </c>
    </row>
    <row r="191" spans="1:12" x14ac:dyDescent="0.2">
      <c r="A191" s="6" t="s">
        <v>1154</v>
      </c>
      <c r="B191" s="6" t="s">
        <v>1153</v>
      </c>
      <c r="C191" s="7">
        <v>44534</v>
      </c>
      <c r="D191" s="7">
        <v>44572</v>
      </c>
      <c r="E191" s="8">
        <f t="shared" si="4"/>
        <v>38</v>
      </c>
      <c r="F191" s="7">
        <v>44686</v>
      </c>
      <c r="G191" s="8">
        <f t="shared" si="5"/>
        <v>114</v>
      </c>
      <c r="H191" s="7">
        <v>44686</v>
      </c>
      <c r="I191" s="8">
        <f>IF($H191="", "", 参数!$B$3-$H191)</f>
        <v>1338</v>
      </c>
      <c r="J191" s="6" t="s">
        <v>917</v>
      </c>
      <c r="K191" s="9">
        <v>14500</v>
      </c>
      <c r="L191" s="9">
        <v>0</v>
      </c>
    </row>
    <row r="192" spans="1:12" x14ac:dyDescent="0.2">
      <c r="A192" s="6" t="s">
        <v>1155</v>
      </c>
      <c r="B192" s="6" t="s">
        <v>846</v>
      </c>
      <c r="C192" s="7">
        <v>44535</v>
      </c>
      <c r="D192" s="7">
        <v>44542</v>
      </c>
      <c r="E192" s="8">
        <f t="shared" si="4"/>
        <v>7</v>
      </c>
      <c r="F192" s="7">
        <v>44623</v>
      </c>
      <c r="G192" s="8">
        <f t="shared" si="5"/>
        <v>81</v>
      </c>
      <c r="H192" s="7">
        <v>44623</v>
      </c>
      <c r="I192" s="8">
        <f>IF($H192="", "", 参数!$B$3-$H192)</f>
        <v>1401</v>
      </c>
      <c r="J192" s="6" t="s">
        <v>917</v>
      </c>
      <c r="K192" s="9">
        <v>2312.98</v>
      </c>
      <c r="L192" s="9">
        <v>0</v>
      </c>
    </row>
    <row r="193" spans="1:12" x14ac:dyDescent="0.2">
      <c r="A193" s="6" t="s">
        <v>885</v>
      </c>
      <c r="B193" s="6" t="s">
        <v>884</v>
      </c>
      <c r="C193" s="7">
        <v>44541</v>
      </c>
      <c r="D193" s="7">
        <v>44633</v>
      </c>
      <c r="E193" s="8">
        <f t="shared" si="4"/>
        <v>92</v>
      </c>
      <c r="F193" s="7">
        <v>44886</v>
      </c>
      <c r="G193" s="8">
        <f t="shared" si="5"/>
        <v>253</v>
      </c>
      <c r="H193" s="7">
        <v>44886</v>
      </c>
      <c r="I193" s="8">
        <f>IF($H193="", "", 参数!$B$3-$H193)</f>
        <v>1138</v>
      </c>
      <c r="J193" s="6" t="s">
        <v>917</v>
      </c>
      <c r="K193" s="9">
        <v>43000</v>
      </c>
      <c r="L193" s="9">
        <v>0</v>
      </c>
    </row>
    <row r="194" spans="1:12" x14ac:dyDescent="0.2">
      <c r="A194" s="6" t="s">
        <v>538</v>
      </c>
      <c r="B194" s="6" t="s">
        <v>537</v>
      </c>
      <c r="C194" s="7">
        <v>44541</v>
      </c>
      <c r="D194" s="7">
        <v>44632</v>
      </c>
      <c r="E194" s="8">
        <f t="shared" si="4"/>
        <v>91</v>
      </c>
      <c r="F194" s="7">
        <v>45308</v>
      </c>
      <c r="G194" s="8">
        <f t="shared" si="5"/>
        <v>676</v>
      </c>
      <c r="H194" s="7">
        <v>45308</v>
      </c>
      <c r="I194" s="8">
        <f>IF($H194="", "", 参数!$B$3-$H194)</f>
        <v>716</v>
      </c>
      <c r="J194" s="6" t="s">
        <v>917</v>
      </c>
      <c r="K194" s="9">
        <v>35000</v>
      </c>
      <c r="L194" s="9">
        <v>0</v>
      </c>
    </row>
    <row r="195" spans="1:12" x14ac:dyDescent="0.2">
      <c r="A195" s="6" t="s">
        <v>602</v>
      </c>
      <c r="B195" s="6" t="s">
        <v>1156</v>
      </c>
      <c r="C195" s="7">
        <v>44546</v>
      </c>
      <c r="D195" s="7">
        <v>44583</v>
      </c>
      <c r="E195" s="8">
        <f t="shared" ref="E195:E258" si="6">IF(OR($C195="", $D195=""),"", $D195-$C195)</f>
        <v>37</v>
      </c>
      <c r="F195" s="7">
        <v>45422</v>
      </c>
      <c r="G195" s="8">
        <f t="shared" ref="G195:G258" si="7">IF(OR($C195="", $D195="",$F195=""),"", $F195-$D195)</f>
        <v>839</v>
      </c>
      <c r="H195" s="7">
        <v>45422</v>
      </c>
      <c r="I195" s="8">
        <f>IF($H195="", "", 参数!$B$3-$H195)</f>
        <v>602</v>
      </c>
      <c r="J195" s="6" t="s">
        <v>917</v>
      </c>
      <c r="K195" s="9">
        <v>21659.18</v>
      </c>
      <c r="L195" s="9">
        <v>0</v>
      </c>
    </row>
    <row r="196" spans="1:12" x14ac:dyDescent="0.2">
      <c r="A196" s="6" t="s">
        <v>1157</v>
      </c>
      <c r="B196" s="6" t="s">
        <v>429</v>
      </c>
      <c r="C196" s="7">
        <v>44548</v>
      </c>
      <c r="D196" s="7">
        <v>44562</v>
      </c>
      <c r="E196" s="8">
        <f t="shared" si="6"/>
        <v>14</v>
      </c>
      <c r="F196" s="7">
        <v>44692</v>
      </c>
      <c r="G196" s="8">
        <f t="shared" si="7"/>
        <v>130</v>
      </c>
      <c r="H196" s="7">
        <v>44692</v>
      </c>
      <c r="I196" s="8">
        <f>IF($H196="", "", 参数!$B$3-$H196)</f>
        <v>1332</v>
      </c>
      <c r="J196" s="6" t="s">
        <v>917</v>
      </c>
      <c r="K196" s="9">
        <v>1276.4749999999999</v>
      </c>
      <c r="L196" s="9">
        <v>0</v>
      </c>
    </row>
    <row r="197" spans="1:12" x14ac:dyDescent="0.2">
      <c r="A197" s="6" t="s">
        <v>861</v>
      </c>
      <c r="B197" s="6" t="s">
        <v>860</v>
      </c>
      <c r="C197" s="7">
        <v>44553</v>
      </c>
      <c r="D197" s="7">
        <v>44609</v>
      </c>
      <c r="E197" s="8">
        <f t="shared" si="6"/>
        <v>56</v>
      </c>
      <c r="F197" s="7">
        <v>44628</v>
      </c>
      <c r="G197" s="8">
        <f t="shared" si="7"/>
        <v>19</v>
      </c>
      <c r="H197" s="7">
        <v>44628</v>
      </c>
      <c r="I197" s="8">
        <f>IF($H197="", "", 参数!$B$3-$H197)</f>
        <v>1396</v>
      </c>
      <c r="J197" s="6" t="s">
        <v>917</v>
      </c>
      <c r="K197" s="9">
        <v>86540</v>
      </c>
      <c r="L197" s="9">
        <v>0</v>
      </c>
    </row>
    <row r="198" spans="1:12" x14ac:dyDescent="0.2">
      <c r="A198" s="6" t="s">
        <v>895</v>
      </c>
      <c r="B198" s="6" t="s">
        <v>1069</v>
      </c>
      <c r="C198" s="7">
        <v>44553</v>
      </c>
      <c r="D198" s="7">
        <v>44560</v>
      </c>
      <c r="E198" s="8">
        <f t="shared" si="6"/>
        <v>7</v>
      </c>
      <c r="F198" s="7">
        <v>44628</v>
      </c>
      <c r="G198" s="8">
        <f t="shared" si="7"/>
        <v>68</v>
      </c>
      <c r="H198" s="7">
        <v>44628</v>
      </c>
      <c r="I198" s="8">
        <f>IF($H198="", "", 参数!$B$3-$H198)</f>
        <v>1396</v>
      </c>
      <c r="J198" s="6" t="s">
        <v>917</v>
      </c>
      <c r="K198" s="9">
        <v>30843.200000000001</v>
      </c>
      <c r="L198" s="9">
        <v>0</v>
      </c>
    </row>
    <row r="199" spans="1:12" x14ac:dyDescent="0.2">
      <c r="A199" s="6" t="s">
        <v>148</v>
      </c>
      <c r="B199" s="6" t="s">
        <v>145</v>
      </c>
      <c r="C199" s="7">
        <v>44557</v>
      </c>
      <c r="D199" s="7">
        <v>44564</v>
      </c>
      <c r="E199" s="8">
        <f t="shared" si="6"/>
        <v>7</v>
      </c>
      <c r="F199" s="7">
        <v>45020</v>
      </c>
      <c r="G199" s="8">
        <f t="shared" si="7"/>
        <v>456</v>
      </c>
      <c r="H199" s="7">
        <v>45020</v>
      </c>
      <c r="I199" s="8">
        <f>IF($H199="", "", 参数!$B$3-$H199)</f>
        <v>1004</v>
      </c>
      <c r="J199" s="6" t="s">
        <v>917</v>
      </c>
      <c r="K199" s="9">
        <v>1500</v>
      </c>
      <c r="L199" s="9">
        <v>0</v>
      </c>
    </row>
    <row r="200" spans="1:12" x14ac:dyDescent="0.2">
      <c r="A200" s="6" t="s">
        <v>1159</v>
      </c>
      <c r="B200" s="6" t="s">
        <v>1158</v>
      </c>
      <c r="C200" s="7">
        <v>44558</v>
      </c>
      <c r="D200" s="7">
        <v>44568</v>
      </c>
      <c r="E200" s="8">
        <f t="shared" si="6"/>
        <v>10</v>
      </c>
      <c r="F200" s="7">
        <v>44725</v>
      </c>
      <c r="G200" s="8">
        <f t="shared" si="7"/>
        <v>157</v>
      </c>
      <c r="H200" s="7">
        <v>44725</v>
      </c>
      <c r="I200" s="8">
        <f>IF($H200="", "", 参数!$B$3-$H200)</f>
        <v>1299</v>
      </c>
      <c r="J200" s="6" t="s">
        <v>917</v>
      </c>
      <c r="K200" s="9">
        <v>28250</v>
      </c>
      <c r="L200" s="9">
        <v>0</v>
      </c>
    </row>
    <row r="201" spans="1:12" x14ac:dyDescent="0.2">
      <c r="A201" s="6" t="s">
        <v>207</v>
      </c>
      <c r="B201" s="6" t="s">
        <v>206</v>
      </c>
      <c r="C201" s="7">
        <v>44569</v>
      </c>
      <c r="D201" s="7">
        <v>44636</v>
      </c>
      <c r="E201" s="8">
        <f t="shared" si="6"/>
        <v>67</v>
      </c>
      <c r="F201" s="7">
        <v>45034</v>
      </c>
      <c r="G201" s="8">
        <f t="shared" si="7"/>
        <v>398</v>
      </c>
      <c r="H201" s="7">
        <v>45034</v>
      </c>
      <c r="I201" s="8">
        <f>IF($H201="", "", 参数!$B$3-$H201)</f>
        <v>990</v>
      </c>
      <c r="J201" s="6" t="s">
        <v>917</v>
      </c>
      <c r="K201" s="9">
        <v>12900</v>
      </c>
      <c r="L201" s="9">
        <v>0</v>
      </c>
    </row>
    <row r="202" spans="1:12" x14ac:dyDescent="0.2">
      <c r="A202" s="6" t="s">
        <v>1161</v>
      </c>
      <c r="B202" s="6" t="s">
        <v>1160</v>
      </c>
      <c r="C202" s="7">
        <v>44571</v>
      </c>
      <c r="D202" s="7">
        <v>44702</v>
      </c>
      <c r="E202" s="8">
        <f t="shared" si="6"/>
        <v>131</v>
      </c>
      <c r="F202" s="7">
        <v>44736</v>
      </c>
      <c r="G202" s="8">
        <f t="shared" si="7"/>
        <v>34</v>
      </c>
      <c r="H202" s="7">
        <v>44736</v>
      </c>
      <c r="I202" s="8">
        <f>IF($H202="", "", 参数!$B$3-$H202)</f>
        <v>1288</v>
      </c>
      <c r="J202" s="6" t="s">
        <v>917</v>
      </c>
      <c r="K202" s="9">
        <v>6547.95999999999</v>
      </c>
      <c r="L202" s="9">
        <v>0</v>
      </c>
    </row>
    <row r="203" spans="1:12" x14ac:dyDescent="0.2">
      <c r="A203" s="6" t="s">
        <v>1162</v>
      </c>
      <c r="B203" s="6" t="s">
        <v>136</v>
      </c>
      <c r="C203" s="7">
        <v>44572</v>
      </c>
      <c r="D203" s="7">
        <v>44733</v>
      </c>
      <c r="E203" s="8">
        <f t="shared" si="6"/>
        <v>161</v>
      </c>
      <c r="F203" s="7">
        <v>45013</v>
      </c>
      <c r="G203" s="8">
        <f t="shared" si="7"/>
        <v>280</v>
      </c>
      <c r="H203" s="7">
        <v>45013</v>
      </c>
      <c r="I203" s="8">
        <f>IF($H203="", "", 参数!$B$3-$H203)</f>
        <v>1011</v>
      </c>
      <c r="J203" s="6" t="s">
        <v>917</v>
      </c>
      <c r="K203" s="9">
        <v>6000</v>
      </c>
      <c r="L203" s="9">
        <v>0</v>
      </c>
    </row>
    <row r="204" spans="1:12" x14ac:dyDescent="0.2">
      <c r="A204" s="6" t="s">
        <v>1163</v>
      </c>
      <c r="B204" s="6" t="s">
        <v>59</v>
      </c>
      <c r="C204" s="7">
        <v>44572</v>
      </c>
      <c r="D204" s="7">
        <v>44573</v>
      </c>
      <c r="E204" s="8">
        <f t="shared" si="6"/>
        <v>1</v>
      </c>
      <c r="F204" s="7"/>
      <c r="G204" s="8" t="str">
        <f t="shared" si="7"/>
        <v/>
      </c>
      <c r="H204" s="7">
        <v>44573</v>
      </c>
      <c r="I204" s="8">
        <f>IF($H204="", "", 参数!$B$3-$H204)</f>
        <v>1451</v>
      </c>
      <c r="J204" s="6" t="s">
        <v>917</v>
      </c>
      <c r="K204" s="9">
        <v>30000</v>
      </c>
      <c r="L204" s="9">
        <v>30000</v>
      </c>
    </row>
    <row r="205" spans="1:12" x14ac:dyDescent="0.2">
      <c r="A205" s="6" t="s">
        <v>863</v>
      </c>
      <c r="B205" s="6" t="s">
        <v>1164</v>
      </c>
      <c r="C205" s="7">
        <v>44572</v>
      </c>
      <c r="D205" s="7">
        <v>44611</v>
      </c>
      <c r="E205" s="8">
        <f t="shared" si="6"/>
        <v>39</v>
      </c>
      <c r="F205" s="7">
        <v>44643</v>
      </c>
      <c r="G205" s="8">
        <f t="shared" si="7"/>
        <v>32</v>
      </c>
      <c r="H205" s="7">
        <v>44643</v>
      </c>
      <c r="I205" s="8">
        <f>IF($H205="", "", 参数!$B$3-$H205)</f>
        <v>1381</v>
      </c>
      <c r="J205" s="6" t="s">
        <v>917</v>
      </c>
      <c r="K205" s="9">
        <v>5455</v>
      </c>
      <c r="L205" s="9">
        <v>0</v>
      </c>
    </row>
    <row r="206" spans="1:12" x14ac:dyDescent="0.2">
      <c r="A206" s="6" t="s">
        <v>887</v>
      </c>
      <c r="B206" s="6" t="s">
        <v>1165</v>
      </c>
      <c r="C206" s="7">
        <v>44573</v>
      </c>
      <c r="D206" s="7">
        <v>44627</v>
      </c>
      <c r="E206" s="8">
        <f t="shared" si="6"/>
        <v>54</v>
      </c>
      <c r="F206" s="7">
        <v>44677</v>
      </c>
      <c r="G206" s="8">
        <f t="shared" si="7"/>
        <v>50</v>
      </c>
      <c r="H206" s="7">
        <v>44677</v>
      </c>
      <c r="I206" s="8">
        <f>IF($H206="", "", 参数!$B$3-$H206)</f>
        <v>1347</v>
      </c>
      <c r="J206" s="6" t="s">
        <v>917</v>
      </c>
      <c r="K206" s="9">
        <v>17016.580000000002</v>
      </c>
      <c r="L206" s="9">
        <v>0</v>
      </c>
    </row>
    <row r="207" spans="1:12" x14ac:dyDescent="0.2">
      <c r="A207" s="6" t="s">
        <v>1166</v>
      </c>
      <c r="B207" s="6" t="s">
        <v>59</v>
      </c>
      <c r="C207" s="7">
        <v>44573</v>
      </c>
      <c r="D207" s="7">
        <v>44588</v>
      </c>
      <c r="E207" s="8">
        <f t="shared" si="6"/>
        <v>15</v>
      </c>
      <c r="F207" s="7"/>
      <c r="G207" s="8" t="str">
        <f t="shared" si="7"/>
        <v/>
      </c>
      <c r="H207" s="7">
        <v>44588</v>
      </c>
      <c r="I207" s="8">
        <f>IF($H207="", "", 参数!$B$3-$H207)</f>
        <v>1436</v>
      </c>
      <c r="J207" s="6" t="s">
        <v>917</v>
      </c>
      <c r="K207" s="9">
        <v>39075</v>
      </c>
      <c r="L207" s="9">
        <v>39075</v>
      </c>
    </row>
    <row r="208" spans="1:12" x14ac:dyDescent="0.2">
      <c r="A208" s="6" t="s">
        <v>254</v>
      </c>
      <c r="B208" s="6" t="s">
        <v>994</v>
      </c>
      <c r="C208" s="7">
        <v>44578</v>
      </c>
      <c r="D208" s="7">
        <v>44629</v>
      </c>
      <c r="E208" s="8">
        <f t="shared" si="6"/>
        <v>51</v>
      </c>
      <c r="F208" s="7">
        <v>45065</v>
      </c>
      <c r="G208" s="8">
        <f t="shared" si="7"/>
        <v>436</v>
      </c>
      <c r="H208" s="7">
        <v>45065</v>
      </c>
      <c r="I208" s="8">
        <f>IF($H208="", "", 参数!$B$3-$H208)</f>
        <v>959</v>
      </c>
      <c r="J208" s="6" t="s">
        <v>917</v>
      </c>
      <c r="K208" s="9">
        <v>65346</v>
      </c>
      <c r="L208" s="9">
        <v>0</v>
      </c>
    </row>
    <row r="209" spans="1:12" x14ac:dyDescent="0.2">
      <c r="A209" s="6" t="s">
        <v>1167</v>
      </c>
      <c r="B209" s="6" t="s">
        <v>137</v>
      </c>
      <c r="C209" s="7">
        <v>44580</v>
      </c>
      <c r="D209" s="7">
        <v>44698</v>
      </c>
      <c r="E209" s="8">
        <f t="shared" si="6"/>
        <v>118</v>
      </c>
      <c r="F209" s="7">
        <v>44685</v>
      </c>
      <c r="G209" s="8">
        <f t="shared" si="7"/>
        <v>-13</v>
      </c>
      <c r="H209" s="7">
        <v>44685</v>
      </c>
      <c r="I209" s="8">
        <f>IF($H209="", "", 参数!$B$3-$H209)</f>
        <v>1339</v>
      </c>
      <c r="J209" s="6" t="s">
        <v>917</v>
      </c>
      <c r="K209" s="9">
        <v>17460</v>
      </c>
      <c r="L209" s="9">
        <v>0</v>
      </c>
    </row>
    <row r="210" spans="1:12" x14ac:dyDescent="0.2">
      <c r="A210" s="6" t="s">
        <v>1169</v>
      </c>
      <c r="B210" s="6" t="s">
        <v>1168</v>
      </c>
      <c r="C210" s="7">
        <v>44580</v>
      </c>
      <c r="D210" s="7">
        <v>44616</v>
      </c>
      <c r="E210" s="8">
        <f t="shared" si="6"/>
        <v>36</v>
      </c>
      <c r="F210" s="7">
        <v>44648</v>
      </c>
      <c r="G210" s="8">
        <f t="shared" si="7"/>
        <v>32</v>
      </c>
      <c r="H210" s="7">
        <v>44648</v>
      </c>
      <c r="I210" s="8">
        <f>IF($H210="", "", 参数!$B$3-$H210)</f>
        <v>1376</v>
      </c>
      <c r="J210" s="6" t="s">
        <v>917</v>
      </c>
      <c r="K210" s="9">
        <v>2542.5</v>
      </c>
      <c r="L210" s="9">
        <v>0</v>
      </c>
    </row>
    <row r="211" spans="1:12" x14ac:dyDescent="0.2">
      <c r="A211" s="6" t="s">
        <v>854</v>
      </c>
      <c r="B211" s="6" t="s">
        <v>853</v>
      </c>
      <c r="C211" s="7">
        <v>44580</v>
      </c>
      <c r="D211" s="7">
        <v>44662</v>
      </c>
      <c r="E211" s="8">
        <f t="shared" si="6"/>
        <v>82</v>
      </c>
      <c r="F211" s="7">
        <v>44788</v>
      </c>
      <c r="G211" s="8">
        <f t="shared" si="7"/>
        <v>126</v>
      </c>
      <c r="H211" s="7">
        <v>44788</v>
      </c>
      <c r="I211" s="8">
        <f>IF($H211="", "", 参数!$B$3-$H211)</f>
        <v>1236</v>
      </c>
      <c r="J211" s="6" t="s">
        <v>917</v>
      </c>
      <c r="K211" s="9">
        <v>196213.49</v>
      </c>
      <c r="L211" s="9">
        <v>0</v>
      </c>
    </row>
    <row r="212" spans="1:12" x14ac:dyDescent="0.2">
      <c r="A212" s="6" t="s">
        <v>149</v>
      </c>
      <c r="B212" s="6" t="s">
        <v>145</v>
      </c>
      <c r="C212" s="7">
        <v>44582</v>
      </c>
      <c r="D212" s="7">
        <v>44615</v>
      </c>
      <c r="E212" s="8">
        <f t="shared" si="6"/>
        <v>33</v>
      </c>
      <c r="F212" s="7">
        <v>45020</v>
      </c>
      <c r="G212" s="8">
        <f t="shared" si="7"/>
        <v>405</v>
      </c>
      <c r="H212" s="7">
        <v>45020</v>
      </c>
      <c r="I212" s="8">
        <f>IF($H212="", "", 参数!$B$3-$H212)</f>
        <v>1004</v>
      </c>
      <c r="J212" s="6" t="s">
        <v>917</v>
      </c>
      <c r="K212" s="9">
        <v>6600</v>
      </c>
      <c r="L212" s="9">
        <v>0</v>
      </c>
    </row>
    <row r="213" spans="1:12" x14ac:dyDescent="0.2">
      <c r="A213" s="6" t="s">
        <v>1171</v>
      </c>
      <c r="B213" s="6" t="s">
        <v>1170</v>
      </c>
      <c r="C213" s="7">
        <v>44585</v>
      </c>
      <c r="D213" s="7">
        <v>44645</v>
      </c>
      <c r="E213" s="8">
        <f t="shared" si="6"/>
        <v>60</v>
      </c>
      <c r="F213" s="7">
        <v>44679</v>
      </c>
      <c r="G213" s="8">
        <f t="shared" si="7"/>
        <v>34</v>
      </c>
      <c r="H213" s="7">
        <v>44679</v>
      </c>
      <c r="I213" s="8">
        <f>IF($H213="", "", 参数!$B$3-$H213)</f>
        <v>1345</v>
      </c>
      <c r="J213" s="6" t="s">
        <v>917</v>
      </c>
      <c r="K213" s="9">
        <v>27400</v>
      </c>
      <c r="L213" s="9">
        <v>0</v>
      </c>
    </row>
    <row r="214" spans="1:12" x14ac:dyDescent="0.2">
      <c r="A214" s="6" t="s">
        <v>1172</v>
      </c>
      <c r="B214" s="6" t="s">
        <v>1147</v>
      </c>
      <c r="C214" s="7">
        <v>44597</v>
      </c>
      <c r="D214" s="7">
        <v>44611</v>
      </c>
      <c r="E214" s="8">
        <f t="shared" si="6"/>
        <v>14</v>
      </c>
      <c r="F214" s="7">
        <v>44653</v>
      </c>
      <c r="G214" s="8">
        <f t="shared" si="7"/>
        <v>42</v>
      </c>
      <c r="H214" s="7">
        <v>44653</v>
      </c>
      <c r="I214" s="8">
        <f>IF($H214="", "", 参数!$B$3-$H214)</f>
        <v>1371</v>
      </c>
      <c r="J214" s="6" t="s">
        <v>917</v>
      </c>
      <c r="K214" s="9">
        <v>24000</v>
      </c>
      <c r="L214" s="9">
        <v>0</v>
      </c>
    </row>
    <row r="215" spans="1:12" x14ac:dyDescent="0.2">
      <c r="A215" s="6" t="s">
        <v>1173</v>
      </c>
      <c r="B215" s="6" t="s">
        <v>996</v>
      </c>
      <c r="C215" s="7">
        <v>44598</v>
      </c>
      <c r="D215" s="7">
        <v>44621</v>
      </c>
      <c r="E215" s="8">
        <f t="shared" si="6"/>
        <v>23</v>
      </c>
      <c r="F215" s="7">
        <v>44636</v>
      </c>
      <c r="G215" s="8">
        <f t="shared" si="7"/>
        <v>15</v>
      </c>
      <c r="H215" s="7">
        <v>44636</v>
      </c>
      <c r="I215" s="8">
        <f>IF($H215="", "", 参数!$B$3-$H215)</f>
        <v>1388</v>
      </c>
      <c r="J215" s="6" t="s">
        <v>917</v>
      </c>
      <c r="K215" s="9">
        <v>6812.54</v>
      </c>
      <c r="L215" s="9">
        <v>0</v>
      </c>
    </row>
    <row r="216" spans="1:12" x14ac:dyDescent="0.2">
      <c r="A216" s="6" t="s">
        <v>1174</v>
      </c>
      <c r="B216" s="6" t="s">
        <v>1164</v>
      </c>
      <c r="C216" s="7">
        <v>44599</v>
      </c>
      <c r="D216" s="7">
        <v>44615</v>
      </c>
      <c r="E216" s="8">
        <f t="shared" si="6"/>
        <v>16</v>
      </c>
      <c r="F216" s="7">
        <v>44643</v>
      </c>
      <c r="G216" s="8">
        <f t="shared" si="7"/>
        <v>28</v>
      </c>
      <c r="H216" s="7">
        <v>44643</v>
      </c>
      <c r="I216" s="8">
        <f>IF($H216="", "", 参数!$B$3-$H216)</f>
        <v>1381</v>
      </c>
      <c r="J216" s="6" t="s">
        <v>917</v>
      </c>
      <c r="K216" s="9">
        <v>3120</v>
      </c>
      <c r="L216" s="9">
        <v>0</v>
      </c>
    </row>
    <row r="217" spans="1:12" x14ac:dyDescent="0.2">
      <c r="A217" s="6" t="s">
        <v>1175</v>
      </c>
      <c r="B217" s="6" t="s">
        <v>18</v>
      </c>
      <c r="C217" s="7">
        <v>44599</v>
      </c>
      <c r="D217" s="7">
        <v>44611</v>
      </c>
      <c r="E217" s="8">
        <f t="shared" si="6"/>
        <v>12</v>
      </c>
      <c r="F217" s="7"/>
      <c r="G217" s="8" t="str">
        <f t="shared" si="7"/>
        <v/>
      </c>
      <c r="H217" s="7">
        <v>44611</v>
      </c>
      <c r="I217" s="8">
        <f>IF($H217="", "", 参数!$B$3-$H217)</f>
        <v>1413</v>
      </c>
      <c r="J217" s="6" t="s">
        <v>917</v>
      </c>
      <c r="K217" s="9">
        <v>216000</v>
      </c>
      <c r="L217" s="9">
        <v>216000</v>
      </c>
    </row>
    <row r="218" spans="1:12" x14ac:dyDescent="0.2">
      <c r="A218" s="6" t="s">
        <v>1176</v>
      </c>
      <c r="B218" s="6" t="s">
        <v>1094</v>
      </c>
      <c r="C218" s="7">
        <v>44601</v>
      </c>
      <c r="D218" s="7">
        <v>44622</v>
      </c>
      <c r="E218" s="8">
        <f t="shared" si="6"/>
        <v>21</v>
      </c>
      <c r="F218" s="7">
        <v>44670</v>
      </c>
      <c r="G218" s="8">
        <f t="shared" si="7"/>
        <v>48</v>
      </c>
      <c r="H218" s="7">
        <v>44670</v>
      </c>
      <c r="I218" s="8">
        <f>IF($H218="", "", 参数!$B$3-$H218)</f>
        <v>1354</v>
      </c>
      <c r="J218" s="6" t="s">
        <v>917</v>
      </c>
      <c r="K218" s="9">
        <v>2000</v>
      </c>
      <c r="L218" s="9">
        <v>0</v>
      </c>
    </row>
    <row r="219" spans="1:12" x14ac:dyDescent="0.2">
      <c r="A219" s="6" t="s">
        <v>737</v>
      </c>
      <c r="B219" s="6" t="s">
        <v>1177</v>
      </c>
      <c r="C219" s="7">
        <v>44606</v>
      </c>
      <c r="D219" s="7">
        <v>44683</v>
      </c>
      <c r="E219" s="8">
        <f t="shared" si="6"/>
        <v>77</v>
      </c>
      <c r="F219" s="7"/>
      <c r="G219" s="8" t="str">
        <f t="shared" si="7"/>
        <v/>
      </c>
      <c r="H219" s="7">
        <v>44683</v>
      </c>
      <c r="I219" s="8">
        <f>IF($H219="", "", 参数!$B$3-$H219)</f>
        <v>1341</v>
      </c>
      <c r="J219" s="6" t="s">
        <v>917</v>
      </c>
      <c r="K219" s="9">
        <v>72000</v>
      </c>
      <c r="L219" s="9">
        <v>72000</v>
      </c>
    </row>
    <row r="220" spans="1:12" x14ac:dyDescent="0.2">
      <c r="A220" s="6" t="s">
        <v>872</v>
      </c>
      <c r="B220" s="6" t="s">
        <v>225</v>
      </c>
      <c r="C220" s="7">
        <v>44609</v>
      </c>
      <c r="D220" s="7">
        <v>44699</v>
      </c>
      <c r="E220" s="8">
        <f t="shared" si="6"/>
        <v>90</v>
      </c>
      <c r="F220" s="7">
        <v>44627</v>
      </c>
      <c r="G220" s="8">
        <f t="shared" si="7"/>
        <v>-72</v>
      </c>
      <c r="H220" s="7">
        <v>44627</v>
      </c>
      <c r="I220" s="8">
        <f>IF($H220="", "", 参数!$B$3-$H220)</f>
        <v>1397</v>
      </c>
      <c r="J220" s="6" t="s">
        <v>917</v>
      </c>
      <c r="K220" s="9">
        <v>6477.8499999999804</v>
      </c>
      <c r="L220" s="9">
        <v>0</v>
      </c>
    </row>
    <row r="221" spans="1:12" x14ac:dyDescent="0.2">
      <c r="A221" s="6" t="s">
        <v>1178</v>
      </c>
      <c r="B221" s="6" t="s">
        <v>1170</v>
      </c>
      <c r="C221" s="7">
        <v>44615</v>
      </c>
      <c r="D221" s="7">
        <v>44624</v>
      </c>
      <c r="E221" s="8">
        <f t="shared" si="6"/>
        <v>9</v>
      </c>
      <c r="F221" s="7">
        <v>44729</v>
      </c>
      <c r="G221" s="8">
        <f t="shared" si="7"/>
        <v>105</v>
      </c>
      <c r="H221" s="7">
        <v>44729</v>
      </c>
      <c r="I221" s="8">
        <f>IF($H221="", "", 参数!$B$3-$H221)</f>
        <v>1295</v>
      </c>
      <c r="J221" s="6" t="s">
        <v>917</v>
      </c>
      <c r="K221" s="9">
        <v>37756</v>
      </c>
      <c r="L221" s="9">
        <v>0</v>
      </c>
    </row>
    <row r="222" spans="1:12" x14ac:dyDescent="0.2">
      <c r="A222" s="6" t="s">
        <v>1180</v>
      </c>
      <c r="B222" s="6" t="s">
        <v>1179</v>
      </c>
      <c r="C222" s="7">
        <v>44617</v>
      </c>
      <c r="D222" s="7">
        <v>44621</v>
      </c>
      <c r="E222" s="8">
        <f t="shared" si="6"/>
        <v>4</v>
      </c>
      <c r="F222" s="7">
        <v>44791</v>
      </c>
      <c r="G222" s="8">
        <f t="shared" si="7"/>
        <v>170</v>
      </c>
      <c r="H222" s="7">
        <v>44791</v>
      </c>
      <c r="I222" s="8">
        <f>IF($H222="", "", 参数!$B$3-$H222)</f>
        <v>1233</v>
      </c>
      <c r="J222" s="6" t="s">
        <v>917</v>
      </c>
      <c r="K222" s="9">
        <v>13875.71</v>
      </c>
      <c r="L222" s="9">
        <v>0</v>
      </c>
    </row>
    <row r="223" spans="1:12" x14ac:dyDescent="0.2">
      <c r="A223" s="6" t="s">
        <v>126</v>
      </c>
      <c r="B223" s="6" t="s">
        <v>1181</v>
      </c>
      <c r="C223" s="7">
        <v>44621</v>
      </c>
      <c r="D223" s="7">
        <v>44636</v>
      </c>
      <c r="E223" s="8">
        <f t="shared" si="6"/>
        <v>15</v>
      </c>
      <c r="F223" s="7">
        <v>45008</v>
      </c>
      <c r="G223" s="8">
        <f t="shared" si="7"/>
        <v>372</v>
      </c>
      <c r="H223" s="7">
        <v>45008</v>
      </c>
      <c r="I223" s="8">
        <f>IF($H223="", "", 参数!$B$3-$H223)</f>
        <v>1016</v>
      </c>
      <c r="J223" s="6" t="s">
        <v>917</v>
      </c>
      <c r="K223" s="9">
        <v>10000</v>
      </c>
      <c r="L223" s="9">
        <v>10000</v>
      </c>
    </row>
    <row r="224" spans="1:12" x14ac:dyDescent="0.2">
      <c r="A224" s="6" t="s">
        <v>866</v>
      </c>
      <c r="B224" s="6" t="s">
        <v>1182</v>
      </c>
      <c r="C224" s="7">
        <v>44626</v>
      </c>
      <c r="D224" s="7">
        <v>44631</v>
      </c>
      <c r="E224" s="8">
        <f t="shared" si="6"/>
        <v>5</v>
      </c>
      <c r="F224" s="7">
        <v>44636</v>
      </c>
      <c r="G224" s="8">
        <f t="shared" si="7"/>
        <v>5</v>
      </c>
      <c r="H224" s="7">
        <v>44636</v>
      </c>
      <c r="I224" s="8">
        <f>IF($H224="", "", 参数!$B$3-$H224)</f>
        <v>1388</v>
      </c>
      <c r="J224" s="6" t="s">
        <v>917</v>
      </c>
      <c r="K224" s="9">
        <v>7079</v>
      </c>
      <c r="L224" s="9">
        <v>0</v>
      </c>
    </row>
    <row r="225" spans="1:12" x14ac:dyDescent="0.2">
      <c r="A225" s="6" t="s">
        <v>1183</v>
      </c>
      <c r="B225" s="6" t="s">
        <v>356</v>
      </c>
      <c r="C225" s="7">
        <v>44627</v>
      </c>
      <c r="D225" s="7">
        <v>44693</v>
      </c>
      <c r="E225" s="8">
        <f t="shared" si="6"/>
        <v>66</v>
      </c>
      <c r="F225" s="7">
        <v>44806</v>
      </c>
      <c r="G225" s="8">
        <f t="shared" si="7"/>
        <v>113</v>
      </c>
      <c r="H225" s="7">
        <v>44806</v>
      </c>
      <c r="I225" s="8">
        <f>IF($H225="", "", 参数!$B$3-$H225)</f>
        <v>1218</v>
      </c>
      <c r="J225" s="6" t="s">
        <v>917</v>
      </c>
      <c r="K225" s="9">
        <v>60570</v>
      </c>
      <c r="L225" s="9">
        <v>0</v>
      </c>
    </row>
    <row r="226" spans="1:12" x14ac:dyDescent="0.2">
      <c r="A226" s="6" t="s">
        <v>1185</v>
      </c>
      <c r="B226" s="6" t="s">
        <v>1184</v>
      </c>
      <c r="C226" s="7">
        <v>44638</v>
      </c>
      <c r="D226" s="7">
        <v>44648</v>
      </c>
      <c r="E226" s="8">
        <f t="shared" si="6"/>
        <v>10</v>
      </c>
      <c r="F226" s="7"/>
      <c r="G226" s="8" t="str">
        <f t="shared" si="7"/>
        <v/>
      </c>
      <c r="H226" s="7">
        <v>44648</v>
      </c>
      <c r="I226" s="8">
        <f>IF($H226="", "", 参数!$B$3-$H226)</f>
        <v>1376</v>
      </c>
      <c r="J226" s="6" t="s">
        <v>917</v>
      </c>
      <c r="K226" s="9">
        <v>24000</v>
      </c>
      <c r="L226" s="9">
        <v>24000</v>
      </c>
    </row>
    <row r="227" spans="1:12" x14ac:dyDescent="0.2">
      <c r="A227" s="6" t="s">
        <v>1186</v>
      </c>
      <c r="B227" s="6" t="s">
        <v>849</v>
      </c>
      <c r="C227" s="7">
        <v>44642</v>
      </c>
      <c r="D227" s="7">
        <v>44653</v>
      </c>
      <c r="E227" s="8">
        <f t="shared" si="6"/>
        <v>11</v>
      </c>
      <c r="F227" s="7">
        <v>44697</v>
      </c>
      <c r="G227" s="8">
        <f t="shared" si="7"/>
        <v>44</v>
      </c>
      <c r="H227" s="7">
        <v>44697</v>
      </c>
      <c r="I227" s="8">
        <f>IF($H227="", "", 参数!$B$3-$H227)</f>
        <v>1327</v>
      </c>
      <c r="J227" s="6" t="s">
        <v>917</v>
      </c>
      <c r="K227" s="9">
        <v>24569</v>
      </c>
      <c r="L227" s="9">
        <v>0</v>
      </c>
    </row>
    <row r="228" spans="1:12" x14ac:dyDescent="0.2">
      <c r="A228" s="6" t="s">
        <v>1188</v>
      </c>
      <c r="B228" s="6" t="s">
        <v>1187</v>
      </c>
      <c r="C228" s="7">
        <v>44647</v>
      </c>
      <c r="D228" s="7">
        <v>44668</v>
      </c>
      <c r="E228" s="8">
        <f t="shared" si="6"/>
        <v>21</v>
      </c>
      <c r="F228" s="7"/>
      <c r="G228" s="8" t="str">
        <f t="shared" si="7"/>
        <v/>
      </c>
      <c r="H228" s="7">
        <v>44668</v>
      </c>
      <c r="I228" s="8">
        <f>IF($H228="", "", 参数!$B$3-$H228)</f>
        <v>1356</v>
      </c>
      <c r="J228" s="6" t="s">
        <v>917</v>
      </c>
      <c r="K228" s="9">
        <v>38000</v>
      </c>
      <c r="L228" s="9">
        <v>38000</v>
      </c>
    </row>
    <row r="229" spans="1:12" x14ac:dyDescent="0.2">
      <c r="A229" s="6" t="s">
        <v>55</v>
      </c>
      <c r="B229" s="6" t="s">
        <v>417</v>
      </c>
      <c r="C229" s="7">
        <v>44649</v>
      </c>
      <c r="D229" s="7">
        <v>44681</v>
      </c>
      <c r="E229" s="8">
        <f t="shared" si="6"/>
        <v>32</v>
      </c>
      <c r="F229" s="7">
        <v>44967</v>
      </c>
      <c r="G229" s="8">
        <f t="shared" si="7"/>
        <v>286</v>
      </c>
      <c r="H229" s="7">
        <v>44967</v>
      </c>
      <c r="I229" s="8">
        <f>IF($H229="", "", 参数!$B$3-$H229)</f>
        <v>1057</v>
      </c>
      <c r="J229" s="6" t="s">
        <v>917</v>
      </c>
      <c r="K229" s="9">
        <v>3250</v>
      </c>
      <c r="L229" s="9">
        <v>-60000</v>
      </c>
    </row>
    <row r="230" spans="1:12" x14ac:dyDescent="0.2">
      <c r="A230" s="6" t="s">
        <v>1189</v>
      </c>
      <c r="B230" s="6" t="s">
        <v>429</v>
      </c>
      <c r="C230" s="7">
        <v>44650</v>
      </c>
      <c r="D230" s="7">
        <v>44672</v>
      </c>
      <c r="E230" s="8">
        <f t="shared" si="6"/>
        <v>22</v>
      </c>
      <c r="F230" s="7">
        <v>44692</v>
      </c>
      <c r="G230" s="8">
        <f t="shared" si="7"/>
        <v>20</v>
      </c>
      <c r="H230" s="7">
        <v>44692</v>
      </c>
      <c r="I230" s="8">
        <f>IF($H230="", "", 参数!$B$3-$H230)</f>
        <v>1332</v>
      </c>
      <c r="J230" s="6" t="s">
        <v>917</v>
      </c>
      <c r="K230" s="9">
        <v>2027.7850000000001</v>
      </c>
      <c r="L230" s="9">
        <v>0</v>
      </c>
    </row>
    <row r="231" spans="1:12" x14ac:dyDescent="0.2">
      <c r="A231" s="6" t="s">
        <v>82</v>
      </c>
      <c r="B231" s="6" t="s">
        <v>81</v>
      </c>
      <c r="C231" s="7">
        <v>44652</v>
      </c>
      <c r="D231" s="7">
        <v>44761</v>
      </c>
      <c r="E231" s="8">
        <f t="shared" si="6"/>
        <v>109</v>
      </c>
      <c r="F231" s="7">
        <v>44981</v>
      </c>
      <c r="G231" s="8">
        <f t="shared" si="7"/>
        <v>220</v>
      </c>
      <c r="H231" s="7">
        <v>44981</v>
      </c>
      <c r="I231" s="8">
        <f>IF($H231="", "", 参数!$B$3-$H231)</f>
        <v>1043</v>
      </c>
      <c r="J231" s="6" t="s">
        <v>917</v>
      </c>
      <c r="K231" s="9">
        <v>105600</v>
      </c>
      <c r="L231" s="9">
        <v>80000</v>
      </c>
    </row>
    <row r="232" spans="1:12" x14ac:dyDescent="0.2">
      <c r="A232" s="6" t="s">
        <v>1190</v>
      </c>
      <c r="B232" s="6" t="s">
        <v>848</v>
      </c>
      <c r="C232" s="7">
        <v>44659</v>
      </c>
      <c r="D232" s="7">
        <v>44687</v>
      </c>
      <c r="E232" s="8">
        <f t="shared" si="6"/>
        <v>28</v>
      </c>
      <c r="F232" s="7">
        <v>44692</v>
      </c>
      <c r="G232" s="8">
        <f t="shared" si="7"/>
        <v>5</v>
      </c>
      <c r="H232" s="7">
        <v>44692</v>
      </c>
      <c r="I232" s="8">
        <f>IF($H232="", "", 参数!$B$3-$H232)</f>
        <v>1332</v>
      </c>
      <c r="J232" s="6" t="s">
        <v>917</v>
      </c>
      <c r="K232" s="9">
        <v>1350</v>
      </c>
      <c r="L232" s="9">
        <v>0</v>
      </c>
    </row>
    <row r="233" spans="1:12" x14ac:dyDescent="0.2">
      <c r="A233" s="6" t="s">
        <v>1192</v>
      </c>
      <c r="B233" s="6" t="s">
        <v>1191</v>
      </c>
      <c r="C233" s="7">
        <v>44667</v>
      </c>
      <c r="D233" s="7">
        <v>44686</v>
      </c>
      <c r="E233" s="8">
        <f t="shared" si="6"/>
        <v>19</v>
      </c>
      <c r="F233" s="7">
        <v>44720</v>
      </c>
      <c r="G233" s="8">
        <f t="shared" si="7"/>
        <v>34</v>
      </c>
      <c r="H233" s="7">
        <v>44720</v>
      </c>
      <c r="I233" s="8">
        <f>IF($H233="", "", 参数!$B$3-$H233)</f>
        <v>1304</v>
      </c>
      <c r="J233" s="6" t="s">
        <v>917</v>
      </c>
      <c r="K233" s="9">
        <v>4368.16</v>
      </c>
      <c r="L233" s="9">
        <v>0</v>
      </c>
    </row>
    <row r="234" spans="1:12" x14ac:dyDescent="0.2">
      <c r="A234" s="6" t="s">
        <v>1193</v>
      </c>
      <c r="B234" s="6" t="s">
        <v>136</v>
      </c>
      <c r="C234" s="7">
        <v>44668</v>
      </c>
      <c r="D234" s="7">
        <v>44693</v>
      </c>
      <c r="E234" s="8">
        <f t="shared" si="6"/>
        <v>25</v>
      </c>
      <c r="F234" s="7"/>
      <c r="G234" s="8" t="str">
        <f t="shared" si="7"/>
        <v/>
      </c>
      <c r="H234" s="7">
        <v>44693</v>
      </c>
      <c r="I234" s="8">
        <f>IF($H234="", "", 参数!$B$3-$H234)</f>
        <v>1331</v>
      </c>
      <c r="J234" s="6" t="s">
        <v>917</v>
      </c>
      <c r="K234" s="9">
        <v>37913.199999999997</v>
      </c>
      <c r="L234" s="9">
        <v>37913.199999999997</v>
      </c>
    </row>
    <row r="235" spans="1:12" x14ac:dyDescent="0.2">
      <c r="A235" s="6" t="s">
        <v>1195</v>
      </c>
      <c r="B235" s="6" t="s">
        <v>1194</v>
      </c>
      <c r="C235" s="7">
        <v>44674</v>
      </c>
      <c r="D235" s="7">
        <v>44699</v>
      </c>
      <c r="E235" s="8">
        <f t="shared" si="6"/>
        <v>25</v>
      </c>
      <c r="F235" s="7">
        <v>44765</v>
      </c>
      <c r="G235" s="8">
        <f t="shared" si="7"/>
        <v>66</v>
      </c>
      <c r="H235" s="7">
        <v>44765</v>
      </c>
      <c r="I235" s="8">
        <f>IF($H235="", "", 参数!$B$3-$H235)</f>
        <v>1259</v>
      </c>
      <c r="J235" s="6" t="s">
        <v>917</v>
      </c>
      <c r="K235" s="9">
        <v>50000</v>
      </c>
      <c r="L235" s="9">
        <v>0</v>
      </c>
    </row>
    <row r="236" spans="1:12" x14ac:dyDescent="0.2">
      <c r="A236" s="6" t="s">
        <v>1196</v>
      </c>
      <c r="B236" s="6" t="s">
        <v>1160</v>
      </c>
      <c r="C236" s="7">
        <v>44674</v>
      </c>
      <c r="D236" s="7">
        <v>44703</v>
      </c>
      <c r="E236" s="8">
        <f t="shared" si="6"/>
        <v>29</v>
      </c>
      <c r="F236" s="7">
        <v>44736</v>
      </c>
      <c r="G236" s="8">
        <f t="shared" si="7"/>
        <v>33</v>
      </c>
      <c r="H236" s="7">
        <v>44736</v>
      </c>
      <c r="I236" s="8">
        <f>IF($H236="", "", 参数!$B$3-$H236)</f>
        <v>1288</v>
      </c>
      <c r="J236" s="6" t="s">
        <v>917</v>
      </c>
      <c r="K236" s="9">
        <v>6500</v>
      </c>
      <c r="L236" s="9">
        <v>0</v>
      </c>
    </row>
    <row r="237" spans="1:12" x14ac:dyDescent="0.2">
      <c r="A237" s="6" t="s">
        <v>874</v>
      </c>
      <c r="B237" s="6" t="s">
        <v>873</v>
      </c>
      <c r="C237" s="7">
        <v>44678</v>
      </c>
      <c r="D237" s="7">
        <v>44684</v>
      </c>
      <c r="E237" s="8">
        <f t="shared" si="6"/>
        <v>6</v>
      </c>
      <c r="F237" s="7">
        <v>44886</v>
      </c>
      <c r="G237" s="8">
        <f t="shared" si="7"/>
        <v>202</v>
      </c>
      <c r="H237" s="7">
        <v>44886</v>
      </c>
      <c r="I237" s="8">
        <f>IF($H237="", "", 参数!$B$3-$H237)</f>
        <v>1138</v>
      </c>
      <c r="J237" s="6" t="s">
        <v>917</v>
      </c>
      <c r="K237" s="9">
        <v>6</v>
      </c>
      <c r="L237" s="9">
        <v>0</v>
      </c>
    </row>
    <row r="238" spans="1:12" x14ac:dyDescent="0.2">
      <c r="A238" s="6" t="s">
        <v>1197</v>
      </c>
      <c r="B238" s="6" t="s">
        <v>36</v>
      </c>
      <c r="C238" s="7">
        <v>44679</v>
      </c>
      <c r="D238" s="7">
        <v>44843</v>
      </c>
      <c r="E238" s="8">
        <f t="shared" si="6"/>
        <v>164</v>
      </c>
      <c r="F238" s="7"/>
      <c r="G238" s="8" t="str">
        <f t="shared" si="7"/>
        <v/>
      </c>
      <c r="H238" s="7">
        <v>44843</v>
      </c>
      <c r="I238" s="8">
        <f>IF($H238="", "", 参数!$B$3-$H238)</f>
        <v>1181</v>
      </c>
      <c r="J238" s="6" t="s">
        <v>917</v>
      </c>
      <c r="K238" s="9">
        <v>13000</v>
      </c>
      <c r="L238" s="9">
        <v>13000</v>
      </c>
    </row>
    <row r="239" spans="1:12" x14ac:dyDescent="0.2">
      <c r="A239" s="6" t="s">
        <v>1198</v>
      </c>
      <c r="B239" s="6" t="s">
        <v>425</v>
      </c>
      <c r="C239" s="7">
        <v>44685</v>
      </c>
      <c r="D239" s="7">
        <v>44714</v>
      </c>
      <c r="E239" s="8">
        <f t="shared" si="6"/>
        <v>29</v>
      </c>
      <c r="F239" s="7">
        <v>44875</v>
      </c>
      <c r="G239" s="8">
        <f t="shared" si="7"/>
        <v>161</v>
      </c>
      <c r="H239" s="7">
        <v>44875</v>
      </c>
      <c r="I239" s="8">
        <f>IF($H239="", "", 参数!$B$3-$H239)</f>
        <v>1149</v>
      </c>
      <c r="J239" s="6" t="s">
        <v>917</v>
      </c>
      <c r="K239" s="9">
        <v>2</v>
      </c>
      <c r="L239" s="9">
        <v>0</v>
      </c>
    </row>
    <row r="240" spans="1:12" x14ac:dyDescent="0.2">
      <c r="A240" s="6" t="s">
        <v>1199</v>
      </c>
      <c r="B240" s="6" t="s">
        <v>42</v>
      </c>
      <c r="C240" s="7">
        <v>44685</v>
      </c>
      <c r="D240" s="7">
        <v>44750</v>
      </c>
      <c r="E240" s="8">
        <f t="shared" si="6"/>
        <v>65</v>
      </c>
      <c r="F240" s="7">
        <v>44834</v>
      </c>
      <c r="G240" s="8">
        <f t="shared" si="7"/>
        <v>84</v>
      </c>
      <c r="H240" s="7">
        <v>44834</v>
      </c>
      <c r="I240" s="8">
        <f>IF($H240="", "", 参数!$B$3-$H240)</f>
        <v>1190</v>
      </c>
      <c r="J240" s="6" t="s">
        <v>917</v>
      </c>
      <c r="K240" s="9">
        <v>12900</v>
      </c>
      <c r="L240" s="9">
        <v>0</v>
      </c>
    </row>
    <row r="241" spans="1:12" x14ac:dyDescent="0.2">
      <c r="A241" s="6" t="s">
        <v>1201</v>
      </c>
      <c r="B241" s="6" t="s">
        <v>1200</v>
      </c>
      <c r="C241" s="7">
        <v>44687</v>
      </c>
      <c r="D241" s="7">
        <v>44705</v>
      </c>
      <c r="E241" s="8">
        <f t="shared" si="6"/>
        <v>18</v>
      </c>
      <c r="F241" s="7"/>
      <c r="G241" s="8" t="str">
        <f t="shared" si="7"/>
        <v/>
      </c>
      <c r="H241" s="7">
        <v>44705</v>
      </c>
      <c r="I241" s="8">
        <f>IF($H241="", "", 参数!$B$3-$H241)</f>
        <v>1319</v>
      </c>
      <c r="J241" s="6" t="s">
        <v>917</v>
      </c>
      <c r="K241" s="9">
        <v>253725</v>
      </c>
      <c r="L241" s="9">
        <v>253725</v>
      </c>
    </row>
    <row r="242" spans="1:12" x14ac:dyDescent="0.2">
      <c r="A242" s="6" t="s">
        <v>39</v>
      </c>
      <c r="B242" s="6" t="s">
        <v>38</v>
      </c>
      <c r="C242" s="7">
        <v>44691</v>
      </c>
      <c r="D242" s="7">
        <v>44914</v>
      </c>
      <c r="E242" s="8">
        <f t="shared" si="6"/>
        <v>223</v>
      </c>
      <c r="F242" s="7">
        <v>45545</v>
      </c>
      <c r="G242" s="8">
        <f t="shared" si="7"/>
        <v>631</v>
      </c>
      <c r="H242" s="7">
        <v>45545</v>
      </c>
      <c r="I242" s="8">
        <f>IF($H242="", "", 参数!$B$3-$H242)</f>
        <v>479</v>
      </c>
      <c r="J242" s="6" t="s">
        <v>917</v>
      </c>
      <c r="K242" s="9">
        <v>24000</v>
      </c>
      <c r="L242" s="9">
        <v>0</v>
      </c>
    </row>
    <row r="243" spans="1:12" x14ac:dyDescent="0.2">
      <c r="A243" s="6" t="s">
        <v>278</v>
      </c>
      <c r="B243" s="6" t="s">
        <v>277</v>
      </c>
      <c r="C243" s="7">
        <v>44695</v>
      </c>
      <c r="D243" s="7">
        <v>44757</v>
      </c>
      <c r="E243" s="8">
        <f t="shared" si="6"/>
        <v>62</v>
      </c>
      <c r="F243" s="7">
        <v>45577</v>
      </c>
      <c r="G243" s="8">
        <f t="shared" si="7"/>
        <v>820</v>
      </c>
      <c r="H243" s="7">
        <v>45577</v>
      </c>
      <c r="I243" s="8">
        <f>IF($H243="", "", 参数!$B$3-$H243)</f>
        <v>447</v>
      </c>
      <c r="J243" s="6" t="s">
        <v>917</v>
      </c>
      <c r="K243" s="9">
        <v>82399.600000000006</v>
      </c>
      <c r="L243" s="9">
        <v>0</v>
      </c>
    </row>
    <row r="244" spans="1:12" x14ac:dyDescent="0.2">
      <c r="A244" s="6" t="s">
        <v>1202</v>
      </c>
      <c r="B244" s="6" t="s">
        <v>137</v>
      </c>
      <c r="C244" s="7">
        <v>44695</v>
      </c>
      <c r="D244" s="7">
        <v>44703</v>
      </c>
      <c r="E244" s="8">
        <f t="shared" si="6"/>
        <v>8</v>
      </c>
      <c r="F244" s="7">
        <v>44763</v>
      </c>
      <c r="G244" s="8">
        <f t="shared" si="7"/>
        <v>60</v>
      </c>
      <c r="H244" s="7">
        <v>44763</v>
      </c>
      <c r="I244" s="8">
        <f>IF($H244="", "", 参数!$B$3-$H244)</f>
        <v>1261</v>
      </c>
      <c r="J244" s="6" t="s">
        <v>917</v>
      </c>
      <c r="K244" s="9">
        <v>8000</v>
      </c>
      <c r="L244" s="9">
        <v>0</v>
      </c>
    </row>
    <row r="245" spans="1:12" x14ac:dyDescent="0.2">
      <c r="A245" s="6" t="s">
        <v>1203</v>
      </c>
      <c r="B245" s="6" t="s">
        <v>888</v>
      </c>
      <c r="C245" s="7">
        <v>44697</v>
      </c>
      <c r="D245" s="7">
        <v>44825</v>
      </c>
      <c r="E245" s="8">
        <f t="shared" si="6"/>
        <v>128</v>
      </c>
      <c r="F245" s="7">
        <v>44825</v>
      </c>
      <c r="G245" s="8">
        <f t="shared" si="7"/>
        <v>0</v>
      </c>
      <c r="H245" s="7">
        <v>44825</v>
      </c>
      <c r="I245" s="8">
        <f>IF($H245="", "", 参数!$B$3-$H245)</f>
        <v>1199</v>
      </c>
      <c r="J245" s="6" t="s">
        <v>917</v>
      </c>
      <c r="K245" s="9">
        <v>62272.8100000001</v>
      </c>
      <c r="L245" s="9">
        <v>0</v>
      </c>
    </row>
    <row r="246" spans="1:12" x14ac:dyDescent="0.2">
      <c r="A246" s="6" t="s">
        <v>1204</v>
      </c>
      <c r="B246" s="6" t="s">
        <v>875</v>
      </c>
      <c r="C246" s="7">
        <v>44700</v>
      </c>
      <c r="D246" s="7">
        <v>44712</v>
      </c>
      <c r="E246" s="8">
        <f t="shared" si="6"/>
        <v>12</v>
      </c>
      <c r="F246" s="7">
        <v>44762</v>
      </c>
      <c r="G246" s="8">
        <f t="shared" si="7"/>
        <v>50</v>
      </c>
      <c r="H246" s="7">
        <v>44762</v>
      </c>
      <c r="I246" s="8">
        <f>IF($H246="", "", 参数!$B$3-$H246)</f>
        <v>1262</v>
      </c>
      <c r="J246" s="6" t="s">
        <v>917</v>
      </c>
      <c r="K246" s="9">
        <v>29830</v>
      </c>
      <c r="L246" s="9">
        <v>0</v>
      </c>
    </row>
    <row r="247" spans="1:12" x14ac:dyDescent="0.2">
      <c r="A247" s="6" t="s">
        <v>1205</v>
      </c>
      <c r="B247" s="6" t="s">
        <v>42</v>
      </c>
      <c r="C247" s="7">
        <v>44708</v>
      </c>
      <c r="D247" s="7">
        <v>44717</v>
      </c>
      <c r="E247" s="8">
        <f t="shared" si="6"/>
        <v>9</v>
      </c>
      <c r="F247" s="7">
        <v>44842</v>
      </c>
      <c r="G247" s="8">
        <f t="shared" si="7"/>
        <v>125</v>
      </c>
      <c r="H247" s="7">
        <v>44842</v>
      </c>
      <c r="I247" s="8">
        <f>IF($H247="", "", 参数!$B$3-$H247)</f>
        <v>1182</v>
      </c>
      <c r="J247" s="6" t="s">
        <v>917</v>
      </c>
      <c r="K247" s="9">
        <v>49800</v>
      </c>
      <c r="L247" s="9">
        <v>0</v>
      </c>
    </row>
    <row r="248" spans="1:12" x14ac:dyDescent="0.2">
      <c r="A248" s="6" t="s">
        <v>1206</v>
      </c>
      <c r="B248" s="6" t="s">
        <v>353</v>
      </c>
      <c r="C248" s="7">
        <v>44722</v>
      </c>
      <c r="D248" s="7">
        <v>44728</v>
      </c>
      <c r="E248" s="8">
        <f t="shared" si="6"/>
        <v>6</v>
      </c>
      <c r="F248" s="7">
        <v>44740</v>
      </c>
      <c r="G248" s="8">
        <f t="shared" si="7"/>
        <v>12</v>
      </c>
      <c r="H248" s="7">
        <v>44740</v>
      </c>
      <c r="I248" s="8">
        <f>IF($H248="", "", 参数!$B$3-$H248)</f>
        <v>1284</v>
      </c>
      <c r="J248" s="6" t="s">
        <v>917</v>
      </c>
      <c r="K248" s="9">
        <v>7800</v>
      </c>
      <c r="L248" s="9">
        <v>0</v>
      </c>
    </row>
    <row r="249" spans="1:12" x14ac:dyDescent="0.2">
      <c r="A249" s="6" t="s">
        <v>1208</v>
      </c>
      <c r="B249" s="6" t="s">
        <v>1207</v>
      </c>
      <c r="C249" s="7">
        <v>44727</v>
      </c>
      <c r="D249" s="7">
        <v>44761</v>
      </c>
      <c r="E249" s="8">
        <f t="shared" si="6"/>
        <v>34</v>
      </c>
      <c r="F249" s="7">
        <v>44847</v>
      </c>
      <c r="G249" s="8">
        <f t="shared" si="7"/>
        <v>86</v>
      </c>
      <c r="H249" s="7">
        <v>44847</v>
      </c>
      <c r="I249" s="8">
        <f>IF($H249="", "", 参数!$B$3-$H249)</f>
        <v>1177</v>
      </c>
      <c r="J249" s="6" t="s">
        <v>917</v>
      </c>
      <c r="K249" s="9">
        <v>8800</v>
      </c>
      <c r="L249" s="9">
        <v>0</v>
      </c>
    </row>
    <row r="250" spans="1:12" x14ac:dyDescent="0.2">
      <c r="A250" s="6" t="s">
        <v>539</v>
      </c>
      <c r="B250" s="6" t="s">
        <v>118</v>
      </c>
      <c r="C250" s="7">
        <v>44727</v>
      </c>
      <c r="D250" s="7">
        <v>45162</v>
      </c>
      <c r="E250" s="8">
        <f t="shared" si="6"/>
        <v>435</v>
      </c>
      <c r="F250" s="7"/>
      <c r="G250" s="8" t="str">
        <f t="shared" si="7"/>
        <v/>
      </c>
      <c r="H250" s="7">
        <v>45162</v>
      </c>
      <c r="I250" s="8">
        <f>IF($H250="", "", 参数!$B$3-$H250)</f>
        <v>862</v>
      </c>
      <c r="J250" s="6" t="s">
        <v>917</v>
      </c>
      <c r="K250" s="9">
        <v>3950</v>
      </c>
      <c r="L250" s="9">
        <v>0</v>
      </c>
    </row>
    <row r="251" spans="1:12" x14ac:dyDescent="0.2">
      <c r="A251" s="6" t="s">
        <v>1209</v>
      </c>
      <c r="B251" s="6" t="s">
        <v>776</v>
      </c>
      <c r="C251" s="7">
        <v>44728</v>
      </c>
      <c r="D251" s="7">
        <v>44729</v>
      </c>
      <c r="E251" s="8">
        <f t="shared" si="6"/>
        <v>1</v>
      </c>
      <c r="F251" s="7"/>
      <c r="G251" s="8" t="str">
        <f t="shared" si="7"/>
        <v/>
      </c>
      <c r="H251" s="7">
        <v>44729</v>
      </c>
      <c r="I251" s="8">
        <f>IF($H251="", "", 参数!$B$3-$H251)</f>
        <v>1295</v>
      </c>
      <c r="J251" s="6" t="s">
        <v>917</v>
      </c>
      <c r="K251" s="9">
        <v>3000</v>
      </c>
      <c r="L251" s="9">
        <v>3000</v>
      </c>
    </row>
    <row r="252" spans="1:12" x14ac:dyDescent="0.2">
      <c r="A252" s="6" t="s">
        <v>376</v>
      </c>
      <c r="B252" s="6" t="s">
        <v>373</v>
      </c>
      <c r="C252" s="7">
        <v>44735</v>
      </c>
      <c r="D252" s="7">
        <v>44735</v>
      </c>
      <c r="E252" s="8">
        <f t="shared" si="6"/>
        <v>0</v>
      </c>
      <c r="F252" s="7">
        <v>45162</v>
      </c>
      <c r="G252" s="8">
        <f t="shared" si="7"/>
        <v>427</v>
      </c>
      <c r="H252" s="7">
        <v>45162</v>
      </c>
      <c r="I252" s="8">
        <f>IF($H252="", "", 参数!$B$3-$H252)</f>
        <v>862</v>
      </c>
      <c r="J252" s="6" t="s">
        <v>917</v>
      </c>
      <c r="K252" s="9">
        <v>8280</v>
      </c>
      <c r="L252" s="9">
        <v>0</v>
      </c>
    </row>
    <row r="253" spans="1:12" x14ac:dyDescent="0.2">
      <c r="A253" s="6" t="s">
        <v>1210</v>
      </c>
      <c r="B253" s="6" t="s">
        <v>353</v>
      </c>
      <c r="C253" s="7">
        <v>44745</v>
      </c>
      <c r="D253" s="7">
        <v>44752</v>
      </c>
      <c r="E253" s="8">
        <f t="shared" si="6"/>
        <v>7</v>
      </c>
      <c r="F253" s="7">
        <v>44765</v>
      </c>
      <c r="G253" s="8">
        <f t="shared" si="7"/>
        <v>13</v>
      </c>
      <c r="H253" s="7">
        <v>44765</v>
      </c>
      <c r="I253" s="8">
        <f>IF($H253="", "", 参数!$B$3-$H253)</f>
        <v>1259</v>
      </c>
      <c r="J253" s="6" t="s">
        <v>917</v>
      </c>
      <c r="K253" s="9">
        <v>36748.800000000003</v>
      </c>
      <c r="L253" s="9">
        <v>0</v>
      </c>
    </row>
    <row r="254" spans="1:12" x14ac:dyDescent="0.2">
      <c r="A254" s="6" t="s">
        <v>349</v>
      </c>
      <c r="B254" s="6" t="s">
        <v>348</v>
      </c>
      <c r="C254" s="7">
        <v>44746</v>
      </c>
      <c r="D254" s="7">
        <v>44748</v>
      </c>
      <c r="E254" s="8">
        <f t="shared" si="6"/>
        <v>2</v>
      </c>
      <c r="F254" s="7">
        <v>45141</v>
      </c>
      <c r="G254" s="8">
        <f t="shared" si="7"/>
        <v>393</v>
      </c>
      <c r="H254" s="7">
        <v>45141</v>
      </c>
      <c r="I254" s="8">
        <f>IF($H254="", "", 参数!$B$3-$H254)</f>
        <v>883</v>
      </c>
      <c r="J254" s="6" t="s">
        <v>917</v>
      </c>
      <c r="K254" s="9">
        <v>300</v>
      </c>
      <c r="L254" s="9">
        <v>0</v>
      </c>
    </row>
    <row r="255" spans="1:12" x14ac:dyDescent="0.2">
      <c r="A255" s="6" t="s">
        <v>530</v>
      </c>
      <c r="B255" s="6" t="s">
        <v>1211</v>
      </c>
      <c r="C255" s="7">
        <v>44747</v>
      </c>
      <c r="D255" s="7">
        <v>44752</v>
      </c>
      <c r="E255" s="8">
        <f t="shared" si="6"/>
        <v>5</v>
      </c>
      <c r="F255" s="7">
        <v>45306</v>
      </c>
      <c r="G255" s="8">
        <f t="shared" si="7"/>
        <v>554</v>
      </c>
      <c r="H255" s="7">
        <v>45306</v>
      </c>
      <c r="I255" s="8">
        <f>IF($H255="", "", 参数!$B$3-$H255)</f>
        <v>718</v>
      </c>
      <c r="J255" s="6" t="s">
        <v>917</v>
      </c>
      <c r="K255" s="9">
        <v>6400</v>
      </c>
      <c r="L255" s="9">
        <v>0</v>
      </c>
    </row>
    <row r="256" spans="1:12" x14ac:dyDescent="0.2">
      <c r="A256" s="6" t="s">
        <v>1212</v>
      </c>
      <c r="B256" s="6" t="s">
        <v>294</v>
      </c>
      <c r="C256" s="7">
        <v>44755</v>
      </c>
      <c r="D256" s="7">
        <v>44762</v>
      </c>
      <c r="E256" s="8">
        <f t="shared" si="6"/>
        <v>7</v>
      </c>
      <c r="F256" s="7">
        <v>44820</v>
      </c>
      <c r="G256" s="8">
        <f t="shared" si="7"/>
        <v>58</v>
      </c>
      <c r="H256" s="7">
        <v>44820</v>
      </c>
      <c r="I256" s="8">
        <f>IF($H256="", "", 参数!$B$3-$H256)</f>
        <v>1204</v>
      </c>
      <c r="J256" s="6" t="s">
        <v>917</v>
      </c>
      <c r="K256" s="9">
        <v>3600</v>
      </c>
      <c r="L256" s="9">
        <v>0</v>
      </c>
    </row>
    <row r="257" spans="1:12" x14ac:dyDescent="0.2">
      <c r="A257" s="6" t="s">
        <v>1213</v>
      </c>
      <c r="B257" s="6" t="s">
        <v>900</v>
      </c>
      <c r="C257" s="7">
        <v>44761</v>
      </c>
      <c r="D257" s="7">
        <v>44766</v>
      </c>
      <c r="E257" s="8">
        <f t="shared" si="6"/>
        <v>5</v>
      </c>
      <c r="F257" s="7">
        <v>44865</v>
      </c>
      <c r="G257" s="8">
        <f t="shared" si="7"/>
        <v>99</v>
      </c>
      <c r="H257" s="7">
        <v>44865</v>
      </c>
      <c r="I257" s="8">
        <f>IF($H257="", "", 参数!$B$3-$H257)</f>
        <v>1159</v>
      </c>
      <c r="J257" s="6" t="s">
        <v>917</v>
      </c>
      <c r="K257" s="9">
        <v>13436.8</v>
      </c>
      <c r="L257" s="9">
        <v>0</v>
      </c>
    </row>
    <row r="258" spans="1:12" x14ac:dyDescent="0.2">
      <c r="A258" s="6" t="s">
        <v>1214</v>
      </c>
      <c r="B258" s="6" t="s">
        <v>353</v>
      </c>
      <c r="C258" s="7">
        <v>44762</v>
      </c>
      <c r="D258" s="7">
        <v>44784</v>
      </c>
      <c r="E258" s="8">
        <f t="shared" si="6"/>
        <v>22</v>
      </c>
      <c r="F258" s="7">
        <v>44844</v>
      </c>
      <c r="G258" s="8">
        <f t="shared" si="7"/>
        <v>60</v>
      </c>
      <c r="H258" s="7">
        <v>44844</v>
      </c>
      <c r="I258" s="8">
        <f>IF($H258="", "", 参数!$B$3-$H258)</f>
        <v>1180</v>
      </c>
      <c r="J258" s="6" t="s">
        <v>917</v>
      </c>
      <c r="K258" s="9">
        <v>236072</v>
      </c>
      <c r="L258" s="9">
        <v>0</v>
      </c>
    </row>
    <row r="259" spans="1:12" x14ac:dyDescent="0.2">
      <c r="A259" s="6" t="s">
        <v>1216</v>
      </c>
      <c r="B259" s="6" t="s">
        <v>1215</v>
      </c>
      <c r="C259" s="7">
        <v>44771</v>
      </c>
      <c r="D259" s="7">
        <v>44795</v>
      </c>
      <c r="E259" s="8">
        <f t="shared" ref="E259:E322" si="8">IF(OR($C259="", $D259=""),"", $D259-$C259)</f>
        <v>24</v>
      </c>
      <c r="F259" s="7">
        <v>44775</v>
      </c>
      <c r="G259" s="8">
        <f t="shared" ref="G259:G322" si="9">IF(OR($C259="", $D259="",$F259=""),"", $F259-$D259)</f>
        <v>-20</v>
      </c>
      <c r="H259" s="7">
        <v>44775</v>
      </c>
      <c r="I259" s="8">
        <f>IF($H259="", "", 参数!$B$3-$H259)</f>
        <v>1249</v>
      </c>
      <c r="J259" s="6" t="s">
        <v>917</v>
      </c>
      <c r="K259" s="9">
        <v>25000</v>
      </c>
      <c r="L259" s="9">
        <v>0</v>
      </c>
    </row>
    <row r="260" spans="1:12" x14ac:dyDescent="0.2">
      <c r="A260" s="6" t="s">
        <v>378</v>
      </c>
      <c r="B260" s="6" t="s">
        <v>377</v>
      </c>
      <c r="C260" s="7">
        <v>44776</v>
      </c>
      <c r="D260" s="7">
        <v>44794</v>
      </c>
      <c r="E260" s="8">
        <f t="shared" si="8"/>
        <v>18</v>
      </c>
      <c r="F260" s="7">
        <v>45164</v>
      </c>
      <c r="G260" s="8">
        <f t="shared" si="9"/>
        <v>370</v>
      </c>
      <c r="H260" s="7">
        <v>45164</v>
      </c>
      <c r="I260" s="8">
        <f>IF($H260="", "", 参数!$B$3-$H260)</f>
        <v>860</v>
      </c>
      <c r="J260" s="6" t="s">
        <v>917</v>
      </c>
      <c r="K260" s="9">
        <v>4000</v>
      </c>
      <c r="L260" s="9">
        <v>0</v>
      </c>
    </row>
    <row r="261" spans="1:12" x14ac:dyDescent="0.2">
      <c r="A261" s="6" t="s">
        <v>41</v>
      </c>
      <c r="B261" s="6" t="s">
        <v>40</v>
      </c>
      <c r="C261" s="7">
        <v>44779</v>
      </c>
      <c r="D261" s="7">
        <v>44779</v>
      </c>
      <c r="E261" s="8">
        <f t="shared" si="8"/>
        <v>0</v>
      </c>
      <c r="F261" s="7">
        <v>44942</v>
      </c>
      <c r="G261" s="8">
        <f t="shared" si="9"/>
        <v>163</v>
      </c>
      <c r="H261" s="7">
        <v>44942</v>
      </c>
      <c r="I261" s="8">
        <f>IF($H261="", "", 参数!$B$3-$H261)</f>
        <v>1082</v>
      </c>
      <c r="J261" s="6" t="s">
        <v>917</v>
      </c>
      <c r="K261" s="9">
        <v>18800</v>
      </c>
      <c r="L261" s="9">
        <v>0</v>
      </c>
    </row>
    <row r="262" spans="1:12" x14ac:dyDescent="0.2">
      <c r="A262" s="6" t="s">
        <v>1217</v>
      </c>
      <c r="B262" s="6" t="s">
        <v>873</v>
      </c>
      <c r="C262" s="7">
        <v>44782</v>
      </c>
      <c r="D262" s="7">
        <v>44782</v>
      </c>
      <c r="E262" s="8">
        <f t="shared" si="8"/>
        <v>0</v>
      </c>
      <c r="F262" s="7"/>
      <c r="G262" s="8" t="str">
        <f t="shared" si="9"/>
        <v/>
      </c>
      <c r="H262" s="7">
        <v>44782</v>
      </c>
      <c r="I262" s="8">
        <f>IF($H262="", "", 参数!$B$3-$H262)</f>
        <v>1242</v>
      </c>
      <c r="J262" s="6" t="s">
        <v>917</v>
      </c>
      <c r="K262" s="9">
        <v>154761.60000000001</v>
      </c>
      <c r="L262" s="9">
        <v>154761.60000000001</v>
      </c>
    </row>
    <row r="263" spans="1:12" x14ac:dyDescent="0.2">
      <c r="A263" s="6" t="s">
        <v>1218</v>
      </c>
      <c r="B263" s="6" t="s">
        <v>1113</v>
      </c>
      <c r="C263" s="7">
        <v>44782</v>
      </c>
      <c r="D263" s="7">
        <v>44868</v>
      </c>
      <c r="E263" s="8">
        <f t="shared" si="8"/>
        <v>86</v>
      </c>
      <c r="F263" s="7"/>
      <c r="G263" s="8" t="str">
        <f t="shared" si="9"/>
        <v/>
      </c>
      <c r="H263" s="7">
        <v>44868</v>
      </c>
      <c r="I263" s="8">
        <f>IF($H263="", "", 参数!$B$3-$H263)</f>
        <v>1156</v>
      </c>
      <c r="J263" s="6" t="s">
        <v>917</v>
      </c>
      <c r="K263" s="9">
        <v>194000</v>
      </c>
      <c r="L263" s="9">
        <v>194000</v>
      </c>
    </row>
    <row r="264" spans="1:12" x14ac:dyDescent="0.2">
      <c r="A264" s="6" t="s">
        <v>743</v>
      </c>
      <c r="B264" s="6" t="s">
        <v>1219</v>
      </c>
      <c r="C264" s="7">
        <v>44784</v>
      </c>
      <c r="D264" s="7">
        <v>44777</v>
      </c>
      <c r="E264" s="8">
        <f t="shared" si="8"/>
        <v>-7</v>
      </c>
      <c r="F264" s="7"/>
      <c r="G264" s="8" t="str">
        <f t="shared" si="9"/>
        <v/>
      </c>
      <c r="H264" s="7">
        <v>44777</v>
      </c>
      <c r="I264" s="8">
        <f>IF($H264="", "", 参数!$B$3-$H264)</f>
        <v>1247</v>
      </c>
      <c r="J264" s="6" t="s">
        <v>917</v>
      </c>
      <c r="K264" s="9">
        <v>9200</v>
      </c>
      <c r="L264" s="9">
        <v>9200</v>
      </c>
    </row>
    <row r="265" spans="1:12" x14ac:dyDescent="0.2">
      <c r="A265" s="6" t="s">
        <v>686</v>
      </c>
      <c r="B265" s="6" t="s">
        <v>685</v>
      </c>
      <c r="C265" s="7">
        <v>44788</v>
      </c>
      <c r="D265" s="7">
        <v>44816</v>
      </c>
      <c r="E265" s="8">
        <f t="shared" si="8"/>
        <v>28</v>
      </c>
      <c r="F265" s="7">
        <v>45594</v>
      </c>
      <c r="G265" s="8">
        <f t="shared" si="9"/>
        <v>778</v>
      </c>
      <c r="H265" s="7">
        <v>45594</v>
      </c>
      <c r="I265" s="8">
        <f>IF($H265="", "", 参数!$B$3-$H265)</f>
        <v>430</v>
      </c>
      <c r="J265" s="6" t="s">
        <v>917</v>
      </c>
      <c r="K265" s="9">
        <v>139510</v>
      </c>
      <c r="L265" s="9">
        <v>0</v>
      </c>
    </row>
    <row r="266" spans="1:12" x14ac:dyDescent="0.2">
      <c r="A266" s="6" t="s">
        <v>1220</v>
      </c>
      <c r="B266" s="6" t="s">
        <v>303</v>
      </c>
      <c r="C266" s="7">
        <v>44800</v>
      </c>
      <c r="D266" s="7">
        <v>44834</v>
      </c>
      <c r="E266" s="8">
        <f t="shared" si="8"/>
        <v>34</v>
      </c>
      <c r="F266" s="7">
        <v>44887</v>
      </c>
      <c r="G266" s="8">
        <f t="shared" si="9"/>
        <v>53</v>
      </c>
      <c r="H266" s="7">
        <v>44887</v>
      </c>
      <c r="I266" s="8">
        <f>IF($H266="", "", 参数!$B$3-$H266)</f>
        <v>1137</v>
      </c>
      <c r="J266" s="6" t="s">
        <v>917</v>
      </c>
      <c r="K266" s="9">
        <v>33200</v>
      </c>
      <c r="L266" s="9">
        <v>0</v>
      </c>
    </row>
    <row r="267" spans="1:12" x14ac:dyDescent="0.2">
      <c r="A267" s="6" t="s">
        <v>138</v>
      </c>
      <c r="B267" s="6" t="s">
        <v>137</v>
      </c>
      <c r="C267" s="7">
        <v>44811</v>
      </c>
      <c r="D267" s="7">
        <v>44815</v>
      </c>
      <c r="E267" s="8">
        <f t="shared" si="8"/>
        <v>4</v>
      </c>
      <c r="F267" s="7">
        <v>45013</v>
      </c>
      <c r="G267" s="8">
        <f t="shared" si="9"/>
        <v>198</v>
      </c>
      <c r="H267" s="7">
        <v>45013</v>
      </c>
      <c r="I267" s="8">
        <f>IF($H267="", "", 参数!$B$3-$H267)</f>
        <v>1011</v>
      </c>
      <c r="J267" s="6" t="s">
        <v>917</v>
      </c>
      <c r="K267" s="9">
        <v>8000</v>
      </c>
      <c r="L267" s="9">
        <v>0</v>
      </c>
    </row>
    <row r="268" spans="1:12" x14ac:dyDescent="0.2">
      <c r="A268" s="6" t="s">
        <v>1221</v>
      </c>
      <c r="B268" s="6" t="s">
        <v>1164</v>
      </c>
      <c r="C268" s="7">
        <v>44845</v>
      </c>
      <c r="D268" s="7">
        <v>44863</v>
      </c>
      <c r="E268" s="8">
        <f t="shared" si="8"/>
        <v>18</v>
      </c>
      <c r="F268" s="7">
        <v>44887</v>
      </c>
      <c r="G268" s="8">
        <f t="shared" si="9"/>
        <v>24</v>
      </c>
      <c r="H268" s="7">
        <v>44887</v>
      </c>
      <c r="I268" s="8">
        <f>IF($H268="", "", 参数!$B$3-$H268)</f>
        <v>1137</v>
      </c>
      <c r="J268" s="6" t="s">
        <v>917</v>
      </c>
      <c r="K268" s="9">
        <v>6080</v>
      </c>
      <c r="L268" s="9">
        <v>0</v>
      </c>
    </row>
    <row r="269" spans="1:12" x14ac:dyDescent="0.2">
      <c r="A269" s="6" t="s">
        <v>1222</v>
      </c>
      <c r="B269" s="6" t="s">
        <v>533</v>
      </c>
      <c r="C269" s="7">
        <v>44846</v>
      </c>
      <c r="D269" s="7">
        <v>44859</v>
      </c>
      <c r="E269" s="8">
        <f t="shared" si="8"/>
        <v>13</v>
      </c>
      <c r="F269" s="7"/>
      <c r="G269" s="8" t="str">
        <f t="shared" si="9"/>
        <v/>
      </c>
      <c r="H269" s="7">
        <v>44859</v>
      </c>
      <c r="I269" s="8">
        <f>IF($H269="", "", 参数!$B$3-$H269)</f>
        <v>1165</v>
      </c>
      <c r="J269" s="6" t="s">
        <v>917</v>
      </c>
      <c r="K269" s="9">
        <v>120000</v>
      </c>
      <c r="L269" s="9">
        <v>120000</v>
      </c>
    </row>
    <row r="270" spans="1:12" x14ac:dyDescent="0.2">
      <c r="A270" s="6" t="s">
        <v>1223</v>
      </c>
      <c r="B270" s="6" t="s">
        <v>849</v>
      </c>
      <c r="C270" s="7">
        <v>44863</v>
      </c>
      <c r="D270" s="7">
        <v>44886</v>
      </c>
      <c r="E270" s="8">
        <f t="shared" si="8"/>
        <v>23</v>
      </c>
      <c r="F270" s="7">
        <v>44911</v>
      </c>
      <c r="G270" s="8">
        <f t="shared" si="9"/>
        <v>25</v>
      </c>
      <c r="H270" s="7">
        <v>44911</v>
      </c>
      <c r="I270" s="8">
        <f>IF($H270="", "", 参数!$B$3-$H270)</f>
        <v>1113</v>
      </c>
      <c r="J270" s="6" t="s">
        <v>917</v>
      </c>
      <c r="K270" s="9">
        <v>83500</v>
      </c>
      <c r="L270" s="9">
        <v>0</v>
      </c>
    </row>
    <row r="271" spans="1:12" x14ac:dyDescent="0.2">
      <c r="A271" s="6" t="s">
        <v>889</v>
      </c>
      <c r="B271" s="6" t="s">
        <v>152</v>
      </c>
      <c r="C271" s="7">
        <v>44869</v>
      </c>
      <c r="D271" s="7">
        <v>44880</v>
      </c>
      <c r="E271" s="8">
        <f t="shared" si="8"/>
        <v>11</v>
      </c>
      <c r="F271" s="7">
        <v>44908</v>
      </c>
      <c r="G271" s="8">
        <f t="shared" si="9"/>
        <v>28</v>
      </c>
      <c r="H271" s="7">
        <v>44908</v>
      </c>
      <c r="I271" s="8">
        <f>IF($H271="", "", 参数!$B$3-$H271)</f>
        <v>1116</v>
      </c>
      <c r="J271" s="6" t="s">
        <v>917</v>
      </c>
      <c r="K271" s="9">
        <v>4596.2700000000004</v>
      </c>
      <c r="L271" s="9">
        <v>0</v>
      </c>
    </row>
    <row r="272" spans="1:12" x14ac:dyDescent="0.2">
      <c r="A272" s="6" t="s">
        <v>284</v>
      </c>
      <c r="B272" s="6" t="s">
        <v>283</v>
      </c>
      <c r="C272" s="7">
        <v>44872</v>
      </c>
      <c r="D272" s="7">
        <v>45016</v>
      </c>
      <c r="E272" s="8">
        <f t="shared" si="8"/>
        <v>144</v>
      </c>
      <c r="F272" s="7"/>
      <c r="G272" s="8" t="str">
        <f t="shared" si="9"/>
        <v/>
      </c>
      <c r="H272" s="7">
        <v>45016</v>
      </c>
      <c r="I272" s="8">
        <f>IF($H272="", "", 参数!$B$3-$H272)</f>
        <v>1008</v>
      </c>
      <c r="J272" s="6" t="s">
        <v>917</v>
      </c>
      <c r="K272" s="9">
        <v>24200</v>
      </c>
      <c r="L272" s="9">
        <v>0</v>
      </c>
    </row>
    <row r="273" spans="1:12" x14ac:dyDescent="0.2">
      <c r="A273" s="6" t="s">
        <v>859</v>
      </c>
      <c r="B273" s="6" t="s">
        <v>425</v>
      </c>
      <c r="C273" s="7">
        <v>44873</v>
      </c>
      <c r="D273" s="7">
        <v>44900</v>
      </c>
      <c r="E273" s="8">
        <f t="shared" si="8"/>
        <v>27</v>
      </c>
      <c r="F273" s="7">
        <v>44900</v>
      </c>
      <c r="G273" s="8">
        <f t="shared" si="9"/>
        <v>0</v>
      </c>
      <c r="H273" s="7">
        <v>44900</v>
      </c>
      <c r="I273" s="8">
        <f>IF($H273="", "", 参数!$B$3-$H273)</f>
        <v>1124</v>
      </c>
      <c r="J273" s="6" t="s">
        <v>917</v>
      </c>
      <c r="K273" s="9">
        <v>92.910000000032596</v>
      </c>
      <c r="L273" s="9">
        <v>0</v>
      </c>
    </row>
    <row r="274" spans="1:12" x14ac:dyDescent="0.2">
      <c r="A274" s="6" t="s">
        <v>1225</v>
      </c>
      <c r="B274" s="6" t="s">
        <v>1224</v>
      </c>
      <c r="C274" s="7">
        <v>44875</v>
      </c>
      <c r="D274" s="7">
        <v>45071</v>
      </c>
      <c r="E274" s="8">
        <f t="shared" si="8"/>
        <v>196</v>
      </c>
      <c r="F274" s="7"/>
      <c r="G274" s="8" t="str">
        <f t="shared" si="9"/>
        <v/>
      </c>
      <c r="H274" s="7">
        <v>45071</v>
      </c>
      <c r="I274" s="8">
        <f>IF($H274="", "", 参数!$B$3-$H274)</f>
        <v>953</v>
      </c>
      <c r="J274" s="6" t="s">
        <v>917</v>
      </c>
      <c r="K274" s="9">
        <v>380000</v>
      </c>
      <c r="L274" s="9">
        <v>380000</v>
      </c>
    </row>
    <row r="275" spans="1:12" x14ac:dyDescent="0.2">
      <c r="A275" s="6" t="s">
        <v>1226</v>
      </c>
      <c r="B275" s="6" t="s">
        <v>1200</v>
      </c>
      <c r="C275" s="7">
        <v>44879</v>
      </c>
      <c r="D275" s="7">
        <v>44888</v>
      </c>
      <c r="E275" s="8">
        <f t="shared" si="8"/>
        <v>9</v>
      </c>
      <c r="F275" s="7"/>
      <c r="G275" s="8" t="str">
        <f t="shared" si="9"/>
        <v/>
      </c>
      <c r="H275" s="7">
        <v>44888</v>
      </c>
      <c r="I275" s="8">
        <f>IF($H275="", "", 参数!$B$3-$H275)</f>
        <v>1136</v>
      </c>
      <c r="J275" s="6" t="s">
        <v>917</v>
      </c>
      <c r="K275" s="9">
        <v>206550</v>
      </c>
      <c r="L275" s="9">
        <v>206550</v>
      </c>
    </row>
    <row r="276" spans="1:12" x14ac:dyDescent="0.2">
      <c r="A276" s="6" t="s">
        <v>676</v>
      </c>
      <c r="B276" s="6" t="s">
        <v>675</v>
      </c>
      <c r="C276" s="7">
        <v>44897</v>
      </c>
      <c r="D276" s="7">
        <v>44985</v>
      </c>
      <c r="E276" s="8">
        <f t="shared" si="8"/>
        <v>88</v>
      </c>
      <c r="F276" s="7">
        <v>45565</v>
      </c>
      <c r="G276" s="8">
        <f t="shared" si="9"/>
        <v>580</v>
      </c>
      <c r="H276" s="7">
        <v>45565</v>
      </c>
      <c r="I276" s="8">
        <f>IF($H276="", "", 参数!$B$3-$H276)</f>
        <v>459</v>
      </c>
      <c r="J276" s="6" t="s">
        <v>917</v>
      </c>
      <c r="K276" s="9">
        <v>21280</v>
      </c>
      <c r="L276" s="9">
        <v>0</v>
      </c>
    </row>
    <row r="277" spans="1:12" x14ac:dyDescent="0.2">
      <c r="A277" s="6" t="s">
        <v>306</v>
      </c>
      <c r="B277" s="6" t="s">
        <v>305</v>
      </c>
      <c r="C277" s="7">
        <v>44897</v>
      </c>
      <c r="D277" s="7">
        <v>44943</v>
      </c>
      <c r="E277" s="8">
        <f t="shared" si="8"/>
        <v>46</v>
      </c>
      <c r="F277" s="7">
        <v>45107</v>
      </c>
      <c r="G277" s="8">
        <f t="shared" si="9"/>
        <v>164</v>
      </c>
      <c r="H277" s="7">
        <v>45107</v>
      </c>
      <c r="I277" s="8">
        <f>IF($H277="", "", 参数!$B$3-$H277)</f>
        <v>917</v>
      </c>
      <c r="J277" s="6" t="s">
        <v>917</v>
      </c>
      <c r="K277" s="9">
        <v>3700</v>
      </c>
      <c r="L277" s="9">
        <v>0</v>
      </c>
    </row>
    <row r="278" spans="1:12" x14ac:dyDescent="0.2">
      <c r="A278" s="6" t="s">
        <v>250</v>
      </c>
      <c r="B278" s="6" t="s">
        <v>145</v>
      </c>
      <c r="C278" s="7">
        <v>44907</v>
      </c>
      <c r="D278" s="7">
        <v>44918</v>
      </c>
      <c r="E278" s="8">
        <f t="shared" si="8"/>
        <v>11</v>
      </c>
      <c r="F278" s="7">
        <v>45236</v>
      </c>
      <c r="G278" s="8">
        <f t="shared" si="9"/>
        <v>318</v>
      </c>
      <c r="H278" s="7">
        <v>45236</v>
      </c>
      <c r="I278" s="8">
        <f>IF($H278="", "", 参数!$B$3-$H278)</f>
        <v>788</v>
      </c>
      <c r="J278" s="6" t="s">
        <v>917</v>
      </c>
      <c r="K278" s="9">
        <v>3500</v>
      </c>
      <c r="L278" s="9">
        <v>0</v>
      </c>
    </row>
    <row r="279" spans="1:12" x14ac:dyDescent="0.2">
      <c r="A279" s="6" t="s">
        <v>144</v>
      </c>
      <c r="B279" s="6" t="s">
        <v>42</v>
      </c>
      <c r="C279" s="7">
        <v>44908</v>
      </c>
      <c r="D279" s="7">
        <v>44922</v>
      </c>
      <c r="E279" s="8">
        <f t="shared" si="8"/>
        <v>14</v>
      </c>
      <c r="F279" s="7">
        <v>45019</v>
      </c>
      <c r="G279" s="8">
        <f t="shared" si="9"/>
        <v>97</v>
      </c>
      <c r="H279" s="7">
        <v>45019</v>
      </c>
      <c r="I279" s="8">
        <f>IF($H279="", "", 参数!$B$3-$H279)</f>
        <v>1005</v>
      </c>
      <c r="J279" s="6" t="s">
        <v>917</v>
      </c>
      <c r="K279" s="9">
        <v>8000</v>
      </c>
      <c r="L279" s="9">
        <v>0</v>
      </c>
    </row>
    <row r="280" spans="1:12" x14ac:dyDescent="0.2">
      <c r="A280" s="6" t="s">
        <v>1227</v>
      </c>
      <c r="B280" s="6" t="s">
        <v>1224</v>
      </c>
      <c r="C280" s="7">
        <v>44916</v>
      </c>
      <c r="D280" s="7"/>
      <c r="E280" s="8" t="str">
        <f t="shared" si="8"/>
        <v/>
      </c>
      <c r="F280" s="7"/>
      <c r="G280" s="8" t="str">
        <f t="shared" si="9"/>
        <v/>
      </c>
      <c r="H280" s="7">
        <v>44916</v>
      </c>
      <c r="I280" s="8">
        <f>IF($H280="", "", 参数!$B$3-$H280)</f>
        <v>1108</v>
      </c>
      <c r="J280" s="6" t="s">
        <v>917</v>
      </c>
      <c r="K280" s="9">
        <v>200000</v>
      </c>
      <c r="L280" s="9"/>
    </row>
    <row r="281" spans="1:12" x14ac:dyDescent="0.2">
      <c r="A281" s="6" t="s">
        <v>295</v>
      </c>
      <c r="B281" s="6" t="s">
        <v>294</v>
      </c>
      <c r="C281" s="7">
        <v>44922</v>
      </c>
      <c r="D281" s="7">
        <v>44929</v>
      </c>
      <c r="E281" s="8">
        <f t="shared" si="8"/>
        <v>7</v>
      </c>
      <c r="F281" s="7">
        <v>45093</v>
      </c>
      <c r="G281" s="8">
        <f t="shared" si="9"/>
        <v>164</v>
      </c>
      <c r="H281" s="7">
        <v>45093</v>
      </c>
      <c r="I281" s="8">
        <f>IF($H281="", "", 参数!$B$3-$H281)</f>
        <v>931</v>
      </c>
      <c r="J281" s="6" t="s">
        <v>917</v>
      </c>
      <c r="K281" s="9">
        <v>3000</v>
      </c>
      <c r="L281" s="9">
        <v>0</v>
      </c>
    </row>
    <row r="282" spans="1:12" x14ac:dyDescent="0.2">
      <c r="A282" s="6" t="s">
        <v>104</v>
      </c>
      <c r="B282" s="6" t="s">
        <v>1228</v>
      </c>
      <c r="C282" s="7">
        <v>44923</v>
      </c>
      <c r="D282" s="7">
        <v>44945</v>
      </c>
      <c r="E282" s="8">
        <f t="shared" si="8"/>
        <v>22</v>
      </c>
      <c r="F282" s="7">
        <v>45000</v>
      </c>
      <c r="G282" s="8">
        <f t="shared" si="9"/>
        <v>55</v>
      </c>
      <c r="H282" s="7">
        <v>45000</v>
      </c>
      <c r="I282" s="8">
        <f>IF($H282="", "", 参数!$B$3-$H282)</f>
        <v>1024</v>
      </c>
      <c r="J282" s="6" t="s">
        <v>917</v>
      </c>
      <c r="K282" s="9">
        <v>4950</v>
      </c>
      <c r="L282" s="9">
        <v>0</v>
      </c>
    </row>
    <row r="283" spans="1:12" x14ac:dyDescent="0.2">
      <c r="A283" s="6" t="s">
        <v>800</v>
      </c>
      <c r="B283" s="6" t="s">
        <v>294</v>
      </c>
      <c r="C283" s="7">
        <v>44929</v>
      </c>
      <c r="D283" s="7">
        <v>45349</v>
      </c>
      <c r="E283" s="8">
        <f t="shared" si="8"/>
        <v>420</v>
      </c>
      <c r="F283" s="7">
        <v>45182</v>
      </c>
      <c r="G283" s="8">
        <f t="shared" si="9"/>
        <v>-167</v>
      </c>
      <c r="H283" s="7">
        <v>45182</v>
      </c>
      <c r="I283" s="8">
        <f>IF($H283="", "", 参数!$B$3-$H283)</f>
        <v>842</v>
      </c>
      <c r="J283" s="6" t="s">
        <v>917</v>
      </c>
      <c r="K283" s="9">
        <v>3.9823008992243602E-3</v>
      </c>
      <c r="L283" s="9">
        <v>-7292.03</v>
      </c>
    </row>
    <row r="284" spans="1:12" x14ac:dyDescent="0.2">
      <c r="A284" s="6" t="s">
        <v>64</v>
      </c>
      <c r="B284" s="6" t="s">
        <v>63</v>
      </c>
      <c r="C284" s="7">
        <v>44929</v>
      </c>
      <c r="D284" s="7">
        <v>44942</v>
      </c>
      <c r="E284" s="8">
        <f t="shared" si="8"/>
        <v>13</v>
      </c>
      <c r="F284" s="7">
        <v>44973</v>
      </c>
      <c r="G284" s="8">
        <f t="shared" si="9"/>
        <v>31</v>
      </c>
      <c r="H284" s="7">
        <v>44973</v>
      </c>
      <c r="I284" s="8">
        <f>IF($H284="", "", 参数!$B$3-$H284)</f>
        <v>1051</v>
      </c>
      <c r="J284" s="6" t="s">
        <v>917</v>
      </c>
      <c r="K284" s="9">
        <v>2646</v>
      </c>
      <c r="L284" s="9">
        <v>0</v>
      </c>
    </row>
    <row r="285" spans="1:12" x14ac:dyDescent="0.2">
      <c r="A285" s="6" t="s">
        <v>176</v>
      </c>
      <c r="B285" s="6" t="s">
        <v>175</v>
      </c>
      <c r="C285" s="7">
        <v>44931</v>
      </c>
      <c r="D285" s="7">
        <v>44977</v>
      </c>
      <c r="E285" s="8">
        <f t="shared" si="8"/>
        <v>46</v>
      </c>
      <c r="F285" s="7">
        <v>45026</v>
      </c>
      <c r="G285" s="8">
        <f t="shared" si="9"/>
        <v>49</v>
      </c>
      <c r="H285" s="7">
        <v>45026</v>
      </c>
      <c r="I285" s="8">
        <f>IF($H285="", "", 参数!$B$3-$H285)</f>
        <v>998</v>
      </c>
      <c r="J285" s="6" t="s">
        <v>917</v>
      </c>
      <c r="K285" s="9">
        <v>227.5</v>
      </c>
      <c r="L285" s="9">
        <v>0</v>
      </c>
    </row>
    <row r="286" spans="1:12" x14ac:dyDescent="0.2">
      <c r="A286" s="6" t="s">
        <v>74</v>
      </c>
      <c r="B286" s="6" t="s">
        <v>1229</v>
      </c>
      <c r="C286" s="7">
        <v>44938</v>
      </c>
      <c r="D286" s="7">
        <v>44955</v>
      </c>
      <c r="E286" s="8">
        <f t="shared" si="8"/>
        <v>17</v>
      </c>
      <c r="F286" s="7">
        <v>44979</v>
      </c>
      <c r="G286" s="8">
        <f t="shared" si="9"/>
        <v>24</v>
      </c>
      <c r="H286" s="7">
        <v>44979</v>
      </c>
      <c r="I286" s="8">
        <f>IF($H286="", "", 参数!$B$3-$H286)</f>
        <v>1045</v>
      </c>
      <c r="J286" s="6" t="s">
        <v>917</v>
      </c>
      <c r="K286" s="9">
        <v>2400</v>
      </c>
      <c r="L286" s="9">
        <v>0</v>
      </c>
    </row>
    <row r="287" spans="1:12" x14ac:dyDescent="0.2">
      <c r="A287" s="6" t="s">
        <v>1231</v>
      </c>
      <c r="B287" s="6" t="s">
        <v>1230</v>
      </c>
      <c r="C287" s="7">
        <v>44940</v>
      </c>
      <c r="D287" s="7">
        <v>44964</v>
      </c>
      <c r="E287" s="8">
        <f t="shared" si="8"/>
        <v>24</v>
      </c>
      <c r="F287" s="7"/>
      <c r="G287" s="8" t="str">
        <f t="shared" si="9"/>
        <v/>
      </c>
      <c r="H287" s="7">
        <v>44964</v>
      </c>
      <c r="I287" s="8">
        <f>IF($H287="", "", 参数!$B$3-$H287)</f>
        <v>1060</v>
      </c>
      <c r="J287" s="6" t="s">
        <v>917</v>
      </c>
      <c r="K287" s="9">
        <v>14000</v>
      </c>
      <c r="L287" s="9"/>
    </row>
    <row r="288" spans="1:12" x14ac:dyDescent="0.2">
      <c r="A288" s="6" t="s">
        <v>157</v>
      </c>
      <c r="B288" s="6" t="s">
        <v>156</v>
      </c>
      <c r="C288" s="7">
        <v>44952</v>
      </c>
      <c r="D288" s="7">
        <v>44957</v>
      </c>
      <c r="E288" s="8">
        <f t="shared" si="8"/>
        <v>5</v>
      </c>
      <c r="F288" s="7">
        <v>45022</v>
      </c>
      <c r="G288" s="8">
        <f t="shared" si="9"/>
        <v>65</v>
      </c>
      <c r="H288" s="7">
        <v>45022</v>
      </c>
      <c r="I288" s="8">
        <f>IF($H288="", "", 参数!$B$3-$H288)</f>
        <v>1002</v>
      </c>
      <c r="J288" s="6" t="s">
        <v>917</v>
      </c>
      <c r="K288" s="9">
        <v>2120</v>
      </c>
      <c r="L288" s="9">
        <v>0</v>
      </c>
    </row>
    <row r="289" spans="1:12" x14ac:dyDescent="0.2">
      <c r="A289" s="6" t="s">
        <v>613</v>
      </c>
      <c r="B289" s="6" t="s">
        <v>1228</v>
      </c>
      <c r="C289" s="7">
        <v>44954</v>
      </c>
      <c r="D289" s="7">
        <v>44966</v>
      </c>
      <c r="E289" s="8">
        <f t="shared" si="8"/>
        <v>12</v>
      </c>
      <c r="F289" s="7">
        <v>45000</v>
      </c>
      <c r="G289" s="8">
        <f t="shared" si="9"/>
        <v>34</v>
      </c>
      <c r="H289" s="7">
        <v>45000</v>
      </c>
      <c r="I289" s="8">
        <f>IF($H289="", "", 参数!$B$3-$H289)</f>
        <v>1024</v>
      </c>
      <c r="J289" s="6" t="s">
        <v>917</v>
      </c>
      <c r="K289" s="9">
        <v>4950</v>
      </c>
      <c r="L289" s="9">
        <v>0</v>
      </c>
    </row>
    <row r="290" spans="1:12" x14ac:dyDescent="0.2">
      <c r="A290" s="6" t="s">
        <v>226</v>
      </c>
      <c r="B290" s="6" t="s">
        <v>225</v>
      </c>
      <c r="C290" s="7">
        <v>44960</v>
      </c>
      <c r="D290" s="7">
        <v>44984</v>
      </c>
      <c r="E290" s="8">
        <f t="shared" si="8"/>
        <v>24</v>
      </c>
      <c r="F290" s="7">
        <v>45040</v>
      </c>
      <c r="G290" s="8">
        <f t="shared" si="9"/>
        <v>56</v>
      </c>
      <c r="H290" s="7">
        <v>45040</v>
      </c>
      <c r="I290" s="8">
        <f>IF($H290="", "", 参数!$B$3-$H290)</f>
        <v>984</v>
      </c>
      <c r="J290" s="6" t="s">
        <v>917</v>
      </c>
      <c r="K290" s="9">
        <v>193280</v>
      </c>
      <c r="L290" s="9">
        <v>0</v>
      </c>
    </row>
    <row r="291" spans="1:12" x14ac:dyDescent="0.2">
      <c r="A291" s="6" t="s">
        <v>435</v>
      </c>
      <c r="B291" s="6" t="s">
        <v>201</v>
      </c>
      <c r="C291" s="7">
        <v>44960</v>
      </c>
      <c r="D291" s="7">
        <v>45046</v>
      </c>
      <c r="E291" s="8">
        <f t="shared" si="8"/>
        <v>86</v>
      </c>
      <c r="F291" s="7">
        <v>45217</v>
      </c>
      <c r="G291" s="8">
        <f t="shared" si="9"/>
        <v>171</v>
      </c>
      <c r="H291" s="7">
        <v>45217</v>
      </c>
      <c r="I291" s="8">
        <f>IF($H291="", "", 参数!$B$3-$H291)</f>
        <v>807</v>
      </c>
      <c r="J291" s="6" t="s">
        <v>917</v>
      </c>
      <c r="K291" s="9">
        <v>52601.77</v>
      </c>
      <c r="L291" s="9">
        <v>0</v>
      </c>
    </row>
    <row r="292" spans="1:12" x14ac:dyDescent="0.2">
      <c r="A292" s="6" t="s">
        <v>154</v>
      </c>
      <c r="B292" s="6" t="s">
        <v>109</v>
      </c>
      <c r="C292" s="7">
        <v>44964</v>
      </c>
      <c r="D292" s="7">
        <v>44980</v>
      </c>
      <c r="E292" s="8">
        <f t="shared" si="8"/>
        <v>16</v>
      </c>
      <c r="F292" s="7">
        <v>45022</v>
      </c>
      <c r="G292" s="8">
        <f t="shared" si="9"/>
        <v>42</v>
      </c>
      <c r="H292" s="7">
        <v>45022</v>
      </c>
      <c r="I292" s="8">
        <f>IF($H292="", "", 参数!$B$3-$H292)</f>
        <v>1002</v>
      </c>
      <c r="J292" s="6" t="s">
        <v>917</v>
      </c>
      <c r="K292" s="9">
        <v>34465</v>
      </c>
      <c r="L292" s="9">
        <v>0</v>
      </c>
    </row>
    <row r="293" spans="1:12" x14ac:dyDescent="0.2">
      <c r="A293" s="6" t="s">
        <v>1232</v>
      </c>
      <c r="B293" s="6" t="s">
        <v>495</v>
      </c>
      <c r="C293" s="7">
        <v>44975</v>
      </c>
      <c r="D293" s="7">
        <v>45047</v>
      </c>
      <c r="E293" s="8">
        <f t="shared" si="8"/>
        <v>72</v>
      </c>
      <c r="F293" s="7"/>
      <c r="G293" s="8" t="str">
        <f t="shared" si="9"/>
        <v/>
      </c>
      <c r="H293" s="7">
        <v>45047</v>
      </c>
      <c r="I293" s="8">
        <f>IF($H293="", "", 参数!$B$3-$H293)</f>
        <v>977</v>
      </c>
      <c r="J293" s="6" t="s">
        <v>917</v>
      </c>
      <c r="K293" s="9">
        <v>14215.5</v>
      </c>
      <c r="L293" s="9">
        <v>14215.5</v>
      </c>
    </row>
    <row r="294" spans="1:12" x14ac:dyDescent="0.2">
      <c r="A294" s="6" t="s">
        <v>815</v>
      </c>
      <c r="B294" s="6" t="s">
        <v>814</v>
      </c>
      <c r="C294" s="7">
        <v>44978</v>
      </c>
      <c r="D294" s="7"/>
      <c r="E294" s="8" t="str">
        <f t="shared" si="8"/>
        <v/>
      </c>
      <c r="F294" s="7"/>
      <c r="G294" s="8" t="str">
        <f t="shared" si="9"/>
        <v/>
      </c>
      <c r="H294" s="7">
        <v>44978</v>
      </c>
      <c r="I294" s="8">
        <f>IF($H294="", "", 参数!$B$3-$H294)</f>
        <v>1046</v>
      </c>
      <c r="J294" s="6" t="s">
        <v>917</v>
      </c>
      <c r="K294" s="9">
        <v>48000</v>
      </c>
      <c r="L294" s="9">
        <v>0</v>
      </c>
    </row>
    <row r="295" spans="1:12" x14ac:dyDescent="0.2">
      <c r="A295" s="6" t="s">
        <v>174</v>
      </c>
      <c r="B295" s="6" t="s">
        <v>173</v>
      </c>
      <c r="C295" s="7">
        <v>44985</v>
      </c>
      <c r="D295" s="7">
        <v>44985</v>
      </c>
      <c r="E295" s="8">
        <f t="shared" si="8"/>
        <v>0</v>
      </c>
      <c r="F295" s="7">
        <v>45026</v>
      </c>
      <c r="G295" s="8">
        <f t="shared" si="9"/>
        <v>41</v>
      </c>
      <c r="H295" s="7">
        <v>45026</v>
      </c>
      <c r="I295" s="8">
        <f>IF($H295="", "", 参数!$B$3-$H295)</f>
        <v>998</v>
      </c>
      <c r="J295" s="6" t="s">
        <v>917</v>
      </c>
      <c r="K295" s="9">
        <v>10000</v>
      </c>
      <c r="L295" s="9">
        <v>0</v>
      </c>
    </row>
    <row r="296" spans="1:12" x14ac:dyDescent="0.2">
      <c r="A296" s="6" t="s">
        <v>161</v>
      </c>
      <c r="B296" s="6" t="s">
        <v>160</v>
      </c>
      <c r="C296" s="7">
        <v>44986</v>
      </c>
      <c r="D296" s="7">
        <v>44997</v>
      </c>
      <c r="E296" s="8">
        <f t="shared" si="8"/>
        <v>11</v>
      </c>
      <c r="F296" s="7">
        <v>45022</v>
      </c>
      <c r="G296" s="8">
        <f t="shared" si="9"/>
        <v>25</v>
      </c>
      <c r="H296" s="7">
        <v>45022</v>
      </c>
      <c r="I296" s="8">
        <f>IF($H296="", "", 参数!$B$3-$H296)</f>
        <v>1002</v>
      </c>
      <c r="J296" s="6" t="s">
        <v>917</v>
      </c>
      <c r="K296" s="9">
        <v>4.0000000008149099E-3</v>
      </c>
      <c r="L296" s="9">
        <v>0</v>
      </c>
    </row>
    <row r="297" spans="1:12" x14ac:dyDescent="0.2">
      <c r="A297" s="6" t="s">
        <v>106</v>
      </c>
      <c r="B297" s="6" t="s">
        <v>105</v>
      </c>
      <c r="C297" s="7">
        <v>44987</v>
      </c>
      <c r="D297" s="7">
        <v>44996</v>
      </c>
      <c r="E297" s="8">
        <f t="shared" si="8"/>
        <v>9</v>
      </c>
      <c r="F297" s="7">
        <v>45000</v>
      </c>
      <c r="G297" s="8">
        <f t="shared" si="9"/>
        <v>4</v>
      </c>
      <c r="H297" s="7">
        <v>45000</v>
      </c>
      <c r="I297" s="8">
        <f>IF($H297="", "", 参数!$B$3-$H297)</f>
        <v>1024</v>
      </c>
      <c r="J297" s="6" t="s">
        <v>917</v>
      </c>
      <c r="K297" s="9">
        <v>1000</v>
      </c>
      <c r="L297" s="9">
        <v>0</v>
      </c>
    </row>
    <row r="298" spans="1:12" x14ac:dyDescent="0.2">
      <c r="A298" s="6" t="s">
        <v>443</v>
      </c>
      <c r="B298" s="6" t="s">
        <v>442</v>
      </c>
      <c r="C298" s="7">
        <v>44991</v>
      </c>
      <c r="D298" s="7">
        <v>45165</v>
      </c>
      <c r="E298" s="8">
        <f t="shared" si="8"/>
        <v>174</v>
      </c>
      <c r="F298" s="7">
        <v>45226</v>
      </c>
      <c r="G298" s="8">
        <f t="shared" si="9"/>
        <v>61</v>
      </c>
      <c r="H298" s="7">
        <v>45226</v>
      </c>
      <c r="I298" s="8">
        <f>IF($H298="", "", 参数!$B$3-$H298)</f>
        <v>798</v>
      </c>
      <c r="J298" s="6" t="s">
        <v>917</v>
      </c>
      <c r="K298" s="9">
        <v>21600</v>
      </c>
      <c r="L298" s="9">
        <v>0</v>
      </c>
    </row>
    <row r="299" spans="1:12" x14ac:dyDescent="0.2">
      <c r="A299" s="6" t="s">
        <v>445</v>
      </c>
      <c r="B299" s="6" t="s">
        <v>442</v>
      </c>
      <c r="C299" s="7">
        <v>44991</v>
      </c>
      <c r="D299" s="7">
        <v>45178</v>
      </c>
      <c r="E299" s="8">
        <f t="shared" si="8"/>
        <v>187</v>
      </c>
      <c r="F299" s="7">
        <v>45226</v>
      </c>
      <c r="G299" s="8">
        <f t="shared" si="9"/>
        <v>48</v>
      </c>
      <c r="H299" s="7">
        <v>45226</v>
      </c>
      <c r="I299" s="8">
        <f>IF($H299="", "", 参数!$B$3-$H299)</f>
        <v>798</v>
      </c>
      <c r="J299" s="6" t="s">
        <v>917</v>
      </c>
      <c r="K299" s="9">
        <v>26800</v>
      </c>
      <c r="L299" s="9">
        <v>0</v>
      </c>
    </row>
    <row r="300" spans="1:12" x14ac:dyDescent="0.2">
      <c r="A300" s="6" t="s">
        <v>153</v>
      </c>
      <c r="B300" s="6" t="s">
        <v>152</v>
      </c>
      <c r="C300" s="7">
        <v>44998</v>
      </c>
      <c r="D300" s="7">
        <v>45002</v>
      </c>
      <c r="E300" s="8">
        <f t="shared" si="8"/>
        <v>4</v>
      </c>
      <c r="F300" s="7">
        <v>45020</v>
      </c>
      <c r="G300" s="8">
        <f t="shared" si="9"/>
        <v>18</v>
      </c>
      <c r="H300" s="7">
        <v>45020</v>
      </c>
      <c r="I300" s="8">
        <f>IF($H300="", "", 参数!$B$3-$H300)</f>
        <v>1004</v>
      </c>
      <c r="J300" s="6" t="s">
        <v>917</v>
      </c>
      <c r="K300" s="9">
        <v>10651.6</v>
      </c>
      <c r="L300" s="9">
        <v>0</v>
      </c>
    </row>
    <row r="301" spans="1:12" x14ac:dyDescent="0.2">
      <c r="A301" s="6" t="s">
        <v>386</v>
      </c>
      <c r="B301" s="6" t="s">
        <v>385</v>
      </c>
      <c r="C301" s="7">
        <v>45008</v>
      </c>
      <c r="D301" s="7">
        <v>45010</v>
      </c>
      <c r="E301" s="8">
        <f t="shared" si="8"/>
        <v>2</v>
      </c>
      <c r="F301" s="7">
        <v>45169</v>
      </c>
      <c r="G301" s="8">
        <f t="shared" si="9"/>
        <v>159</v>
      </c>
      <c r="H301" s="7">
        <v>45169</v>
      </c>
      <c r="I301" s="8">
        <f>IF($H301="", "", 参数!$B$3-$H301)</f>
        <v>855</v>
      </c>
      <c r="J301" s="6" t="s">
        <v>917</v>
      </c>
      <c r="K301" s="9">
        <v>5000</v>
      </c>
      <c r="L301" s="9">
        <v>-72000</v>
      </c>
    </row>
    <row r="302" spans="1:12" x14ac:dyDescent="0.2">
      <c r="A302" s="6" t="s">
        <v>247</v>
      </c>
      <c r="B302" s="6" t="s">
        <v>145</v>
      </c>
      <c r="C302" s="7">
        <v>45019</v>
      </c>
      <c r="D302" s="7">
        <v>45039</v>
      </c>
      <c r="E302" s="8">
        <f t="shared" si="8"/>
        <v>20</v>
      </c>
      <c r="F302" s="7">
        <v>45061</v>
      </c>
      <c r="G302" s="8">
        <f t="shared" si="9"/>
        <v>22</v>
      </c>
      <c r="H302" s="7">
        <v>45061</v>
      </c>
      <c r="I302" s="8">
        <f>IF($H302="", "", 参数!$B$3-$H302)</f>
        <v>963</v>
      </c>
      <c r="J302" s="6" t="s">
        <v>917</v>
      </c>
      <c r="K302" s="9">
        <v>4500</v>
      </c>
      <c r="L302" s="9">
        <v>0</v>
      </c>
    </row>
    <row r="303" spans="1:12" x14ac:dyDescent="0.2">
      <c r="A303" s="6" t="s">
        <v>499</v>
      </c>
      <c r="B303" s="6" t="s">
        <v>417</v>
      </c>
      <c r="C303" s="7">
        <v>45019</v>
      </c>
      <c r="D303" s="7">
        <v>45378</v>
      </c>
      <c r="E303" s="8">
        <f t="shared" si="8"/>
        <v>359</v>
      </c>
      <c r="F303" s="7">
        <v>45273</v>
      </c>
      <c r="G303" s="8">
        <f t="shared" si="9"/>
        <v>-105</v>
      </c>
      <c r="H303" s="7">
        <v>45273</v>
      </c>
      <c r="I303" s="8">
        <f>IF($H303="", "", 参数!$B$3-$H303)</f>
        <v>751</v>
      </c>
      <c r="J303" s="6" t="s">
        <v>917</v>
      </c>
      <c r="K303" s="9">
        <v>58140</v>
      </c>
      <c r="L303" s="9">
        <v>-17628</v>
      </c>
    </row>
    <row r="304" spans="1:12" x14ac:dyDescent="0.2">
      <c r="A304" s="6" t="s">
        <v>531</v>
      </c>
      <c r="B304" s="6" t="s">
        <v>1233</v>
      </c>
      <c r="C304" s="7">
        <v>45022</v>
      </c>
      <c r="D304" s="7">
        <v>45109</v>
      </c>
      <c r="E304" s="8">
        <f t="shared" si="8"/>
        <v>87</v>
      </c>
      <c r="F304" s="7">
        <v>45306</v>
      </c>
      <c r="G304" s="8">
        <f t="shared" si="9"/>
        <v>197</v>
      </c>
      <c r="H304" s="7">
        <v>45306</v>
      </c>
      <c r="I304" s="8">
        <f>IF($H304="", "", 参数!$B$3-$H304)</f>
        <v>718</v>
      </c>
      <c r="J304" s="6" t="s">
        <v>917</v>
      </c>
      <c r="K304" s="9">
        <v>9520</v>
      </c>
      <c r="L304" s="9">
        <v>0</v>
      </c>
    </row>
    <row r="305" spans="1:12" x14ac:dyDescent="0.2">
      <c r="A305" s="6" t="s">
        <v>436</v>
      </c>
      <c r="B305" s="6" t="s">
        <v>201</v>
      </c>
      <c r="C305" s="7">
        <v>45028</v>
      </c>
      <c r="D305" s="7">
        <v>45033</v>
      </c>
      <c r="E305" s="8">
        <f t="shared" si="8"/>
        <v>5</v>
      </c>
      <c r="F305" s="7">
        <v>45217</v>
      </c>
      <c r="G305" s="8">
        <f t="shared" si="9"/>
        <v>184</v>
      </c>
      <c r="H305" s="7">
        <v>45217</v>
      </c>
      <c r="I305" s="8">
        <f>IF($H305="", "", 参数!$B$3-$H305)</f>
        <v>807</v>
      </c>
      <c r="J305" s="6" t="s">
        <v>917</v>
      </c>
      <c r="K305" s="9">
        <v>78000</v>
      </c>
      <c r="L305" s="9">
        <v>42000</v>
      </c>
    </row>
    <row r="306" spans="1:12" x14ac:dyDescent="0.2">
      <c r="A306" s="6" t="s">
        <v>357</v>
      </c>
      <c r="B306" s="6" t="s">
        <v>356</v>
      </c>
      <c r="C306" s="7">
        <v>45030</v>
      </c>
      <c r="D306" s="7">
        <v>45041</v>
      </c>
      <c r="E306" s="8">
        <f t="shared" si="8"/>
        <v>11</v>
      </c>
      <c r="F306" s="7">
        <v>45153</v>
      </c>
      <c r="G306" s="8">
        <f t="shared" si="9"/>
        <v>112</v>
      </c>
      <c r="H306" s="7">
        <v>45153</v>
      </c>
      <c r="I306" s="8">
        <f>IF($H306="", "", 参数!$B$3-$H306)</f>
        <v>871</v>
      </c>
      <c r="J306" s="6" t="s">
        <v>917</v>
      </c>
      <c r="K306" s="9">
        <v>57000</v>
      </c>
      <c r="L306" s="9">
        <v>0</v>
      </c>
    </row>
    <row r="307" spans="1:12" x14ac:dyDescent="0.2">
      <c r="A307" s="6" t="s">
        <v>304</v>
      </c>
      <c r="B307" s="6" t="s">
        <v>303</v>
      </c>
      <c r="C307" s="7">
        <v>45035</v>
      </c>
      <c r="D307" s="7">
        <v>45107</v>
      </c>
      <c r="E307" s="8">
        <f t="shared" si="8"/>
        <v>72</v>
      </c>
      <c r="F307" s="7">
        <v>45105</v>
      </c>
      <c r="G307" s="8">
        <f t="shared" si="9"/>
        <v>-2</v>
      </c>
      <c r="H307" s="7">
        <v>45105</v>
      </c>
      <c r="I307" s="8">
        <f>IF($H307="", "", 参数!$B$3-$H307)</f>
        <v>919</v>
      </c>
      <c r="J307" s="6" t="s">
        <v>917</v>
      </c>
      <c r="K307" s="9">
        <v>28000</v>
      </c>
      <c r="L307" s="9">
        <v>0</v>
      </c>
    </row>
    <row r="308" spans="1:12" x14ac:dyDescent="0.2">
      <c r="A308" s="6" t="s">
        <v>261</v>
      </c>
      <c r="B308" s="6" t="s">
        <v>63</v>
      </c>
      <c r="C308" s="7">
        <v>45041</v>
      </c>
      <c r="D308" s="7">
        <v>45051</v>
      </c>
      <c r="E308" s="8">
        <f t="shared" si="8"/>
        <v>10</v>
      </c>
      <c r="F308" s="7">
        <v>45070</v>
      </c>
      <c r="G308" s="8">
        <f t="shared" si="9"/>
        <v>19</v>
      </c>
      <c r="H308" s="7">
        <v>45070</v>
      </c>
      <c r="I308" s="8">
        <f>IF($H308="", "", 参数!$B$3-$H308)</f>
        <v>954</v>
      </c>
      <c r="J308" s="6" t="s">
        <v>917</v>
      </c>
      <c r="K308" s="9">
        <v>2473.5</v>
      </c>
      <c r="L308" s="9">
        <v>0</v>
      </c>
    </row>
    <row r="309" spans="1:12" x14ac:dyDescent="0.2">
      <c r="A309" s="6" t="s">
        <v>395</v>
      </c>
      <c r="B309" s="6" t="s">
        <v>277</v>
      </c>
      <c r="C309" s="7">
        <v>45041</v>
      </c>
      <c r="D309" s="7">
        <v>45056</v>
      </c>
      <c r="E309" s="8">
        <f t="shared" si="8"/>
        <v>15</v>
      </c>
      <c r="F309" s="7">
        <v>45577</v>
      </c>
      <c r="G309" s="8">
        <f t="shared" si="9"/>
        <v>521</v>
      </c>
      <c r="H309" s="7">
        <v>45577</v>
      </c>
      <c r="I309" s="8">
        <f>IF($H309="", "", 参数!$B$3-$H309)</f>
        <v>447</v>
      </c>
      <c r="J309" s="6" t="s">
        <v>917</v>
      </c>
      <c r="K309" s="9">
        <v>11187</v>
      </c>
      <c r="L309" s="9">
        <v>0</v>
      </c>
    </row>
    <row r="310" spans="1:12" x14ac:dyDescent="0.2">
      <c r="A310" s="6" t="s">
        <v>1234</v>
      </c>
      <c r="B310" s="6" t="s">
        <v>201</v>
      </c>
      <c r="C310" s="7">
        <v>45051</v>
      </c>
      <c r="D310" s="7">
        <v>45058</v>
      </c>
      <c r="E310" s="8">
        <f t="shared" si="8"/>
        <v>7</v>
      </c>
      <c r="F310" s="7"/>
      <c r="G310" s="8" t="str">
        <f t="shared" si="9"/>
        <v/>
      </c>
      <c r="H310" s="7">
        <v>45058</v>
      </c>
      <c r="I310" s="8">
        <f>IF($H310="", "", 参数!$B$3-$H310)</f>
        <v>966</v>
      </c>
      <c r="J310" s="6" t="s">
        <v>917</v>
      </c>
      <c r="K310" s="9">
        <v>50000</v>
      </c>
      <c r="L310" s="9">
        <v>50000</v>
      </c>
    </row>
    <row r="311" spans="1:12" x14ac:dyDescent="0.2">
      <c r="A311" s="6" t="s">
        <v>1235</v>
      </c>
      <c r="B311" s="6" t="s">
        <v>277</v>
      </c>
      <c r="C311" s="7">
        <v>45054</v>
      </c>
      <c r="D311" s="7">
        <v>45056</v>
      </c>
      <c r="E311" s="8">
        <f t="shared" si="8"/>
        <v>2</v>
      </c>
      <c r="F311" s="7"/>
      <c r="G311" s="8" t="str">
        <f t="shared" si="9"/>
        <v/>
      </c>
      <c r="H311" s="7">
        <v>45056</v>
      </c>
      <c r="I311" s="8">
        <f>IF($H311="", "", 参数!$B$3-$H311)</f>
        <v>968</v>
      </c>
      <c r="J311" s="6" t="s">
        <v>917</v>
      </c>
      <c r="K311" s="9">
        <v>18000</v>
      </c>
      <c r="L311" s="9">
        <v>18000</v>
      </c>
    </row>
    <row r="312" spans="1:12" x14ac:dyDescent="0.2">
      <c r="A312" s="6" t="s">
        <v>404</v>
      </c>
      <c r="B312" s="6" t="s">
        <v>403</v>
      </c>
      <c r="C312" s="7">
        <v>45056</v>
      </c>
      <c r="D312" s="7">
        <v>45091</v>
      </c>
      <c r="E312" s="8">
        <f t="shared" si="8"/>
        <v>35</v>
      </c>
      <c r="F312" s="7">
        <v>45188</v>
      </c>
      <c r="G312" s="8">
        <f t="shared" si="9"/>
        <v>97</v>
      </c>
      <c r="H312" s="7">
        <v>45188</v>
      </c>
      <c r="I312" s="8">
        <f>IF($H312="", "", 参数!$B$3-$H312)</f>
        <v>836</v>
      </c>
      <c r="J312" s="6" t="s">
        <v>917</v>
      </c>
      <c r="K312" s="9">
        <v>200</v>
      </c>
      <c r="L312" s="9">
        <v>0</v>
      </c>
    </row>
    <row r="313" spans="1:12" x14ac:dyDescent="0.2">
      <c r="A313" s="6" t="s">
        <v>387</v>
      </c>
      <c r="B313" s="6" t="s">
        <v>145</v>
      </c>
      <c r="C313" s="7">
        <v>45058</v>
      </c>
      <c r="D313" s="7">
        <v>45067</v>
      </c>
      <c r="E313" s="8">
        <f t="shared" si="8"/>
        <v>9</v>
      </c>
      <c r="F313" s="7">
        <v>45273</v>
      </c>
      <c r="G313" s="8">
        <f t="shared" si="9"/>
        <v>206</v>
      </c>
      <c r="H313" s="7">
        <v>45273</v>
      </c>
      <c r="I313" s="8">
        <f>IF($H313="", "", 参数!$B$3-$H313)</f>
        <v>751</v>
      </c>
      <c r="J313" s="6" t="s">
        <v>917</v>
      </c>
      <c r="K313" s="9">
        <v>2150</v>
      </c>
      <c r="L313" s="9">
        <v>0</v>
      </c>
    </row>
    <row r="314" spans="1:12" x14ac:dyDescent="0.2">
      <c r="A314" s="6" t="s">
        <v>418</v>
      </c>
      <c r="B314" s="6" t="s">
        <v>417</v>
      </c>
      <c r="C314" s="7">
        <v>45082</v>
      </c>
      <c r="D314" s="7">
        <v>45175</v>
      </c>
      <c r="E314" s="8">
        <f t="shared" si="8"/>
        <v>93</v>
      </c>
      <c r="F314" s="7">
        <v>45209</v>
      </c>
      <c r="G314" s="8">
        <f t="shared" si="9"/>
        <v>34</v>
      </c>
      <c r="H314" s="7">
        <v>45209</v>
      </c>
      <c r="I314" s="8">
        <f>IF($H314="", "", 参数!$B$3-$H314)</f>
        <v>815</v>
      </c>
      <c r="J314" s="6" t="s">
        <v>917</v>
      </c>
      <c r="K314" s="9">
        <v>27400</v>
      </c>
      <c r="L314" s="9">
        <v>0</v>
      </c>
    </row>
    <row r="315" spans="1:12" x14ac:dyDescent="0.2">
      <c r="A315" s="6" t="s">
        <v>389</v>
      </c>
      <c r="B315" s="6" t="s">
        <v>40</v>
      </c>
      <c r="C315" s="7">
        <v>45086</v>
      </c>
      <c r="D315" s="7">
        <v>45163</v>
      </c>
      <c r="E315" s="8">
        <f t="shared" si="8"/>
        <v>77</v>
      </c>
      <c r="F315" s="7">
        <v>45176</v>
      </c>
      <c r="G315" s="8">
        <f t="shared" si="9"/>
        <v>13</v>
      </c>
      <c r="H315" s="7">
        <v>45176</v>
      </c>
      <c r="I315" s="8">
        <f>IF($H315="", "", 参数!$B$3-$H315)</f>
        <v>848</v>
      </c>
      <c r="J315" s="6" t="s">
        <v>917</v>
      </c>
      <c r="K315" s="9">
        <v>21800</v>
      </c>
      <c r="L315" s="9">
        <v>0</v>
      </c>
    </row>
    <row r="316" spans="1:12" x14ac:dyDescent="0.2">
      <c r="A316" s="6" t="s">
        <v>658</v>
      </c>
      <c r="B316" s="6" t="s">
        <v>109</v>
      </c>
      <c r="C316" s="7">
        <v>45089</v>
      </c>
      <c r="D316" s="7">
        <v>45453</v>
      </c>
      <c r="E316" s="8">
        <f t="shared" si="8"/>
        <v>364</v>
      </c>
      <c r="F316" s="7"/>
      <c r="G316" s="8" t="str">
        <f t="shared" si="9"/>
        <v/>
      </c>
      <c r="H316" s="7">
        <v>45453</v>
      </c>
      <c r="I316" s="8">
        <f>IF($H316="", "", 参数!$B$3-$H316)</f>
        <v>571</v>
      </c>
      <c r="J316" s="6" t="s">
        <v>917</v>
      </c>
      <c r="K316" s="9">
        <v>151764.1</v>
      </c>
      <c r="L316" s="9">
        <v>0</v>
      </c>
    </row>
    <row r="317" spans="1:12" x14ac:dyDescent="0.2">
      <c r="A317" s="6" t="s">
        <v>380</v>
      </c>
      <c r="B317" s="6" t="s">
        <v>379</v>
      </c>
      <c r="C317" s="7">
        <v>45106</v>
      </c>
      <c r="D317" s="7">
        <v>45135</v>
      </c>
      <c r="E317" s="8">
        <f t="shared" si="8"/>
        <v>29</v>
      </c>
      <c r="F317" s="7">
        <v>45164</v>
      </c>
      <c r="G317" s="8">
        <f t="shared" si="9"/>
        <v>29</v>
      </c>
      <c r="H317" s="7">
        <v>45164</v>
      </c>
      <c r="I317" s="8">
        <f>IF($H317="", "", 参数!$B$3-$H317)</f>
        <v>860</v>
      </c>
      <c r="J317" s="6" t="s">
        <v>917</v>
      </c>
      <c r="K317" s="9">
        <v>5000</v>
      </c>
      <c r="L317" s="9">
        <v>0</v>
      </c>
    </row>
    <row r="318" spans="1:12" x14ac:dyDescent="0.2">
      <c r="A318" s="6" t="s">
        <v>359</v>
      </c>
      <c r="B318" s="6" t="s">
        <v>63</v>
      </c>
      <c r="C318" s="7">
        <v>45110</v>
      </c>
      <c r="D318" s="7">
        <v>45120</v>
      </c>
      <c r="E318" s="8">
        <f t="shared" si="8"/>
        <v>10</v>
      </c>
      <c r="F318" s="7">
        <v>45153</v>
      </c>
      <c r="G318" s="8">
        <f t="shared" si="9"/>
        <v>33</v>
      </c>
      <c r="H318" s="7">
        <v>45153</v>
      </c>
      <c r="I318" s="8">
        <f>IF($H318="", "", 参数!$B$3-$H318)</f>
        <v>871</v>
      </c>
      <c r="J318" s="6" t="s">
        <v>917</v>
      </c>
      <c r="K318" s="9">
        <v>65417.5</v>
      </c>
      <c r="L318" s="9">
        <v>0</v>
      </c>
    </row>
    <row r="319" spans="1:12" x14ac:dyDescent="0.2">
      <c r="A319" s="6" t="s">
        <v>368</v>
      </c>
      <c r="B319" s="6" t="s">
        <v>175</v>
      </c>
      <c r="C319" s="7">
        <v>45110</v>
      </c>
      <c r="D319" s="7">
        <v>45119</v>
      </c>
      <c r="E319" s="8">
        <f t="shared" si="8"/>
        <v>9</v>
      </c>
      <c r="F319" s="7">
        <v>45161</v>
      </c>
      <c r="G319" s="8">
        <f t="shared" si="9"/>
        <v>42</v>
      </c>
      <c r="H319" s="7">
        <v>45161</v>
      </c>
      <c r="I319" s="8">
        <f>IF($H319="", "", 参数!$B$3-$H319)</f>
        <v>863</v>
      </c>
      <c r="J319" s="6" t="s">
        <v>917</v>
      </c>
      <c r="K319" s="9">
        <v>2020</v>
      </c>
      <c r="L319" s="9">
        <v>0</v>
      </c>
    </row>
    <row r="320" spans="1:12" x14ac:dyDescent="0.2">
      <c r="A320" s="6" t="s">
        <v>496</v>
      </c>
      <c r="B320" s="6" t="s">
        <v>495</v>
      </c>
      <c r="C320" s="7">
        <v>45116</v>
      </c>
      <c r="D320" s="7">
        <v>45246</v>
      </c>
      <c r="E320" s="8">
        <f t="shared" si="8"/>
        <v>130</v>
      </c>
      <c r="F320" s="7">
        <v>45623</v>
      </c>
      <c r="G320" s="8">
        <f t="shared" si="9"/>
        <v>377</v>
      </c>
      <c r="H320" s="7">
        <v>45623</v>
      </c>
      <c r="I320" s="8">
        <f>IF($H320="", "", 参数!$B$3-$H320)</f>
        <v>401</v>
      </c>
      <c r="J320" s="6" t="s">
        <v>917</v>
      </c>
      <c r="K320" s="9">
        <v>29631.45</v>
      </c>
      <c r="L320" s="9">
        <v>-0.1</v>
      </c>
    </row>
    <row r="321" spans="1:12" x14ac:dyDescent="0.2">
      <c r="A321" s="6" t="s">
        <v>397</v>
      </c>
      <c r="B321" s="6" t="s">
        <v>115</v>
      </c>
      <c r="C321" s="7">
        <v>45135</v>
      </c>
      <c r="D321" s="7">
        <v>45146</v>
      </c>
      <c r="E321" s="8">
        <f t="shared" si="8"/>
        <v>11</v>
      </c>
      <c r="F321" s="7">
        <v>45187</v>
      </c>
      <c r="G321" s="8">
        <f t="shared" si="9"/>
        <v>41</v>
      </c>
      <c r="H321" s="7">
        <v>45187</v>
      </c>
      <c r="I321" s="8">
        <f>IF($H321="", "", 参数!$B$3-$H321)</f>
        <v>837</v>
      </c>
      <c r="J321" s="6" t="s">
        <v>917</v>
      </c>
      <c r="K321" s="9">
        <v>3945.2</v>
      </c>
      <c r="L321" s="9">
        <v>0</v>
      </c>
    </row>
    <row r="322" spans="1:12" x14ac:dyDescent="0.2">
      <c r="A322" s="6" t="s">
        <v>422</v>
      </c>
      <c r="B322" s="6" t="s">
        <v>421</v>
      </c>
      <c r="C322" s="7">
        <v>45136</v>
      </c>
      <c r="D322" s="7">
        <v>45145</v>
      </c>
      <c r="E322" s="8">
        <f t="shared" si="8"/>
        <v>9</v>
      </c>
      <c r="F322" s="7">
        <v>45210</v>
      </c>
      <c r="G322" s="8">
        <f t="shared" si="9"/>
        <v>65</v>
      </c>
      <c r="H322" s="7">
        <v>45210</v>
      </c>
      <c r="I322" s="8">
        <f>IF($H322="", "", 参数!$B$3-$H322)</f>
        <v>814</v>
      </c>
      <c r="J322" s="6" t="s">
        <v>917</v>
      </c>
      <c r="K322" s="9">
        <v>22000</v>
      </c>
      <c r="L322" s="9">
        <v>0</v>
      </c>
    </row>
    <row r="323" spans="1:12" x14ac:dyDescent="0.2">
      <c r="A323" s="6" t="s">
        <v>448</v>
      </c>
      <c r="B323" s="6" t="s">
        <v>900</v>
      </c>
      <c r="C323" s="7">
        <v>45141</v>
      </c>
      <c r="D323" s="7">
        <v>45216</v>
      </c>
      <c r="E323" s="8">
        <f t="shared" ref="E323:E386" si="10">IF(OR($C323="", $D323=""),"", $D323-$C323)</f>
        <v>75</v>
      </c>
      <c r="F323" s="7">
        <v>45229</v>
      </c>
      <c r="G323" s="8">
        <f t="shared" ref="G323:G386" si="11">IF(OR($C323="", $D323="",$F323=""),"", $F323-$D323)</f>
        <v>13</v>
      </c>
      <c r="H323" s="7">
        <v>45229</v>
      </c>
      <c r="I323" s="8">
        <f>IF($H323="", "", 参数!$B$3-$H323)</f>
        <v>795</v>
      </c>
      <c r="J323" s="6" t="s">
        <v>917</v>
      </c>
      <c r="K323" s="9">
        <v>1970.6799999999901</v>
      </c>
      <c r="L323" s="9">
        <v>0</v>
      </c>
    </row>
    <row r="324" spans="1:12" x14ac:dyDescent="0.2">
      <c r="A324" s="6" t="s">
        <v>494</v>
      </c>
      <c r="B324" s="6" t="s">
        <v>141</v>
      </c>
      <c r="C324" s="7">
        <v>45147</v>
      </c>
      <c r="D324" s="7">
        <v>45346</v>
      </c>
      <c r="E324" s="8">
        <f t="shared" si="10"/>
        <v>199</v>
      </c>
      <c r="F324" s="7">
        <v>45506</v>
      </c>
      <c r="G324" s="8">
        <f t="shared" si="11"/>
        <v>160</v>
      </c>
      <c r="H324" s="7">
        <v>45506</v>
      </c>
      <c r="I324" s="8">
        <f>IF($H324="", "", 参数!$B$3-$H324)</f>
        <v>518</v>
      </c>
      <c r="J324" s="6" t="s">
        <v>917</v>
      </c>
      <c r="K324" s="9">
        <v>1064.8039999999901</v>
      </c>
      <c r="L324" s="9">
        <v>0</v>
      </c>
    </row>
    <row r="325" spans="1:12" x14ac:dyDescent="0.2">
      <c r="A325" s="6" t="s">
        <v>1236</v>
      </c>
      <c r="B325" s="6" t="s">
        <v>187</v>
      </c>
      <c r="C325" s="7">
        <v>45165</v>
      </c>
      <c r="D325" s="7">
        <v>45185</v>
      </c>
      <c r="E325" s="8">
        <f t="shared" si="10"/>
        <v>20</v>
      </c>
      <c r="F325" s="7"/>
      <c r="G325" s="8" t="str">
        <f t="shared" si="11"/>
        <v/>
      </c>
      <c r="H325" s="7">
        <v>45185</v>
      </c>
      <c r="I325" s="8">
        <f>IF($H325="", "", 参数!$B$3-$H325)</f>
        <v>839</v>
      </c>
      <c r="J325" s="6" t="s">
        <v>917</v>
      </c>
      <c r="K325" s="9">
        <v>60000</v>
      </c>
      <c r="L325" s="9">
        <v>60000</v>
      </c>
    </row>
    <row r="326" spans="1:12" x14ac:dyDescent="0.2">
      <c r="A326" s="6" t="s">
        <v>424</v>
      </c>
      <c r="B326" s="6" t="s">
        <v>423</v>
      </c>
      <c r="C326" s="7">
        <v>45177</v>
      </c>
      <c r="D326" s="7">
        <v>45358</v>
      </c>
      <c r="E326" s="8">
        <f t="shared" si="10"/>
        <v>181</v>
      </c>
      <c r="F326" s="7">
        <v>45210</v>
      </c>
      <c r="G326" s="8">
        <f t="shared" si="11"/>
        <v>-148</v>
      </c>
      <c r="H326" s="7">
        <v>45210</v>
      </c>
      <c r="I326" s="8">
        <f>IF($H326="", "", 参数!$B$3-$H326)</f>
        <v>814</v>
      </c>
      <c r="J326" s="6" t="s">
        <v>917</v>
      </c>
      <c r="K326" s="9">
        <v>16000</v>
      </c>
      <c r="L326" s="9">
        <v>0</v>
      </c>
    </row>
    <row r="327" spans="1:12" x14ac:dyDescent="0.2">
      <c r="A327" s="6" t="s">
        <v>858</v>
      </c>
      <c r="B327" s="6" t="s">
        <v>211</v>
      </c>
      <c r="C327" s="7">
        <v>45183</v>
      </c>
      <c r="D327" s="7">
        <v>45189</v>
      </c>
      <c r="E327" s="8">
        <f t="shared" si="10"/>
        <v>6</v>
      </c>
      <c r="F327" s="7">
        <v>45428</v>
      </c>
      <c r="G327" s="8">
        <f t="shared" si="11"/>
        <v>239</v>
      </c>
      <c r="H327" s="7">
        <v>45428</v>
      </c>
      <c r="I327" s="8">
        <f>IF($H327="", "", 参数!$B$3-$H327)</f>
        <v>596</v>
      </c>
      <c r="J327" s="6" t="s">
        <v>917</v>
      </c>
      <c r="K327" s="9">
        <v>2000</v>
      </c>
      <c r="L327" s="9">
        <v>0</v>
      </c>
    </row>
    <row r="328" spans="1:12" x14ac:dyDescent="0.2">
      <c r="A328" s="6" t="s">
        <v>692</v>
      </c>
      <c r="B328" s="6" t="s">
        <v>81</v>
      </c>
      <c r="C328" s="7">
        <v>45184</v>
      </c>
      <c r="D328" s="7">
        <v>45256</v>
      </c>
      <c r="E328" s="8">
        <f t="shared" si="10"/>
        <v>72</v>
      </c>
      <c r="F328" s="7">
        <v>45611</v>
      </c>
      <c r="G328" s="8">
        <f t="shared" si="11"/>
        <v>355</v>
      </c>
      <c r="H328" s="7">
        <v>45611</v>
      </c>
      <c r="I328" s="8">
        <f>IF($H328="", "", 参数!$B$3-$H328)</f>
        <v>413</v>
      </c>
      <c r="J328" s="6" t="s">
        <v>917</v>
      </c>
      <c r="K328" s="9">
        <v>962550</v>
      </c>
      <c r="L328" s="9">
        <v>0</v>
      </c>
    </row>
    <row r="329" spans="1:12" x14ac:dyDescent="0.2">
      <c r="A329" s="6" t="s">
        <v>761</v>
      </c>
      <c r="B329" s="6" t="s">
        <v>1237</v>
      </c>
      <c r="C329" s="7">
        <v>45188</v>
      </c>
      <c r="D329" s="7">
        <v>45259</v>
      </c>
      <c r="E329" s="8">
        <f t="shared" si="10"/>
        <v>71</v>
      </c>
      <c r="F329" s="7"/>
      <c r="G329" s="8" t="str">
        <f t="shared" si="11"/>
        <v/>
      </c>
      <c r="H329" s="7">
        <v>45259</v>
      </c>
      <c r="I329" s="8">
        <f>IF($H329="", "", 参数!$B$3-$H329)</f>
        <v>765</v>
      </c>
      <c r="J329" s="6" t="s">
        <v>917</v>
      </c>
      <c r="K329" s="9">
        <v>55730</v>
      </c>
      <c r="L329" s="9">
        <v>0</v>
      </c>
    </row>
    <row r="330" spans="1:12" x14ac:dyDescent="0.2">
      <c r="A330" s="6" t="s">
        <v>498</v>
      </c>
      <c r="B330" s="6" t="s">
        <v>425</v>
      </c>
      <c r="C330" s="7">
        <v>45191</v>
      </c>
      <c r="D330" s="7">
        <v>45273</v>
      </c>
      <c r="E330" s="8">
        <f t="shared" si="10"/>
        <v>82</v>
      </c>
      <c r="F330" s="7">
        <v>45273</v>
      </c>
      <c r="G330" s="8">
        <f t="shared" si="11"/>
        <v>0</v>
      </c>
      <c r="H330" s="7">
        <v>45273</v>
      </c>
      <c r="I330" s="8">
        <f>IF($H330="", "", 参数!$B$3-$H330)</f>
        <v>751</v>
      </c>
      <c r="J330" s="6" t="s">
        <v>917</v>
      </c>
      <c r="K330" s="9">
        <v>1.89999999990687</v>
      </c>
      <c r="L330" s="9">
        <v>0</v>
      </c>
    </row>
    <row r="331" spans="1:12" x14ac:dyDescent="0.2">
      <c r="A331" s="6" t="s">
        <v>508</v>
      </c>
      <c r="B331" s="6" t="s">
        <v>152</v>
      </c>
      <c r="C331" s="7">
        <v>45202</v>
      </c>
      <c r="D331" s="7">
        <v>45207</v>
      </c>
      <c r="E331" s="8">
        <f t="shared" si="10"/>
        <v>5</v>
      </c>
      <c r="F331" s="7">
        <v>45278</v>
      </c>
      <c r="G331" s="8">
        <f t="shared" si="11"/>
        <v>71</v>
      </c>
      <c r="H331" s="7">
        <v>45278</v>
      </c>
      <c r="I331" s="8">
        <f>IF($H331="", "", 参数!$B$3-$H331)</f>
        <v>746</v>
      </c>
      <c r="J331" s="6" t="s">
        <v>917</v>
      </c>
      <c r="K331" s="9">
        <v>4557.134</v>
      </c>
      <c r="L331" s="9">
        <v>0</v>
      </c>
    </row>
    <row r="332" spans="1:12" x14ac:dyDescent="0.2">
      <c r="A332" s="6" t="s">
        <v>1239</v>
      </c>
      <c r="B332" s="6" t="s">
        <v>1238</v>
      </c>
      <c r="C332" s="7">
        <v>45212</v>
      </c>
      <c r="D332" s="7">
        <v>45239</v>
      </c>
      <c r="E332" s="8">
        <f t="shared" si="10"/>
        <v>27</v>
      </c>
      <c r="F332" s="7"/>
      <c r="G332" s="8" t="str">
        <f t="shared" si="11"/>
        <v/>
      </c>
      <c r="H332" s="7">
        <v>45239</v>
      </c>
      <c r="I332" s="8">
        <f>IF($H332="", "", 参数!$B$3-$H332)</f>
        <v>785</v>
      </c>
      <c r="J332" s="6" t="s">
        <v>917</v>
      </c>
      <c r="K332" s="9">
        <v>84000</v>
      </c>
      <c r="L332" s="9">
        <v>37400</v>
      </c>
    </row>
    <row r="333" spans="1:12" x14ac:dyDescent="0.2">
      <c r="A333" s="6" t="s">
        <v>542</v>
      </c>
      <c r="B333" s="6" t="s">
        <v>305</v>
      </c>
      <c r="C333" s="7">
        <v>45213</v>
      </c>
      <c r="D333" s="7">
        <v>45222</v>
      </c>
      <c r="E333" s="8">
        <f t="shared" si="10"/>
        <v>9</v>
      </c>
      <c r="F333" s="7">
        <v>45315</v>
      </c>
      <c r="G333" s="8">
        <f t="shared" si="11"/>
        <v>93</v>
      </c>
      <c r="H333" s="7">
        <v>45315</v>
      </c>
      <c r="I333" s="8">
        <f>IF($H333="", "", 参数!$B$3-$H333)</f>
        <v>709</v>
      </c>
      <c r="J333" s="6" t="s">
        <v>917</v>
      </c>
      <c r="K333" s="9">
        <v>21264.65</v>
      </c>
      <c r="L333" s="9">
        <v>0</v>
      </c>
    </row>
    <row r="334" spans="1:12" x14ac:dyDescent="0.2">
      <c r="A334" s="6" t="s">
        <v>695</v>
      </c>
      <c r="B334" s="6" t="s">
        <v>1240</v>
      </c>
      <c r="C334" s="7">
        <v>45217</v>
      </c>
      <c r="D334" s="7">
        <v>45445</v>
      </c>
      <c r="E334" s="8">
        <f t="shared" si="10"/>
        <v>228</v>
      </c>
      <c r="F334" s="7"/>
      <c r="G334" s="8" t="str">
        <f t="shared" si="11"/>
        <v/>
      </c>
      <c r="H334" s="7">
        <v>45445</v>
      </c>
      <c r="I334" s="8">
        <f>IF($H334="", "", 参数!$B$3-$H334)</f>
        <v>579</v>
      </c>
      <c r="J334" s="6" t="s">
        <v>917</v>
      </c>
      <c r="K334" s="9">
        <v>130000</v>
      </c>
      <c r="L334" s="9">
        <v>25419</v>
      </c>
    </row>
    <row r="335" spans="1:12" x14ac:dyDescent="0.2">
      <c r="A335" s="6" t="s">
        <v>648</v>
      </c>
      <c r="B335" s="6" t="s">
        <v>647</v>
      </c>
      <c r="C335" s="7">
        <v>45222</v>
      </c>
      <c r="D335" s="7">
        <v>45226</v>
      </c>
      <c r="E335" s="8">
        <f t="shared" si="10"/>
        <v>4</v>
      </c>
      <c r="F335" s="7">
        <v>45506</v>
      </c>
      <c r="G335" s="8">
        <f t="shared" si="11"/>
        <v>280</v>
      </c>
      <c r="H335" s="7">
        <v>45506</v>
      </c>
      <c r="I335" s="8">
        <f>IF($H335="", "", 参数!$B$3-$H335)</f>
        <v>518</v>
      </c>
      <c r="J335" s="6" t="s">
        <v>917</v>
      </c>
      <c r="K335" s="9">
        <v>16000</v>
      </c>
      <c r="L335" s="9">
        <v>0</v>
      </c>
    </row>
    <row r="336" spans="1:12" x14ac:dyDescent="0.2">
      <c r="A336" s="6" t="s">
        <v>513</v>
      </c>
      <c r="B336" s="6" t="s">
        <v>512</v>
      </c>
      <c r="C336" s="7">
        <v>45228</v>
      </c>
      <c r="D336" s="7">
        <v>45237</v>
      </c>
      <c r="E336" s="8">
        <f t="shared" si="10"/>
        <v>9</v>
      </c>
      <c r="F336" s="7">
        <v>45280</v>
      </c>
      <c r="G336" s="8">
        <f t="shared" si="11"/>
        <v>43</v>
      </c>
      <c r="H336" s="7">
        <v>45280</v>
      </c>
      <c r="I336" s="8">
        <f>IF($H336="", "", 参数!$B$3-$H336)</f>
        <v>744</v>
      </c>
      <c r="J336" s="6" t="s">
        <v>917</v>
      </c>
      <c r="K336" s="9">
        <v>3650</v>
      </c>
      <c r="L336" s="9">
        <v>0</v>
      </c>
    </row>
    <row r="337" spans="1:12" x14ac:dyDescent="0.2">
      <c r="A337" s="6" t="s">
        <v>491</v>
      </c>
      <c r="B337" s="6" t="s">
        <v>139</v>
      </c>
      <c r="C337" s="7">
        <v>45236</v>
      </c>
      <c r="D337" s="7">
        <v>45265</v>
      </c>
      <c r="E337" s="8">
        <f t="shared" si="10"/>
        <v>29</v>
      </c>
      <c r="F337" s="7">
        <v>45268</v>
      </c>
      <c r="G337" s="8">
        <f t="shared" si="11"/>
        <v>3</v>
      </c>
      <c r="H337" s="7">
        <v>45268</v>
      </c>
      <c r="I337" s="8">
        <f>IF($H337="", "", 参数!$B$3-$H337)</f>
        <v>756</v>
      </c>
      <c r="J337" s="6" t="s">
        <v>917</v>
      </c>
      <c r="K337" s="9">
        <v>5500</v>
      </c>
      <c r="L337" s="9">
        <v>0</v>
      </c>
    </row>
    <row r="338" spans="1:12" x14ac:dyDescent="0.2">
      <c r="A338" s="6" t="s">
        <v>521</v>
      </c>
      <c r="B338" s="6" t="s">
        <v>47</v>
      </c>
      <c r="C338" s="7">
        <v>45247</v>
      </c>
      <c r="D338" s="7">
        <v>45306</v>
      </c>
      <c r="E338" s="8">
        <f t="shared" si="10"/>
        <v>59</v>
      </c>
      <c r="F338" s="7"/>
      <c r="G338" s="8" t="str">
        <f t="shared" si="11"/>
        <v/>
      </c>
      <c r="H338" s="7">
        <v>45306</v>
      </c>
      <c r="I338" s="8">
        <f>IF($H338="", "", 参数!$B$3-$H338)</f>
        <v>718</v>
      </c>
      <c r="J338" s="6" t="s">
        <v>917</v>
      </c>
      <c r="K338" s="9">
        <v>22036</v>
      </c>
      <c r="L338" s="9">
        <v>0</v>
      </c>
    </row>
    <row r="339" spans="1:12" x14ac:dyDescent="0.2">
      <c r="A339" s="6" t="s">
        <v>579</v>
      </c>
      <c r="B339" s="6" t="s">
        <v>122</v>
      </c>
      <c r="C339" s="7">
        <v>45257</v>
      </c>
      <c r="D339" s="7">
        <v>45309</v>
      </c>
      <c r="E339" s="8">
        <f t="shared" si="10"/>
        <v>52</v>
      </c>
      <c r="F339" s="7">
        <v>45373</v>
      </c>
      <c r="G339" s="8">
        <f t="shared" si="11"/>
        <v>64</v>
      </c>
      <c r="H339" s="7">
        <v>45373</v>
      </c>
      <c r="I339" s="8">
        <f>IF($H339="", "", 参数!$B$3-$H339)</f>
        <v>651</v>
      </c>
      <c r="J339" s="6" t="s">
        <v>917</v>
      </c>
      <c r="K339" s="9">
        <v>15573</v>
      </c>
      <c r="L339" s="9">
        <v>0</v>
      </c>
    </row>
    <row r="340" spans="1:12" x14ac:dyDescent="0.2">
      <c r="A340" s="6" t="s">
        <v>767</v>
      </c>
      <c r="B340" s="6" t="s">
        <v>425</v>
      </c>
      <c r="C340" s="7">
        <v>45257</v>
      </c>
      <c r="D340" s="7">
        <v>45833</v>
      </c>
      <c r="E340" s="8">
        <f t="shared" si="10"/>
        <v>576</v>
      </c>
      <c r="F340" s="7"/>
      <c r="G340" s="8" t="str">
        <f t="shared" si="11"/>
        <v/>
      </c>
      <c r="H340" s="7">
        <v>45833</v>
      </c>
      <c r="I340" s="8">
        <f>IF($H340="", "", 参数!$B$3-$H340)</f>
        <v>191</v>
      </c>
      <c r="J340" s="6" t="s">
        <v>1241</v>
      </c>
      <c r="K340" s="9">
        <v>18508.400000000001</v>
      </c>
      <c r="L340" s="9">
        <v>0</v>
      </c>
    </row>
    <row r="341" spans="1:12" x14ac:dyDescent="0.2">
      <c r="A341" s="6" t="s">
        <v>751</v>
      </c>
      <c r="B341" s="6" t="s">
        <v>495</v>
      </c>
      <c r="C341" s="7">
        <v>45265</v>
      </c>
      <c r="D341" s="7"/>
      <c r="E341" s="8" t="str">
        <f t="shared" si="10"/>
        <v/>
      </c>
      <c r="F341" s="7"/>
      <c r="G341" s="8" t="str">
        <f t="shared" si="11"/>
        <v/>
      </c>
      <c r="H341" s="7">
        <v>45265</v>
      </c>
      <c r="I341" s="8">
        <f>IF($H341="", "", 参数!$B$3-$H341)</f>
        <v>759</v>
      </c>
      <c r="J341" s="6" t="s">
        <v>917</v>
      </c>
      <c r="K341" s="9">
        <v>46327</v>
      </c>
      <c r="L341" s="9">
        <v>0</v>
      </c>
    </row>
    <row r="342" spans="1:12" x14ac:dyDescent="0.2">
      <c r="A342" s="6" t="s">
        <v>656</v>
      </c>
      <c r="B342" s="6" t="s">
        <v>425</v>
      </c>
      <c r="C342" s="7">
        <v>45268</v>
      </c>
      <c r="D342" s="7"/>
      <c r="E342" s="8" t="str">
        <f t="shared" si="10"/>
        <v/>
      </c>
      <c r="F342" s="7">
        <v>45559</v>
      </c>
      <c r="G342" s="8" t="str">
        <f t="shared" si="11"/>
        <v/>
      </c>
      <c r="H342" s="7">
        <v>45559</v>
      </c>
      <c r="I342" s="8">
        <f>IF($H342="", "", 参数!$B$3-$H342)</f>
        <v>465</v>
      </c>
      <c r="J342" s="6" t="s">
        <v>917</v>
      </c>
      <c r="K342" s="9">
        <v>22593</v>
      </c>
      <c r="L342" s="9">
        <v>0</v>
      </c>
    </row>
    <row r="343" spans="1:12" x14ac:dyDescent="0.2">
      <c r="A343" s="6" t="s">
        <v>504</v>
      </c>
      <c r="B343" s="6" t="s">
        <v>1242</v>
      </c>
      <c r="C343" s="7">
        <v>45268</v>
      </c>
      <c r="D343" s="7"/>
      <c r="E343" s="8" t="str">
        <f t="shared" si="10"/>
        <v/>
      </c>
      <c r="F343" s="7">
        <v>45274</v>
      </c>
      <c r="G343" s="8" t="str">
        <f t="shared" si="11"/>
        <v/>
      </c>
      <c r="H343" s="7">
        <v>45274</v>
      </c>
      <c r="I343" s="8">
        <f>IF($H343="", "", 参数!$B$3-$H343)</f>
        <v>750</v>
      </c>
      <c r="J343" s="6" t="s">
        <v>917</v>
      </c>
      <c r="K343" s="9">
        <v>5450</v>
      </c>
      <c r="L343" s="9">
        <v>0</v>
      </c>
    </row>
    <row r="344" spans="1:12" x14ac:dyDescent="0.2">
      <c r="A344" s="6" t="s">
        <v>503</v>
      </c>
      <c r="B344" s="6" t="s">
        <v>1242</v>
      </c>
      <c r="C344" s="7">
        <v>45268</v>
      </c>
      <c r="D344" s="7">
        <v>45730</v>
      </c>
      <c r="E344" s="8">
        <f t="shared" si="10"/>
        <v>462</v>
      </c>
      <c r="F344" s="7">
        <v>45274</v>
      </c>
      <c r="G344" s="8">
        <f t="shared" si="11"/>
        <v>-456</v>
      </c>
      <c r="H344" s="7">
        <v>45274</v>
      </c>
      <c r="I344" s="8">
        <f>IF($H344="", "", 参数!$B$3-$H344)</f>
        <v>750</v>
      </c>
      <c r="J344" s="6" t="s">
        <v>917</v>
      </c>
      <c r="K344" s="9">
        <v>4255</v>
      </c>
      <c r="L344" s="9">
        <v>0</v>
      </c>
    </row>
    <row r="345" spans="1:12" x14ac:dyDescent="0.2">
      <c r="A345" s="6" t="s">
        <v>617</v>
      </c>
      <c r="B345" s="6" t="s">
        <v>42</v>
      </c>
      <c r="C345" s="7">
        <v>45268</v>
      </c>
      <c r="D345" s="7">
        <v>45308</v>
      </c>
      <c r="E345" s="8">
        <f t="shared" si="10"/>
        <v>40</v>
      </c>
      <c r="F345" s="7">
        <v>45446</v>
      </c>
      <c r="G345" s="8">
        <f t="shared" si="11"/>
        <v>138</v>
      </c>
      <c r="H345" s="7">
        <v>45446</v>
      </c>
      <c r="I345" s="8">
        <f>IF($H345="", "", 参数!$B$3-$H345)</f>
        <v>578</v>
      </c>
      <c r="J345" s="6" t="s">
        <v>917</v>
      </c>
      <c r="K345" s="9">
        <v>5900</v>
      </c>
      <c r="L345" s="9">
        <v>0</v>
      </c>
    </row>
    <row r="346" spans="1:12" x14ac:dyDescent="0.2">
      <c r="A346" s="6" t="s">
        <v>544</v>
      </c>
      <c r="B346" s="6" t="s">
        <v>145</v>
      </c>
      <c r="C346" s="7">
        <v>45269</v>
      </c>
      <c r="D346" s="7">
        <v>45297</v>
      </c>
      <c r="E346" s="8">
        <f t="shared" si="10"/>
        <v>28</v>
      </c>
      <c r="F346" s="7">
        <v>45317</v>
      </c>
      <c r="G346" s="8">
        <f t="shared" si="11"/>
        <v>20</v>
      </c>
      <c r="H346" s="7">
        <v>45317</v>
      </c>
      <c r="I346" s="8">
        <f>IF($H346="", "", 参数!$B$3-$H346)</f>
        <v>707</v>
      </c>
      <c r="J346" s="6" t="s">
        <v>917</v>
      </c>
      <c r="K346" s="9">
        <v>11895</v>
      </c>
      <c r="L346" s="9">
        <v>11895</v>
      </c>
    </row>
    <row r="347" spans="1:12" x14ac:dyDescent="0.2">
      <c r="A347" s="6" t="s">
        <v>756</v>
      </c>
      <c r="B347" s="6" t="s">
        <v>755</v>
      </c>
      <c r="C347" s="7">
        <v>45282</v>
      </c>
      <c r="D347" s="7">
        <v>45303</v>
      </c>
      <c r="E347" s="8">
        <f t="shared" si="10"/>
        <v>21</v>
      </c>
      <c r="F347" s="7"/>
      <c r="G347" s="8" t="str">
        <f t="shared" si="11"/>
        <v/>
      </c>
      <c r="H347" s="7">
        <v>45303</v>
      </c>
      <c r="I347" s="8">
        <f>IF($H347="", "", 参数!$B$3-$H347)</f>
        <v>721</v>
      </c>
      <c r="J347" s="6" t="s">
        <v>917</v>
      </c>
      <c r="K347" s="9">
        <v>21936</v>
      </c>
      <c r="L347" s="9">
        <v>18000</v>
      </c>
    </row>
    <row r="348" spans="1:12" x14ac:dyDescent="0.2">
      <c r="A348" s="6" t="s">
        <v>586</v>
      </c>
      <c r="B348" s="6" t="s">
        <v>585</v>
      </c>
      <c r="C348" s="7">
        <v>45286</v>
      </c>
      <c r="D348" s="7">
        <v>45293</v>
      </c>
      <c r="E348" s="8">
        <f t="shared" si="10"/>
        <v>7</v>
      </c>
      <c r="F348" s="7">
        <v>45392</v>
      </c>
      <c r="G348" s="8">
        <f t="shared" si="11"/>
        <v>99</v>
      </c>
      <c r="H348" s="7">
        <v>45392</v>
      </c>
      <c r="I348" s="8">
        <f>IF($H348="", "", 参数!$B$3-$H348)</f>
        <v>632</v>
      </c>
      <c r="J348" s="6" t="s">
        <v>917</v>
      </c>
      <c r="K348" s="9">
        <v>4900</v>
      </c>
      <c r="L348" s="9">
        <v>0</v>
      </c>
    </row>
    <row r="349" spans="1:12" x14ac:dyDescent="0.2">
      <c r="A349" s="6" t="s">
        <v>684</v>
      </c>
      <c r="B349" s="6" t="s">
        <v>1243</v>
      </c>
      <c r="C349" s="7">
        <v>45296</v>
      </c>
      <c r="D349" s="7">
        <v>45326</v>
      </c>
      <c r="E349" s="8">
        <f t="shared" si="10"/>
        <v>30</v>
      </c>
      <c r="F349" s="7">
        <v>45582</v>
      </c>
      <c r="G349" s="8">
        <f t="shared" si="11"/>
        <v>256</v>
      </c>
      <c r="H349" s="7">
        <v>45582</v>
      </c>
      <c r="I349" s="8">
        <f>IF($H349="", "", 参数!$B$3-$H349)</f>
        <v>442</v>
      </c>
      <c r="J349" s="6" t="s">
        <v>917</v>
      </c>
      <c r="K349" s="9">
        <v>374223.11</v>
      </c>
      <c r="L349" s="9">
        <v>374223.11</v>
      </c>
    </row>
    <row r="350" spans="1:12" x14ac:dyDescent="0.2">
      <c r="A350" s="6" t="s">
        <v>651</v>
      </c>
      <c r="B350" s="6" t="s">
        <v>425</v>
      </c>
      <c r="C350" s="7">
        <v>45300</v>
      </c>
      <c r="D350" s="7">
        <v>45489</v>
      </c>
      <c r="E350" s="8">
        <f t="shared" si="10"/>
        <v>189</v>
      </c>
      <c r="F350" s="7">
        <v>45516</v>
      </c>
      <c r="G350" s="8">
        <f t="shared" si="11"/>
        <v>27</v>
      </c>
      <c r="H350" s="7">
        <v>45516</v>
      </c>
      <c r="I350" s="8">
        <f>IF($H350="", "", 参数!$B$3-$H350)</f>
        <v>508</v>
      </c>
      <c r="J350" s="6" t="s">
        <v>917</v>
      </c>
      <c r="K350" s="9">
        <v>112136.9</v>
      </c>
      <c r="L350" s="9">
        <v>6041</v>
      </c>
    </row>
    <row r="351" spans="1:12" x14ac:dyDescent="0.2">
      <c r="A351" s="6" t="s">
        <v>599</v>
      </c>
      <c r="B351" s="6" t="s">
        <v>328</v>
      </c>
      <c r="C351" s="7">
        <v>45301</v>
      </c>
      <c r="D351" s="7">
        <v>45354</v>
      </c>
      <c r="E351" s="8">
        <f t="shared" si="10"/>
        <v>53</v>
      </c>
      <c r="F351" s="7">
        <v>45407</v>
      </c>
      <c r="G351" s="8">
        <f t="shared" si="11"/>
        <v>53</v>
      </c>
      <c r="H351" s="7">
        <v>45407</v>
      </c>
      <c r="I351" s="8">
        <f>IF($H351="", "", 参数!$B$3-$H351)</f>
        <v>617</v>
      </c>
      <c r="J351" s="6" t="s">
        <v>917</v>
      </c>
      <c r="K351" s="9">
        <v>29800</v>
      </c>
      <c r="L351" s="9">
        <v>0</v>
      </c>
    </row>
    <row r="352" spans="1:12" x14ac:dyDescent="0.2">
      <c r="A352" s="6" t="s">
        <v>655</v>
      </c>
      <c r="B352" s="6" t="s">
        <v>1200</v>
      </c>
      <c r="C352" s="7">
        <v>45303</v>
      </c>
      <c r="D352" s="7">
        <v>45352</v>
      </c>
      <c r="E352" s="8">
        <f t="shared" si="10"/>
        <v>49</v>
      </c>
      <c r="F352" s="7">
        <v>45520</v>
      </c>
      <c r="G352" s="8">
        <f t="shared" si="11"/>
        <v>168</v>
      </c>
      <c r="H352" s="7">
        <v>45520</v>
      </c>
      <c r="I352" s="8">
        <f>IF($H352="", "", 参数!$B$3-$H352)</f>
        <v>504</v>
      </c>
      <c r="J352" s="6" t="s">
        <v>917</v>
      </c>
      <c r="K352" s="9">
        <v>15573.19</v>
      </c>
      <c r="L352" s="9">
        <v>0</v>
      </c>
    </row>
    <row r="353" spans="1:12" x14ac:dyDescent="0.2">
      <c r="A353" s="6" t="s">
        <v>631</v>
      </c>
      <c r="B353" s="6" t="s">
        <v>425</v>
      </c>
      <c r="C353" s="7">
        <v>45306</v>
      </c>
      <c r="D353" s="7">
        <v>45427</v>
      </c>
      <c r="E353" s="8">
        <f t="shared" si="10"/>
        <v>121</v>
      </c>
      <c r="F353" s="7">
        <v>45496</v>
      </c>
      <c r="G353" s="8">
        <f t="shared" si="11"/>
        <v>69</v>
      </c>
      <c r="H353" s="7">
        <v>45496</v>
      </c>
      <c r="I353" s="8">
        <f>IF($H353="", "", 参数!$B$3-$H353)</f>
        <v>528</v>
      </c>
      <c r="J353" s="6" t="s">
        <v>917</v>
      </c>
      <c r="K353" s="9">
        <v>4179</v>
      </c>
      <c r="L353" s="9">
        <v>0</v>
      </c>
    </row>
    <row r="354" spans="1:12" x14ac:dyDescent="0.2">
      <c r="A354" s="6" t="s">
        <v>732</v>
      </c>
      <c r="B354" s="6" t="s">
        <v>731</v>
      </c>
      <c r="C354" s="7">
        <v>45308</v>
      </c>
      <c r="D354" s="7"/>
      <c r="E354" s="8" t="str">
        <f t="shared" si="10"/>
        <v/>
      </c>
      <c r="F354" s="7"/>
      <c r="G354" s="8" t="str">
        <f t="shared" si="11"/>
        <v/>
      </c>
      <c r="H354" s="7">
        <v>45308</v>
      </c>
      <c r="I354" s="8">
        <f>IF($H354="", "", 参数!$B$3-$H354)</f>
        <v>716</v>
      </c>
      <c r="J354" s="6" t="s">
        <v>917</v>
      </c>
      <c r="K354" s="9">
        <v>22501.799999999901</v>
      </c>
      <c r="L354" s="9">
        <v>0</v>
      </c>
    </row>
    <row r="355" spans="1:12" x14ac:dyDescent="0.2">
      <c r="A355" s="6" t="s">
        <v>633</v>
      </c>
      <c r="B355" s="6" t="s">
        <v>425</v>
      </c>
      <c r="C355" s="7">
        <v>45309</v>
      </c>
      <c r="D355" s="7">
        <v>45427</v>
      </c>
      <c r="E355" s="8">
        <f t="shared" si="10"/>
        <v>118</v>
      </c>
      <c r="F355" s="7">
        <v>45485</v>
      </c>
      <c r="G355" s="8">
        <f t="shared" si="11"/>
        <v>58</v>
      </c>
      <c r="H355" s="7">
        <v>45485</v>
      </c>
      <c r="I355" s="8">
        <f>IF($H355="", "", 参数!$B$3-$H355)</f>
        <v>539</v>
      </c>
      <c r="J355" s="6" t="s">
        <v>917</v>
      </c>
      <c r="K355" s="9">
        <v>2393.8700000000099</v>
      </c>
      <c r="L355" s="9">
        <v>0</v>
      </c>
    </row>
    <row r="356" spans="1:12" x14ac:dyDescent="0.2">
      <c r="A356" s="6" t="s">
        <v>712</v>
      </c>
      <c r="B356" s="6" t="s">
        <v>711</v>
      </c>
      <c r="C356" s="7">
        <v>45309</v>
      </c>
      <c r="D356" s="7"/>
      <c r="E356" s="8" t="str">
        <f t="shared" si="10"/>
        <v/>
      </c>
      <c r="F356" s="7"/>
      <c r="G356" s="8" t="str">
        <f t="shared" si="11"/>
        <v/>
      </c>
      <c r="H356" s="7">
        <v>45309</v>
      </c>
      <c r="I356" s="8">
        <f>IF($H356="", "", 参数!$B$3-$H356)</f>
        <v>715</v>
      </c>
      <c r="J356" s="6" t="s">
        <v>917</v>
      </c>
      <c r="K356" s="9">
        <v>188000</v>
      </c>
      <c r="L356" s="9"/>
    </row>
    <row r="357" spans="1:12" x14ac:dyDescent="0.2">
      <c r="A357" s="6" t="s">
        <v>1244</v>
      </c>
      <c r="B357" s="6" t="s">
        <v>524</v>
      </c>
      <c r="C357" s="7">
        <v>45312</v>
      </c>
      <c r="D357" s="7"/>
      <c r="E357" s="8" t="str">
        <f t="shared" si="10"/>
        <v/>
      </c>
      <c r="F357" s="7"/>
      <c r="G357" s="8" t="str">
        <f t="shared" si="11"/>
        <v/>
      </c>
      <c r="H357" s="7">
        <v>45312</v>
      </c>
      <c r="I357" s="8">
        <f>IF($H357="", "", 参数!$B$3-$H357)</f>
        <v>712</v>
      </c>
      <c r="J357" s="6" t="s">
        <v>917</v>
      </c>
      <c r="K357" s="9">
        <v>42000</v>
      </c>
      <c r="L357" s="9">
        <v>42000</v>
      </c>
    </row>
    <row r="358" spans="1:12" x14ac:dyDescent="0.2">
      <c r="A358" s="6" t="s">
        <v>708</v>
      </c>
      <c r="B358" s="6" t="s">
        <v>425</v>
      </c>
      <c r="C358" s="7">
        <v>45313</v>
      </c>
      <c r="D358" s="7">
        <v>45602</v>
      </c>
      <c r="E358" s="8">
        <f t="shared" si="10"/>
        <v>289</v>
      </c>
      <c r="F358" s="7">
        <v>45655</v>
      </c>
      <c r="G358" s="8">
        <f t="shared" si="11"/>
        <v>53</v>
      </c>
      <c r="H358" s="7">
        <v>45655</v>
      </c>
      <c r="I358" s="8">
        <f>IF($H358="", "", 参数!$B$3-$H358)</f>
        <v>369</v>
      </c>
      <c r="J358" s="6" t="s">
        <v>917</v>
      </c>
      <c r="K358" s="9">
        <v>345934.6</v>
      </c>
      <c r="L358" s="9">
        <v>0</v>
      </c>
    </row>
    <row r="359" spans="1:12" x14ac:dyDescent="0.2">
      <c r="A359" s="6" t="s">
        <v>691</v>
      </c>
      <c r="B359" s="6" t="s">
        <v>425</v>
      </c>
      <c r="C359" s="7">
        <v>45320</v>
      </c>
      <c r="D359" s="7">
        <v>45559</v>
      </c>
      <c r="E359" s="8">
        <f t="shared" si="10"/>
        <v>239</v>
      </c>
      <c r="F359" s="7">
        <v>45609</v>
      </c>
      <c r="G359" s="8">
        <f t="shared" si="11"/>
        <v>50</v>
      </c>
      <c r="H359" s="7">
        <v>45609</v>
      </c>
      <c r="I359" s="8">
        <f>IF($H359="", "", 参数!$B$3-$H359)</f>
        <v>415</v>
      </c>
      <c r="J359" s="6" t="s">
        <v>917</v>
      </c>
      <c r="K359" s="9">
        <v>50</v>
      </c>
      <c r="L359" s="9">
        <v>0</v>
      </c>
    </row>
    <row r="360" spans="1:12" x14ac:dyDescent="0.2">
      <c r="A360" s="6" t="s">
        <v>672</v>
      </c>
      <c r="B360" s="6" t="s">
        <v>425</v>
      </c>
      <c r="C360" s="7">
        <v>45321</v>
      </c>
      <c r="D360" s="7">
        <v>45526</v>
      </c>
      <c r="E360" s="8">
        <f t="shared" si="10"/>
        <v>205</v>
      </c>
      <c r="F360" s="7">
        <v>45589</v>
      </c>
      <c r="G360" s="8">
        <f t="shared" si="11"/>
        <v>63</v>
      </c>
      <c r="H360" s="7">
        <v>45589</v>
      </c>
      <c r="I360" s="8">
        <f>IF($H360="", "", 参数!$B$3-$H360)</f>
        <v>435</v>
      </c>
      <c r="J360" s="6" t="s">
        <v>917</v>
      </c>
      <c r="K360" s="9">
        <v>141.80000000004699</v>
      </c>
      <c r="L360" s="9">
        <v>0</v>
      </c>
    </row>
    <row r="361" spans="1:12" x14ac:dyDescent="0.2">
      <c r="A361" s="6" t="s">
        <v>571</v>
      </c>
      <c r="B361" s="6" t="s">
        <v>569</v>
      </c>
      <c r="C361" s="7">
        <v>45321</v>
      </c>
      <c r="D361" s="7">
        <v>45386</v>
      </c>
      <c r="E361" s="8">
        <f t="shared" si="10"/>
        <v>65</v>
      </c>
      <c r="F361" s="7">
        <v>45372</v>
      </c>
      <c r="G361" s="8">
        <f t="shared" si="11"/>
        <v>-14</v>
      </c>
      <c r="H361" s="7">
        <v>45372</v>
      </c>
      <c r="I361" s="8">
        <f>IF($H361="", "", 参数!$B$3-$H361)</f>
        <v>652</v>
      </c>
      <c r="J361" s="6" t="s">
        <v>917</v>
      </c>
      <c r="K361" s="9">
        <v>34844</v>
      </c>
      <c r="L361" s="9">
        <v>0</v>
      </c>
    </row>
    <row r="362" spans="1:12" x14ac:dyDescent="0.2">
      <c r="A362" s="6" t="s">
        <v>1245</v>
      </c>
      <c r="B362" s="6" t="s">
        <v>29</v>
      </c>
      <c r="C362" s="7">
        <v>45323</v>
      </c>
      <c r="D362" s="7"/>
      <c r="E362" s="8" t="str">
        <f t="shared" si="10"/>
        <v/>
      </c>
      <c r="F362" s="7"/>
      <c r="G362" s="8" t="str">
        <f t="shared" si="11"/>
        <v/>
      </c>
      <c r="H362" s="7">
        <v>45323</v>
      </c>
      <c r="I362" s="8">
        <f>IF($H362="", "", 参数!$B$3-$H362)</f>
        <v>701</v>
      </c>
      <c r="J362" s="6" t="s">
        <v>917</v>
      </c>
      <c r="K362" s="9">
        <v>48000</v>
      </c>
      <c r="L362" s="9">
        <v>0</v>
      </c>
    </row>
    <row r="363" spans="1:12" x14ac:dyDescent="0.2">
      <c r="A363" s="6" t="s">
        <v>584</v>
      </c>
      <c r="B363" s="6" t="s">
        <v>52</v>
      </c>
      <c r="C363" s="7">
        <v>45337</v>
      </c>
      <c r="D363" s="7">
        <v>45370</v>
      </c>
      <c r="E363" s="8">
        <f t="shared" si="10"/>
        <v>33</v>
      </c>
      <c r="F363" s="7">
        <v>45392</v>
      </c>
      <c r="G363" s="8">
        <f t="shared" si="11"/>
        <v>22</v>
      </c>
      <c r="H363" s="7">
        <v>45392</v>
      </c>
      <c r="I363" s="8">
        <f>IF($H363="", "", 参数!$B$3-$H363)</f>
        <v>632</v>
      </c>
      <c r="J363" s="6" t="s">
        <v>917</v>
      </c>
      <c r="K363" s="9">
        <v>18500</v>
      </c>
      <c r="L363" s="9">
        <v>0</v>
      </c>
    </row>
    <row r="364" spans="1:12" x14ac:dyDescent="0.2">
      <c r="A364" s="6" t="s">
        <v>622</v>
      </c>
      <c r="B364" s="6" t="s">
        <v>47</v>
      </c>
      <c r="C364" s="7">
        <v>45340</v>
      </c>
      <c r="D364" s="7">
        <v>45490</v>
      </c>
      <c r="E364" s="8">
        <f t="shared" si="10"/>
        <v>150</v>
      </c>
      <c r="F364" s="7">
        <v>45460</v>
      </c>
      <c r="G364" s="8">
        <f t="shared" si="11"/>
        <v>-30</v>
      </c>
      <c r="H364" s="7">
        <v>45460</v>
      </c>
      <c r="I364" s="8">
        <f>IF($H364="", "", 参数!$B$3-$H364)</f>
        <v>564</v>
      </c>
      <c r="J364" s="6" t="s">
        <v>917</v>
      </c>
      <c r="K364" s="9">
        <v>243000</v>
      </c>
      <c r="L364" s="9">
        <v>243000</v>
      </c>
    </row>
    <row r="365" spans="1:12" x14ac:dyDescent="0.2">
      <c r="A365" s="6" t="s">
        <v>630</v>
      </c>
      <c r="B365" s="6" t="s">
        <v>425</v>
      </c>
      <c r="C365" s="7">
        <v>45342</v>
      </c>
      <c r="D365" s="7">
        <v>45437</v>
      </c>
      <c r="E365" s="8">
        <f t="shared" si="10"/>
        <v>95</v>
      </c>
      <c r="F365" s="7">
        <v>45482</v>
      </c>
      <c r="G365" s="8">
        <f t="shared" si="11"/>
        <v>45</v>
      </c>
      <c r="H365" s="7">
        <v>45482</v>
      </c>
      <c r="I365" s="8">
        <f>IF($H365="", "", 参数!$B$3-$H365)</f>
        <v>542</v>
      </c>
      <c r="J365" s="6" t="s">
        <v>917</v>
      </c>
      <c r="K365" s="9">
        <v>38373.699999999997</v>
      </c>
      <c r="L365" s="9">
        <v>0</v>
      </c>
    </row>
    <row r="366" spans="1:12" x14ac:dyDescent="0.2">
      <c r="A366" s="6" t="s">
        <v>636</v>
      </c>
      <c r="B366" s="6" t="s">
        <v>425</v>
      </c>
      <c r="C366" s="7">
        <v>45351</v>
      </c>
      <c r="D366" s="7">
        <v>45482</v>
      </c>
      <c r="E366" s="8">
        <f t="shared" si="10"/>
        <v>131</v>
      </c>
      <c r="F366" s="7">
        <v>45485</v>
      </c>
      <c r="G366" s="8">
        <f t="shared" si="11"/>
        <v>3</v>
      </c>
      <c r="H366" s="7">
        <v>45485</v>
      </c>
      <c r="I366" s="8">
        <f>IF($H366="", "", 参数!$B$3-$H366)</f>
        <v>539</v>
      </c>
      <c r="J366" s="6" t="s">
        <v>917</v>
      </c>
      <c r="K366" s="9">
        <v>50851.5</v>
      </c>
      <c r="L366" s="9">
        <v>0</v>
      </c>
    </row>
    <row r="367" spans="1:12" x14ac:dyDescent="0.2">
      <c r="A367" s="6" t="s">
        <v>590</v>
      </c>
      <c r="B367" s="6" t="s">
        <v>589</v>
      </c>
      <c r="C367" s="7">
        <v>45351</v>
      </c>
      <c r="D367" s="7">
        <v>45359</v>
      </c>
      <c r="E367" s="8">
        <f t="shared" si="10"/>
        <v>8</v>
      </c>
      <c r="F367" s="7">
        <v>45394</v>
      </c>
      <c r="G367" s="8">
        <f t="shared" si="11"/>
        <v>35</v>
      </c>
      <c r="H367" s="7">
        <v>45394</v>
      </c>
      <c r="I367" s="8">
        <f>IF($H367="", "", 参数!$B$3-$H367)</f>
        <v>630</v>
      </c>
      <c r="J367" s="6" t="s">
        <v>917</v>
      </c>
      <c r="K367" s="9">
        <v>38000</v>
      </c>
      <c r="L367" s="9">
        <v>0</v>
      </c>
    </row>
    <row r="368" spans="1:12" x14ac:dyDescent="0.2">
      <c r="A368" s="6" t="s">
        <v>642</v>
      </c>
      <c r="B368" s="6" t="s">
        <v>425</v>
      </c>
      <c r="C368" s="7">
        <v>45364</v>
      </c>
      <c r="D368" s="7">
        <v>45497</v>
      </c>
      <c r="E368" s="8">
        <f t="shared" si="10"/>
        <v>133</v>
      </c>
      <c r="F368" s="7"/>
      <c r="G368" s="8" t="str">
        <f t="shared" si="11"/>
        <v/>
      </c>
      <c r="H368" s="7">
        <v>45497</v>
      </c>
      <c r="I368" s="8">
        <f>IF($H368="", "", 参数!$B$3-$H368)</f>
        <v>527</v>
      </c>
      <c r="J368" s="6" t="s">
        <v>917</v>
      </c>
      <c r="K368" s="9">
        <v>181816</v>
      </c>
      <c r="L368" s="9">
        <v>0</v>
      </c>
    </row>
    <row r="369" spans="1:12" x14ac:dyDescent="0.2">
      <c r="A369" s="6" t="s">
        <v>615</v>
      </c>
      <c r="B369" s="6" t="s">
        <v>217</v>
      </c>
      <c r="C369" s="7">
        <v>45377</v>
      </c>
      <c r="D369" s="7">
        <v>45383</v>
      </c>
      <c r="E369" s="8">
        <f t="shared" si="10"/>
        <v>6</v>
      </c>
      <c r="F369" s="7">
        <v>45442</v>
      </c>
      <c r="G369" s="8">
        <f t="shared" si="11"/>
        <v>59</v>
      </c>
      <c r="H369" s="7">
        <v>45442</v>
      </c>
      <c r="I369" s="8">
        <f>IF($H369="", "", 参数!$B$3-$H369)</f>
        <v>582</v>
      </c>
      <c r="J369" s="6" t="s">
        <v>917</v>
      </c>
      <c r="K369" s="9">
        <v>5424</v>
      </c>
      <c r="L369" s="9">
        <v>0</v>
      </c>
    </row>
    <row r="370" spans="1:12" x14ac:dyDescent="0.2">
      <c r="A370" s="6" t="s">
        <v>674</v>
      </c>
      <c r="B370" s="6" t="s">
        <v>673</v>
      </c>
      <c r="C370" s="7">
        <v>45379</v>
      </c>
      <c r="D370" s="7">
        <v>45527</v>
      </c>
      <c r="E370" s="8">
        <f t="shared" si="10"/>
        <v>148</v>
      </c>
      <c r="F370" s="7">
        <v>45562</v>
      </c>
      <c r="G370" s="8">
        <f t="shared" si="11"/>
        <v>35</v>
      </c>
      <c r="H370" s="7">
        <v>45562</v>
      </c>
      <c r="I370" s="8">
        <f>IF($H370="", "", 参数!$B$3-$H370)</f>
        <v>462</v>
      </c>
      <c r="J370" s="6" t="s">
        <v>917</v>
      </c>
      <c r="K370" s="9">
        <v>300000</v>
      </c>
      <c r="L370" s="9"/>
    </row>
    <row r="371" spans="1:12" x14ac:dyDescent="0.2">
      <c r="A371" s="6" t="s">
        <v>640</v>
      </c>
      <c r="B371" s="6" t="s">
        <v>425</v>
      </c>
      <c r="C371" s="7">
        <v>45390</v>
      </c>
      <c r="D371" s="7"/>
      <c r="E371" s="8" t="str">
        <f t="shared" si="10"/>
        <v/>
      </c>
      <c r="F371" s="7">
        <v>45600</v>
      </c>
      <c r="G371" s="8" t="str">
        <f t="shared" si="11"/>
        <v/>
      </c>
      <c r="H371" s="7">
        <v>45600</v>
      </c>
      <c r="I371" s="8">
        <f>IF($H371="", "", 参数!$B$3-$H371)</f>
        <v>424</v>
      </c>
      <c r="J371" s="6" t="s">
        <v>917</v>
      </c>
      <c r="K371" s="9">
        <v>43484.259999999798</v>
      </c>
      <c r="L371" s="9"/>
    </row>
    <row r="372" spans="1:12" x14ac:dyDescent="0.2">
      <c r="A372" s="6" t="s">
        <v>1246</v>
      </c>
      <c r="B372" s="6" t="s">
        <v>201</v>
      </c>
      <c r="C372" s="7">
        <v>45407</v>
      </c>
      <c r="D372" s="7">
        <v>45434</v>
      </c>
      <c r="E372" s="8">
        <f t="shared" si="10"/>
        <v>27</v>
      </c>
      <c r="F372" s="7"/>
      <c r="G372" s="8" t="str">
        <f t="shared" si="11"/>
        <v/>
      </c>
      <c r="H372" s="7">
        <v>45434</v>
      </c>
      <c r="I372" s="8">
        <f>IF($H372="", "", 参数!$B$3-$H372)</f>
        <v>590</v>
      </c>
      <c r="J372" s="6" t="s">
        <v>917</v>
      </c>
      <c r="K372" s="9">
        <v>33900</v>
      </c>
      <c r="L372" s="9">
        <v>33900</v>
      </c>
    </row>
    <row r="373" spans="1:12" x14ac:dyDescent="0.2">
      <c r="A373" s="6" t="s">
        <v>627</v>
      </c>
      <c r="B373" s="6" t="s">
        <v>109</v>
      </c>
      <c r="C373" s="7">
        <v>45412</v>
      </c>
      <c r="D373" s="7">
        <v>45412</v>
      </c>
      <c r="E373" s="8">
        <f t="shared" si="10"/>
        <v>0</v>
      </c>
      <c r="F373" s="7">
        <v>45474</v>
      </c>
      <c r="G373" s="8">
        <f t="shared" si="11"/>
        <v>62</v>
      </c>
      <c r="H373" s="7">
        <v>45474</v>
      </c>
      <c r="I373" s="8">
        <f>IF($H373="", "", 参数!$B$3-$H373)</f>
        <v>550</v>
      </c>
      <c r="J373" s="6" t="s">
        <v>917</v>
      </c>
      <c r="K373" s="9">
        <v>3250</v>
      </c>
      <c r="L373" s="9">
        <v>0</v>
      </c>
    </row>
    <row r="374" spans="1:12" x14ac:dyDescent="0.2">
      <c r="A374" s="6" t="s">
        <v>701</v>
      </c>
      <c r="B374" s="6" t="s">
        <v>417</v>
      </c>
      <c r="C374" s="7">
        <v>45419</v>
      </c>
      <c r="D374" s="7">
        <v>45428</v>
      </c>
      <c r="E374" s="8">
        <f t="shared" si="10"/>
        <v>9</v>
      </c>
      <c r="F374" s="7"/>
      <c r="G374" s="8" t="str">
        <f t="shared" si="11"/>
        <v/>
      </c>
      <c r="H374" s="7">
        <v>45428</v>
      </c>
      <c r="I374" s="8">
        <f>IF($H374="", "", 参数!$B$3-$H374)</f>
        <v>596</v>
      </c>
      <c r="J374" s="6" t="s">
        <v>917</v>
      </c>
      <c r="K374" s="9">
        <v>1323500</v>
      </c>
      <c r="L374" s="9">
        <v>-1031600.51</v>
      </c>
    </row>
    <row r="375" spans="1:12" x14ac:dyDescent="0.2">
      <c r="A375" s="6" t="s">
        <v>639</v>
      </c>
      <c r="B375" s="6" t="s">
        <v>425</v>
      </c>
      <c r="C375" s="7">
        <v>45420</v>
      </c>
      <c r="D375" s="7">
        <v>45427</v>
      </c>
      <c r="E375" s="8">
        <f t="shared" si="10"/>
        <v>7</v>
      </c>
      <c r="F375" s="7">
        <v>45495</v>
      </c>
      <c r="G375" s="8">
        <f t="shared" si="11"/>
        <v>68</v>
      </c>
      <c r="H375" s="7">
        <v>45495</v>
      </c>
      <c r="I375" s="8">
        <f>IF($H375="", "", 参数!$B$3-$H375)</f>
        <v>529</v>
      </c>
      <c r="J375" s="6" t="s">
        <v>917</v>
      </c>
      <c r="K375" s="9">
        <v>21822.400000000001</v>
      </c>
      <c r="L375" s="9"/>
    </row>
    <row r="376" spans="1:12" x14ac:dyDescent="0.2">
      <c r="A376" s="6" t="s">
        <v>700</v>
      </c>
      <c r="B376" s="6" t="s">
        <v>417</v>
      </c>
      <c r="C376" s="7">
        <v>45436</v>
      </c>
      <c r="D376" s="7"/>
      <c r="E376" s="8" t="str">
        <f t="shared" si="10"/>
        <v/>
      </c>
      <c r="F376" s="7">
        <v>45636</v>
      </c>
      <c r="G376" s="8" t="str">
        <f t="shared" si="11"/>
        <v/>
      </c>
      <c r="H376" s="7">
        <v>45636</v>
      </c>
      <c r="I376" s="8">
        <f>IF($H376="", "", 参数!$B$3-$H376)</f>
        <v>388</v>
      </c>
      <c r="J376" s="6" t="s">
        <v>917</v>
      </c>
      <c r="K376" s="9">
        <v>874000</v>
      </c>
      <c r="L376" s="9"/>
    </row>
    <row r="377" spans="1:12" x14ac:dyDescent="0.2">
      <c r="A377" s="6" t="s">
        <v>843</v>
      </c>
      <c r="B377" s="6" t="s">
        <v>637</v>
      </c>
      <c r="C377" s="7">
        <v>45447</v>
      </c>
      <c r="D377" s="7">
        <v>45472</v>
      </c>
      <c r="E377" s="8">
        <f t="shared" si="10"/>
        <v>25</v>
      </c>
      <c r="F377" s="7"/>
      <c r="G377" s="8" t="str">
        <f t="shared" si="11"/>
        <v/>
      </c>
      <c r="H377" s="7">
        <v>45472</v>
      </c>
      <c r="I377" s="8">
        <f>IF($H377="", "", 参数!$B$3-$H377)</f>
        <v>552</v>
      </c>
      <c r="J377" s="6" t="s">
        <v>917</v>
      </c>
      <c r="K377" s="9">
        <v>320000</v>
      </c>
      <c r="L377" s="9">
        <v>0</v>
      </c>
    </row>
    <row r="378" spans="1:12" x14ac:dyDescent="0.2">
      <c r="A378" s="6" t="s">
        <v>862</v>
      </c>
      <c r="B378" s="6" t="s">
        <v>94</v>
      </c>
      <c r="C378" s="7">
        <v>45454</v>
      </c>
      <c r="D378" s="7">
        <v>45462</v>
      </c>
      <c r="E378" s="8">
        <f t="shared" si="10"/>
        <v>8</v>
      </c>
      <c r="F378" s="7">
        <v>45477</v>
      </c>
      <c r="G378" s="8">
        <f t="shared" si="11"/>
        <v>15</v>
      </c>
      <c r="H378" s="7">
        <v>45477</v>
      </c>
      <c r="I378" s="8">
        <f>IF($H378="", "", 参数!$B$3-$H378)</f>
        <v>547</v>
      </c>
      <c r="J378" s="6" t="s">
        <v>917</v>
      </c>
      <c r="K378" s="9">
        <v>1850</v>
      </c>
      <c r="L378" s="9">
        <v>0</v>
      </c>
    </row>
    <row r="379" spans="1:12" x14ac:dyDescent="0.2">
      <c r="A379" s="6" t="s">
        <v>824</v>
      </c>
      <c r="B379" s="6" t="s">
        <v>463</v>
      </c>
      <c r="C379" s="7">
        <v>45464</v>
      </c>
      <c r="D379" s="7"/>
      <c r="E379" s="8" t="str">
        <f t="shared" si="10"/>
        <v/>
      </c>
      <c r="F379" s="7"/>
      <c r="G379" s="8" t="str">
        <f t="shared" si="11"/>
        <v/>
      </c>
      <c r="H379" s="7">
        <v>45464</v>
      </c>
      <c r="I379" s="8">
        <f>IF($H379="", "", 参数!$B$3-$H379)</f>
        <v>560</v>
      </c>
      <c r="J379" s="6" t="s">
        <v>917</v>
      </c>
      <c r="K379" s="9">
        <v>10500</v>
      </c>
      <c r="L379" s="9">
        <v>0</v>
      </c>
    </row>
    <row r="380" spans="1:12" x14ac:dyDescent="0.2">
      <c r="A380" s="6" t="s">
        <v>709</v>
      </c>
      <c r="B380" s="6" t="s">
        <v>425</v>
      </c>
      <c r="C380" s="7">
        <v>45468</v>
      </c>
      <c r="D380" s="7">
        <v>45636</v>
      </c>
      <c r="E380" s="8">
        <f t="shared" si="10"/>
        <v>168</v>
      </c>
      <c r="F380" s="7"/>
      <c r="G380" s="8" t="str">
        <f t="shared" si="11"/>
        <v/>
      </c>
      <c r="H380" s="7">
        <v>45636</v>
      </c>
      <c r="I380" s="8">
        <f>IF($H380="", "", 参数!$B$3-$H380)</f>
        <v>388</v>
      </c>
      <c r="J380" s="6" t="s">
        <v>917</v>
      </c>
      <c r="K380" s="9">
        <v>37</v>
      </c>
      <c r="L380" s="9">
        <v>0</v>
      </c>
    </row>
    <row r="381" spans="1:12" x14ac:dyDescent="0.2">
      <c r="A381" s="6" t="s">
        <v>839</v>
      </c>
      <c r="B381" s="6" t="s">
        <v>1237</v>
      </c>
      <c r="C381" s="7">
        <v>45474</v>
      </c>
      <c r="D381" s="7"/>
      <c r="E381" s="8" t="str">
        <f t="shared" si="10"/>
        <v/>
      </c>
      <c r="F381" s="7"/>
      <c r="G381" s="8" t="str">
        <f t="shared" si="11"/>
        <v/>
      </c>
      <c r="H381" s="7">
        <v>45474</v>
      </c>
      <c r="I381" s="8">
        <f>IF($H381="", "", 参数!$B$3-$H381)</f>
        <v>550</v>
      </c>
      <c r="J381" s="6" t="s">
        <v>917</v>
      </c>
      <c r="K381" s="9">
        <v>477000</v>
      </c>
      <c r="L381" s="9">
        <v>0</v>
      </c>
    </row>
    <row r="382" spans="1:12" x14ac:dyDescent="0.2">
      <c r="A382" s="6" t="s">
        <v>669</v>
      </c>
      <c r="B382" s="6" t="s">
        <v>1247</v>
      </c>
      <c r="C382" s="7">
        <v>45478</v>
      </c>
      <c r="D382" s="7">
        <v>45502</v>
      </c>
      <c r="E382" s="8">
        <f t="shared" si="10"/>
        <v>24</v>
      </c>
      <c r="F382" s="7">
        <v>45545</v>
      </c>
      <c r="G382" s="8">
        <f t="shared" si="11"/>
        <v>43</v>
      </c>
      <c r="H382" s="7">
        <v>45545</v>
      </c>
      <c r="I382" s="8">
        <f>IF($H382="", "", 参数!$B$3-$H382)</f>
        <v>479</v>
      </c>
      <c r="J382" s="6" t="s">
        <v>917</v>
      </c>
      <c r="K382" s="9">
        <v>7310.3999999999896</v>
      </c>
      <c r="L382" s="9">
        <v>0</v>
      </c>
    </row>
    <row r="383" spans="1:12" x14ac:dyDescent="0.2">
      <c r="A383" s="6" t="s">
        <v>667</v>
      </c>
      <c r="B383" s="6" t="s">
        <v>109</v>
      </c>
      <c r="C383" s="7">
        <v>45481</v>
      </c>
      <c r="D383" s="7">
        <v>45500</v>
      </c>
      <c r="E383" s="8">
        <f t="shared" si="10"/>
        <v>19</v>
      </c>
      <c r="F383" s="7">
        <v>45546</v>
      </c>
      <c r="G383" s="8">
        <f t="shared" si="11"/>
        <v>46</v>
      </c>
      <c r="H383" s="7">
        <v>45546</v>
      </c>
      <c r="I383" s="8">
        <f>IF($H383="", "", 参数!$B$3-$H383)</f>
        <v>478</v>
      </c>
      <c r="J383" s="6" t="s">
        <v>917</v>
      </c>
      <c r="K383" s="9">
        <v>4246.1000000000104</v>
      </c>
      <c r="L383" s="9">
        <v>0</v>
      </c>
    </row>
    <row r="384" spans="1:12" x14ac:dyDescent="0.2">
      <c r="A384" s="6" t="s">
        <v>754</v>
      </c>
      <c r="B384" s="6" t="s">
        <v>753</v>
      </c>
      <c r="C384" s="7">
        <v>45481</v>
      </c>
      <c r="D384" s="7">
        <v>45626</v>
      </c>
      <c r="E384" s="8">
        <f t="shared" si="10"/>
        <v>145</v>
      </c>
      <c r="F384" s="7"/>
      <c r="G384" s="8" t="str">
        <f t="shared" si="11"/>
        <v/>
      </c>
      <c r="H384" s="7">
        <v>45626</v>
      </c>
      <c r="I384" s="8">
        <f>IF($H384="", "", 参数!$B$3-$H384)</f>
        <v>398</v>
      </c>
      <c r="J384" s="6" t="s">
        <v>917</v>
      </c>
      <c r="K384" s="9">
        <v>18000</v>
      </c>
      <c r="L384" s="9">
        <v>0</v>
      </c>
    </row>
    <row r="385" spans="1:12" x14ac:dyDescent="0.2">
      <c r="A385" s="6" t="s">
        <v>881</v>
      </c>
      <c r="B385" s="6" t="s">
        <v>334</v>
      </c>
      <c r="C385" s="7">
        <v>45502</v>
      </c>
      <c r="D385" s="7">
        <v>45541</v>
      </c>
      <c r="E385" s="8">
        <f t="shared" si="10"/>
        <v>39</v>
      </c>
      <c r="F385" s="7">
        <v>45540</v>
      </c>
      <c r="G385" s="8">
        <f t="shared" si="11"/>
        <v>-1</v>
      </c>
      <c r="H385" s="7">
        <v>45540</v>
      </c>
      <c r="I385" s="8">
        <f>IF($H385="", "", 参数!$B$3-$H385)</f>
        <v>484</v>
      </c>
      <c r="J385" s="6" t="s">
        <v>917</v>
      </c>
      <c r="K385" s="9">
        <v>9100</v>
      </c>
      <c r="L385" s="9">
        <v>0</v>
      </c>
    </row>
    <row r="386" spans="1:12" x14ac:dyDescent="0.2">
      <c r="A386" s="6" t="s">
        <v>729</v>
      </c>
      <c r="B386" s="6" t="s">
        <v>308</v>
      </c>
      <c r="C386" s="7">
        <v>45502</v>
      </c>
      <c r="D386" s="7"/>
      <c r="E386" s="8" t="str">
        <f t="shared" si="10"/>
        <v/>
      </c>
      <c r="F386" s="7"/>
      <c r="G386" s="8" t="str">
        <f t="shared" si="11"/>
        <v/>
      </c>
      <c r="H386" s="7">
        <v>45502</v>
      </c>
      <c r="I386" s="8">
        <f>IF($H386="", "", 参数!$B$3-$H386)</f>
        <v>522</v>
      </c>
      <c r="J386" s="6" t="s">
        <v>917</v>
      </c>
      <c r="K386" s="9">
        <v>4900</v>
      </c>
      <c r="L386" s="9">
        <v>0</v>
      </c>
    </row>
    <row r="387" spans="1:12" x14ac:dyDescent="0.2">
      <c r="A387" s="6" t="s">
        <v>869</v>
      </c>
      <c r="B387" s="6" t="s">
        <v>868</v>
      </c>
      <c r="C387" s="7">
        <v>45519</v>
      </c>
      <c r="D387" s="7"/>
      <c r="E387" s="8" t="str">
        <f t="shared" ref="E387:E450" si="12">IF(OR($C387="", $D387=""),"", $D387-$C387)</f>
        <v/>
      </c>
      <c r="F387" s="7"/>
      <c r="G387" s="8" t="str">
        <f t="shared" ref="G387:G450" si="13">IF(OR($C387="", $D387="",$F387=""),"", $F387-$D387)</f>
        <v/>
      </c>
      <c r="H387" s="7">
        <v>45519</v>
      </c>
      <c r="I387" s="8">
        <f>IF($H387="", "", 参数!$B$3-$H387)</f>
        <v>505</v>
      </c>
      <c r="J387" s="6" t="s">
        <v>917</v>
      </c>
      <c r="K387" s="9">
        <v>60000</v>
      </c>
      <c r="L387" s="9">
        <v>140000</v>
      </c>
    </row>
    <row r="388" spans="1:12" x14ac:dyDescent="0.2">
      <c r="A388" s="6" t="s">
        <v>1248</v>
      </c>
      <c r="B388" s="6" t="s">
        <v>425</v>
      </c>
      <c r="C388" s="7">
        <v>45537</v>
      </c>
      <c r="D388" s="7"/>
      <c r="E388" s="8" t="str">
        <f t="shared" si="12"/>
        <v/>
      </c>
      <c r="F388" s="7"/>
      <c r="G388" s="8" t="str">
        <f t="shared" si="13"/>
        <v/>
      </c>
      <c r="H388" s="7">
        <v>45537</v>
      </c>
      <c r="I388" s="8">
        <f>IF($H388="", "", 参数!$B$3-$H388)</f>
        <v>487</v>
      </c>
      <c r="J388" s="6" t="s">
        <v>917</v>
      </c>
      <c r="K388" s="9">
        <v>200000</v>
      </c>
      <c r="L388" s="9">
        <v>0</v>
      </c>
    </row>
    <row r="389" spans="1:12" x14ac:dyDescent="0.2">
      <c r="A389" s="6" t="s">
        <v>1250</v>
      </c>
      <c r="B389" s="6" t="s">
        <v>1249</v>
      </c>
      <c r="C389" s="7">
        <v>45558</v>
      </c>
      <c r="D389" s="7"/>
      <c r="E389" s="8" t="str">
        <f t="shared" si="12"/>
        <v/>
      </c>
      <c r="F389" s="7"/>
      <c r="G389" s="8" t="str">
        <f t="shared" si="13"/>
        <v/>
      </c>
      <c r="H389" s="7">
        <v>45558</v>
      </c>
      <c r="I389" s="8">
        <f>IF($H389="", "", 参数!$B$3-$H389)</f>
        <v>466</v>
      </c>
      <c r="J389" s="6" t="s">
        <v>917</v>
      </c>
      <c r="K389" s="9">
        <v>30000</v>
      </c>
      <c r="L389" s="9">
        <v>0</v>
      </c>
    </row>
    <row r="390" spans="1:12" x14ac:dyDescent="0.2">
      <c r="A390" s="6" t="s">
        <v>705</v>
      </c>
      <c r="B390" s="6" t="s">
        <v>425</v>
      </c>
      <c r="C390" s="7">
        <v>45562</v>
      </c>
      <c r="D390" s="7"/>
      <c r="E390" s="8" t="str">
        <f t="shared" si="12"/>
        <v/>
      </c>
      <c r="F390" s="7">
        <v>45652</v>
      </c>
      <c r="G390" s="8" t="str">
        <f t="shared" si="13"/>
        <v/>
      </c>
      <c r="H390" s="7">
        <v>45652</v>
      </c>
      <c r="I390" s="8">
        <f>IF($H390="", "", 参数!$B$3-$H390)</f>
        <v>372</v>
      </c>
      <c r="J390" s="6" t="s">
        <v>917</v>
      </c>
      <c r="K390" s="9">
        <v>123080</v>
      </c>
      <c r="L390" s="9">
        <v>0</v>
      </c>
    </row>
    <row r="391" spans="1:12" x14ac:dyDescent="0.2">
      <c r="A391" s="6" t="s">
        <v>714</v>
      </c>
      <c r="B391" s="6" t="s">
        <v>47</v>
      </c>
      <c r="C391" s="7">
        <v>45565</v>
      </c>
      <c r="D391" s="7"/>
      <c r="E391" s="8" t="str">
        <f t="shared" si="12"/>
        <v/>
      </c>
      <c r="F391" s="7"/>
      <c r="G391" s="8" t="str">
        <f t="shared" si="13"/>
        <v/>
      </c>
      <c r="H391" s="7">
        <v>45565</v>
      </c>
      <c r="I391" s="8">
        <f>IF($H391="", "", 参数!$B$3-$H391)</f>
        <v>459</v>
      </c>
      <c r="J391" s="6" t="s">
        <v>917</v>
      </c>
      <c r="K391" s="9">
        <v>341889.89</v>
      </c>
      <c r="L391" s="9">
        <v>0</v>
      </c>
    </row>
    <row r="392" spans="1:12" x14ac:dyDescent="0.2">
      <c r="A392" s="6" t="s">
        <v>716</v>
      </c>
      <c r="B392" s="6" t="s">
        <v>47</v>
      </c>
      <c r="C392" s="7">
        <v>45565</v>
      </c>
      <c r="D392" s="7"/>
      <c r="E392" s="8" t="str">
        <f t="shared" si="12"/>
        <v/>
      </c>
      <c r="F392" s="7"/>
      <c r="G392" s="8" t="str">
        <f t="shared" si="13"/>
        <v/>
      </c>
      <c r="H392" s="7">
        <v>45565</v>
      </c>
      <c r="I392" s="8">
        <f>IF($H392="", "", 参数!$B$3-$H392)</f>
        <v>459</v>
      </c>
      <c r="J392" s="6" t="s">
        <v>917</v>
      </c>
      <c r="K392" s="9">
        <v>229912.78</v>
      </c>
      <c r="L392" s="9">
        <v>40096</v>
      </c>
    </row>
    <row r="393" spans="1:12" x14ac:dyDescent="0.2">
      <c r="A393" s="6" t="s">
        <v>715</v>
      </c>
      <c r="B393" s="6" t="s">
        <v>47</v>
      </c>
      <c r="C393" s="7">
        <v>45565</v>
      </c>
      <c r="D393" s="7"/>
      <c r="E393" s="8" t="str">
        <f t="shared" si="12"/>
        <v/>
      </c>
      <c r="F393" s="7"/>
      <c r="G393" s="8" t="str">
        <f t="shared" si="13"/>
        <v/>
      </c>
      <c r="H393" s="7">
        <v>45565</v>
      </c>
      <c r="I393" s="8">
        <f>IF($H393="", "", 参数!$B$3-$H393)</f>
        <v>459</v>
      </c>
      <c r="J393" s="6" t="s">
        <v>917</v>
      </c>
      <c r="K393" s="9">
        <v>76926.89</v>
      </c>
      <c r="L393" s="9">
        <v>0</v>
      </c>
    </row>
    <row r="394" spans="1:12" x14ac:dyDescent="0.2">
      <c r="A394" s="6" t="s">
        <v>735</v>
      </c>
      <c r="B394" s="6" t="s">
        <v>734</v>
      </c>
      <c r="C394" s="7">
        <v>45587</v>
      </c>
      <c r="D394" s="7">
        <v>45714</v>
      </c>
      <c r="E394" s="8">
        <f t="shared" si="12"/>
        <v>127</v>
      </c>
      <c r="F394" s="7">
        <v>45737</v>
      </c>
      <c r="G394" s="8">
        <f t="shared" si="13"/>
        <v>23</v>
      </c>
      <c r="H394" s="7">
        <v>45737</v>
      </c>
      <c r="I394" s="8">
        <f>IF($H394="", "", 参数!$B$3-$H394)</f>
        <v>287</v>
      </c>
      <c r="J394" s="6" t="s">
        <v>1241</v>
      </c>
      <c r="K394" s="9">
        <v>10800</v>
      </c>
      <c r="L394" s="9">
        <v>0</v>
      </c>
    </row>
    <row r="395" spans="1:12" x14ac:dyDescent="0.2">
      <c r="A395" s="6" t="s">
        <v>1252</v>
      </c>
      <c r="B395" s="6" t="s">
        <v>1251</v>
      </c>
      <c r="C395" s="7">
        <v>45590</v>
      </c>
      <c r="D395" s="7">
        <v>45604</v>
      </c>
      <c r="E395" s="8">
        <f t="shared" si="12"/>
        <v>14</v>
      </c>
      <c r="F395" s="7"/>
      <c r="G395" s="8" t="str">
        <f t="shared" si="13"/>
        <v/>
      </c>
      <c r="H395" s="7">
        <v>45604</v>
      </c>
      <c r="I395" s="8">
        <f>IF($H395="", "", 参数!$B$3-$H395)</f>
        <v>420</v>
      </c>
      <c r="J395" s="6" t="s">
        <v>917</v>
      </c>
      <c r="K395" s="9">
        <v>293800</v>
      </c>
      <c r="L395" s="9">
        <v>293800</v>
      </c>
    </row>
    <row r="396" spans="1:12" x14ac:dyDescent="0.2">
      <c r="A396" s="6" t="s">
        <v>793</v>
      </c>
      <c r="B396" s="6" t="s">
        <v>223</v>
      </c>
      <c r="C396" s="7">
        <v>45608</v>
      </c>
      <c r="D396" s="7">
        <v>45643</v>
      </c>
      <c r="E396" s="8">
        <f t="shared" si="12"/>
        <v>35</v>
      </c>
      <c r="F396" s="7"/>
      <c r="G396" s="8" t="str">
        <f t="shared" si="13"/>
        <v/>
      </c>
      <c r="H396" s="7">
        <v>45643</v>
      </c>
      <c r="I396" s="8">
        <f>IF($H396="", "", 参数!$B$3-$H396)</f>
        <v>381</v>
      </c>
      <c r="J396" s="6" t="s">
        <v>917</v>
      </c>
      <c r="K396" s="9">
        <v>102103.2</v>
      </c>
      <c r="L396" s="9">
        <v>0</v>
      </c>
    </row>
    <row r="397" spans="1:12" x14ac:dyDescent="0.2">
      <c r="A397" s="6" t="s">
        <v>1253</v>
      </c>
      <c r="B397" s="6" t="s">
        <v>122</v>
      </c>
      <c r="C397" s="7">
        <v>45611</v>
      </c>
      <c r="D397" s="7"/>
      <c r="E397" s="8" t="str">
        <f t="shared" si="12"/>
        <v/>
      </c>
      <c r="F397" s="7"/>
      <c r="G397" s="8" t="str">
        <f t="shared" si="13"/>
        <v/>
      </c>
      <c r="H397" s="7">
        <v>45611</v>
      </c>
      <c r="I397" s="8">
        <f>IF($H397="", "", 参数!$B$3-$H397)</f>
        <v>413</v>
      </c>
      <c r="J397" s="6" t="s">
        <v>917</v>
      </c>
      <c r="K397" s="9">
        <v>60000</v>
      </c>
      <c r="L397" s="9">
        <v>0</v>
      </c>
    </row>
    <row r="398" spans="1:12" x14ac:dyDescent="0.2">
      <c r="A398" s="6" t="s">
        <v>1255</v>
      </c>
      <c r="B398" s="6" t="s">
        <v>1254</v>
      </c>
      <c r="C398" s="7">
        <v>45615</v>
      </c>
      <c r="D398" s="7">
        <v>45727</v>
      </c>
      <c r="E398" s="8">
        <f t="shared" si="12"/>
        <v>112</v>
      </c>
      <c r="F398" s="7"/>
      <c r="G398" s="8" t="str">
        <f t="shared" si="13"/>
        <v/>
      </c>
      <c r="H398" s="7">
        <v>45727</v>
      </c>
      <c r="I398" s="8">
        <f>IF($H398="", "", 参数!$B$3-$H398)</f>
        <v>297</v>
      </c>
      <c r="J398" s="6" t="s">
        <v>1241</v>
      </c>
      <c r="K398" s="9">
        <v>120000</v>
      </c>
      <c r="L398" s="9">
        <v>135769.60000000001</v>
      </c>
    </row>
    <row r="399" spans="1:12" x14ac:dyDescent="0.2">
      <c r="A399" s="6" t="s">
        <v>788</v>
      </c>
      <c r="B399" s="6" t="s">
        <v>502</v>
      </c>
      <c r="C399" s="7">
        <v>45625</v>
      </c>
      <c r="D399" s="7">
        <v>45660</v>
      </c>
      <c r="E399" s="8">
        <f t="shared" si="12"/>
        <v>35</v>
      </c>
      <c r="F399" s="7"/>
      <c r="G399" s="8" t="str">
        <f t="shared" si="13"/>
        <v/>
      </c>
      <c r="H399" s="7">
        <v>45660</v>
      </c>
      <c r="I399" s="8">
        <f>IF($H399="", "", 参数!$B$3-$H399)</f>
        <v>364</v>
      </c>
      <c r="J399" s="6" t="s">
        <v>1241</v>
      </c>
      <c r="K399" s="9">
        <v>6000</v>
      </c>
      <c r="L399" s="9">
        <v>0</v>
      </c>
    </row>
    <row r="400" spans="1:12" x14ac:dyDescent="0.2">
      <c r="A400" s="6" t="s">
        <v>1257</v>
      </c>
      <c r="B400" s="6" t="s">
        <v>1256</v>
      </c>
      <c r="C400" s="7">
        <v>45631</v>
      </c>
      <c r="D400" s="7">
        <v>45745</v>
      </c>
      <c r="E400" s="8">
        <f t="shared" si="12"/>
        <v>114</v>
      </c>
      <c r="F400" s="7"/>
      <c r="G400" s="8" t="str">
        <f t="shared" si="13"/>
        <v/>
      </c>
      <c r="H400" s="7">
        <v>45745</v>
      </c>
      <c r="I400" s="8">
        <f>IF($H400="", "", 参数!$B$3-$H400)</f>
        <v>279</v>
      </c>
      <c r="J400" s="6" t="s">
        <v>1241</v>
      </c>
      <c r="K400" s="9">
        <v>230000</v>
      </c>
      <c r="L400" s="9">
        <v>230000</v>
      </c>
    </row>
    <row r="401" spans="1:12" x14ac:dyDescent="0.2">
      <c r="A401" s="6" t="s">
        <v>820</v>
      </c>
      <c r="B401" s="6" t="s">
        <v>409</v>
      </c>
      <c r="C401" s="7">
        <v>45643</v>
      </c>
      <c r="D401" s="7"/>
      <c r="E401" s="8" t="str">
        <f t="shared" si="12"/>
        <v/>
      </c>
      <c r="F401" s="7"/>
      <c r="G401" s="8" t="str">
        <f t="shared" si="13"/>
        <v/>
      </c>
      <c r="H401" s="7">
        <v>45643</v>
      </c>
      <c r="I401" s="8">
        <f>IF($H401="", "", 参数!$B$3-$H401)</f>
        <v>381</v>
      </c>
      <c r="J401" s="6" t="s">
        <v>917</v>
      </c>
      <c r="K401" s="9">
        <v>119792</v>
      </c>
      <c r="L401" s="9">
        <v>-189120</v>
      </c>
    </row>
    <row r="402" spans="1:12" x14ac:dyDescent="0.2">
      <c r="A402" s="6" t="s">
        <v>728</v>
      </c>
      <c r="B402" s="6" t="s">
        <v>727</v>
      </c>
      <c r="C402" s="7">
        <v>45644</v>
      </c>
      <c r="D402" s="7">
        <v>45853</v>
      </c>
      <c r="E402" s="8">
        <f t="shared" si="12"/>
        <v>209</v>
      </c>
      <c r="F402" s="7"/>
      <c r="G402" s="8" t="str">
        <f t="shared" si="13"/>
        <v/>
      </c>
      <c r="H402" s="7">
        <v>45853</v>
      </c>
      <c r="I402" s="8">
        <f>IF($H402="", "", 参数!$B$3-$H402)</f>
        <v>171</v>
      </c>
      <c r="J402" s="6" t="s">
        <v>1258</v>
      </c>
      <c r="K402" s="9">
        <v>28167</v>
      </c>
      <c r="L402" s="9">
        <v>0</v>
      </c>
    </row>
    <row r="403" spans="1:12" x14ac:dyDescent="0.2">
      <c r="A403" s="6" t="s">
        <v>744</v>
      </c>
      <c r="B403" s="6" t="s">
        <v>290</v>
      </c>
      <c r="C403" s="7">
        <v>45645</v>
      </c>
      <c r="D403" s="7"/>
      <c r="E403" s="8" t="str">
        <f t="shared" si="12"/>
        <v/>
      </c>
      <c r="F403" s="7"/>
      <c r="G403" s="8" t="str">
        <f t="shared" si="13"/>
        <v/>
      </c>
      <c r="H403" s="7">
        <v>45645</v>
      </c>
      <c r="I403" s="8">
        <f>IF($H403="", "", 参数!$B$3-$H403)</f>
        <v>379</v>
      </c>
      <c r="J403" s="6" t="s">
        <v>917</v>
      </c>
      <c r="K403" s="9">
        <v>8000</v>
      </c>
      <c r="L403" s="9">
        <v>0</v>
      </c>
    </row>
    <row r="404" spans="1:12" x14ac:dyDescent="0.2">
      <c r="A404" s="6" t="s">
        <v>745</v>
      </c>
      <c r="B404" s="6" t="s">
        <v>740</v>
      </c>
      <c r="C404" s="7">
        <v>45649</v>
      </c>
      <c r="D404" s="7"/>
      <c r="E404" s="8" t="str">
        <f t="shared" si="12"/>
        <v/>
      </c>
      <c r="F404" s="7"/>
      <c r="G404" s="8" t="str">
        <f t="shared" si="13"/>
        <v/>
      </c>
      <c r="H404" s="7">
        <v>45649</v>
      </c>
      <c r="I404" s="8">
        <f>IF($H404="", "", 参数!$B$3-$H404)</f>
        <v>375</v>
      </c>
      <c r="J404" s="6" t="s">
        <v>917</v>
      </c>
      <c r="K404" s="9">
        <v>21470</v>
      </c>
      <c r="L404" s="9">
        <v>0</v>
      </c>
    </row>
    <row r="405" spans="1:12" x14ac:dyDescent="0.2">
      <c r="A405" s="6" t="s">
        <v>804</v>
      </c>
      <c r="B405" s="6" t="s">
        <v>502</v>
      </c>
      <c r="C405" s="7">
        <v>45650</v>
      </c>
      <c r="D405" s="7"/>
      <c r="E405" s="8" t="str">
        <f t="shared" si="12"/>
        <v/>
      </c>
      <c r="F405" s="7"/>
      <c r="G405" s="8" t="str">
        <f t="shared" si="13"/>
        <v/>
      </c>
      <c r="H405" s="7">
        <v>45650</v>
      </c>
      <c r="I405" s="8">
        <f>IF($H405="", "", 参数!$B$3-$H405)</f>
        <v>374</v>
      </c>
      <c r="J405" s="6" t="s">
        <v>917</v>
      </c>
      <c r="K405" s="9">
        <v>4927</v>
      </c>
      <c r="L405" s="9"/>
    </row>
    <row r="406" spans="1:12" x14ac:dyDescent="0.2">
      <c r="A406" s="6" t="s">
        <v>1260</v>
      </c>
      <c r="B406" s="6" t="s">
        <v>1259</v>
      </c>
      <c r="C406" s="7">
        <v>45653</v>
      </c>
      <c r="D406" s="7"/>
      <c r="E406" s="8" t="str">
        <f t="shared" si="12"/>
        <v/>
      </c>
      <c r="F406" s="7"/>
      <c r="G406" s="8" t="str">
        <f t="shared" si="13"/>
        <v/>
      </c>
      <c r="H406" s="7">
        <v>45653</v>
      </c>
      <c r="I406" s="8">
        <f>IF($H406="", "", 参数!$B$3-$H406)</f>
        <v>371</v>
      </c>
      <c r="J406" s="6" t="s">
        <v>917</v>
      </c>
      <c r="K406" s="9">
        <v>20000</v>
      </c>
      <c r="L406" s="9"/>
    </row>
    <row r="407" spans="1:12" x14ac:dyDescent="0.2">
      <c r="A407" s="6" t="s">
        <v>766</v>
      </c>
      <c r="B407" s="6" t="s">
        <v>425</v>
      </c>
      <c r="C407" s="7">
        <v>45656</v>
      </c>
      <c r="D407" s="7"/>
      <c r="E407" s="8" t="str">
        <f t="shared" si="12"/>
        <v/>
      </c>
      <c r="F407" s="7"/>
      <c r="G407" s="8" t="str">
        <f t="shared" si="13"/>
        <v/>
      </c>
      <c r="H407" s="7">
        <v>45656</v>
      </c>
      <c r="I407" s="8">
        <f>IF($H407="", "", 参数!$B$3-$H407)</f>
        <v>368</v>
      </c>
      <c r="J407" s="6" t="s">
        <v>917</v>
      </c>
      <c r="K407" s="9">
        <v>46000</v>
      </c>
      <c r="L407" s="9"/>
    </row>
    <row r="408" spans="1:12" x14ac:dyDescent="0.2">
      <c r="A408" s="6" t="s">
        <v>771</v>
      </c>
      <c r="B408" s="6" t="s">
        <v>770</v>
      </c>
      <c r="C408" s="7">
        <v>45666</v>
      </c>
      <c r="D408" s="7"/>
      <c r="E408" s="8" t="str">
        <f t="shared" si="12"/>
        <v/>
      </c>
      <c r="F408" s="7"/>
      <c r="G408" s="8" t="str">
        <f t="shared" si="13"/>
        <v/>
      </c>
      <c r="H408" s="7">
        <v>45666</v>
      </c>
      <c r="I408" s="8">
        <f>IF($H408="", "", 参数!$B$3-$H408)</f>
        <v>358</v>
      </c>
      <c r="J408" s="6" t="s">
        <v>1241</v>
      </c>
      <c r="K408" s="9">
        <v>13200</v>
      </c>
      <c r="L408" s="9"/>
    </row>
    <row r="409" spans="1:12" x14ac:dyDescent="0.2">
      <c r="A409" s="6" t="s">
        <v>816</v>
      </c>
      <c r="B409" s="6" t="s">
        <v>425</v>
      </c>
      <c r="C409" s="7">
        <v>45671</v>
      </c>
      <c r="D409" s="7"/>
      <c r="E409" s="8" t="str">
        <f t="shared" si="12"/>
        <v/>
      </c>
      <c r="F409" s="7"/>
      <c r="G409" s="8" t="str">
        <f t="shared" si="13"/>
        <v/>
      </c>
      <c r="H409" s="7">
        <v>45671</v>
      </c>
      <c r="I409" s="8">
        <f>IF($H409="", "", 参数!$B$3-$H409)</f>
        <v>353</v>
      </c>
      <c r="J409" s="6" t="s">
        <v>1241</v>
      </c>
      <c r="K409" s="9">
        <v>975995.2</v>
      </c>
      <c r="L409" s="9">
        <v>0</v>
      </c>
    </row>
    <row r="410" spans="1:12" x14ac:dyDescent="0.2">
      <c r="A410" s="6" t="s">
        <v>765</v>
      </c>
      <c r="B410" s="6" t="s">
        <v>429</v>
      </c>
      <c r="C410" s="7">
        <v>45678</v>
      </c>
      <c r="D410" s="7">
        <v>45682</v>
      </c>
      <c r="E410" s="8">
        <f t="shared" si="12"/>
        <v>4</v>
      </c>
      <c r="F410" s="7"/>
      <c r="G410" s="8" t="str">
        <f t="shared" si="13"/>
        <v/>
      </c>
      <c r="H410" s="7">
        <v>45682</v>
      </c>
      <c r="I410" s="8">
        <f>IF($H410="", "", 参数!$B$3-$H410)</f>
        <v>342</v>
      </c>
      <c r="J410" s="6" t="s">
        <v>1241</v>
      </c>
      <c r="K410" s="9">
        <v>1200</v>
      </c>
      <c r="L410" s="9">
        <v>0</v>
      </c>
    </row>
    <row r="411" spans="1:12" x14ac:dyDescent="0.2">
      <c r="A411" s="6" t="s">
        <v>747</v>
      </c>
      <c r="B411" s="6" t="s">
        <v>49</v>
      </c>
      <c r="C411" s="7">
        <v>45678</v>
      </c>
      <c r="D411" s="7">
        <v>45894</v>
      </c>
      <c r="E411" s="8">
        <f t="shared" si="12"/>
        <v>216</v>
      </c>
      <c r="F411" s="7"/>
      <c r="G411" s="8" t="str">
        <f t="shared" si="13"/>
        <v/>
      </c>
      <c r="H411" s="7">
        <v>45894</v>
      </c>
      <c r="I411" s="8">
        <f>IF($H411="", "", 参数!$B$3-$H411)</f>
        <v>130</v>
      </c>
      <c r="J411" s="6" t="s">
        <v>1258</v>
      </c>
      <c r="K411" s="9">
        <v>19648.5</v>
      </c>
      <c r="L411" s="9">
        <v>0</v>
      </c>
    </row>
    <row r="412" spans="1:12" x14ac:dyDescent="0.2">
      <c r="A412" s="6" t="s">
        <v>757</v>
      </c>
      <c r="B412" s="6" t="s">
        <v>425</v>
      </c>
      <c r="C412" s="7">
        <v>45693</v>
      </c>
      <c r="D412" s="7">
        <v>45741</v>
      </c>
      <c r="E412" s="8">
        <f t="shared" si="12"/>
        <v>48</v>
      </c>
      <c r="F412" s="7"/>
      <c r="G412" s="8" t="str">
        <f t="shared" si="13"/>
        <v/>
      </c>
      <c r="H412" s="7">
        <v>45741</v>
      </c>
      <c r="I412" s="8">
        <f>IF($H412="", "", 参数!$B$3-$H412)</f>
        <v>283</v>
      </c>
      <c r="J412" s="6" t="s">
        <v>1241</v>
      </c>
      <c r="K412" s="9">
        <v>7369.8</v>
      </c>
      <c r="L412" s="9">
        <v>0</v>
      </c>
    </row>
    <row r="413" spans="1:12" x14ac:dyDescent="0.2">
      <c r="A413" s="6" t="s">
        <v>1261</v>
      </c>
      <c r="B413" s="6" t="s">
        <v>417</v>
      </c>
      <c r="C413" s="7">
        <v>45698</v>
      </c>
      <c r="D413" s="7"/>
      <c r="E413" s="8" t="str">
        <f t="shared" si="12"/>
        <v/>
      </c>
      <c r="F413" s="7"/>
      <c r="G413" s="8" t="str">
        <f t="shared" si="13"/>
        <v/>
      </c>
      <c r="H413" s="7">
        <v>45698</v>
      </c>
      <c r="I413" s="8">
        <f>IF($H413="", "", 参数!$B$3-$H413)</f>
        <v>326</v>
      </c>
      <c r="J413" s="6" t="s">
        <v>1241</v>
      </c>
      <c r="K413" s="9">
        <v>74000</v>
      </c>
      <c r="L413" s="9">
        <v>0</v>
      </c>
    </row>
    <row r="414" spans="1:12" x14ac:dyDescent="0.2">
      <c r="A414" s="6" t="s">
        <v>812</v>
      </c>
      <c r="B414" s="6" t="s">
        <v>417</v>
      </c>
      <c r="C414" s="7">
        <v>45698</v>
      </c>
      <c r="D414" s="7"/>
      <c r="E414" s="8" t="str">
        <f t="shared" si="12"/>
        <v/>
      </c>
      <c r="F414" s="7"/>
      <c r="G414" s="8" t="str">
        <f t="shared" si="13"/>
        <v/>
      </c>
      <c r="H414" s="7">
        <v>45698</v>
      </c>
      <c r="I414" s="8">
        <f>IF($H414="", "", 参数!$B$3-$H414)</f>
        <v>326</v>
      </c>
      <c r="J414" s="6" t="s">
        <v>1241</v>
      </c>
      <c r="K414" s="9">
        <v>34000</v>
      </c>
      <c r="L414" s="9">
        <v>-34000</v>
      </c>
    </row>
    <row r="415" spans="1:12" x14ac:dyDescent="0.2">
      <c r="A415" s="6" t="s">
        <v>893</v>
      </c>
      <c r="B415" s="6" t="s">
        <v>29</v>
      </c>
      <c r="C415" s="7">
        <v>45698</v>
      </c>
      <c r="D415" s="7">
        <v>45720</v>
      </c>
      <c r="E415" s="8">
        <f t="shared" si="12"/>
        <v>22</v>
      </c>
      <c r="F415" s="7"/>
      <c r="G415" s="8" t="str">
        <f t="shared" si="13"/>
        <v/>
      </c>
      <c r="H415" s="7">
        <v>45720</v>
      </c>
      <c r="I415" s="8">
        <f>IF($H415="", "", 参数!$B$3-$H415)</f>
        <v>304</v>
      </c>
      <c r="J415" s="6" t="s">
        <v>1241</v>
      </c>
      <c r="K415" s="9">
        <v>2500</v>
      </c>
      <c r="L415" s="9">
        <v>0</v>
      </c>
    </row>
    <row r="416" spans="1:12" x14ac:dyDescent="0.2">
      <c r="A416" s="6" t="s">
        <v>818</v>
      </c>
      <c r="B416" s="6" t="s">
        <v>817</v>
      </c>
      <c r="C416" s="7">
        <v>45708</v>
      </c>
      <c r="D416" s="7"/>
      <c r="E416" s="8" t="str">
        <f t="shared" si="12"/>
        <v/>
      </c>
      <c r="F416" s="7"/>
      <c r="G416" s="8" t="str">
        <f t="shared" si="13"/>
        <v/>
      </c>
      <c r="H416" s="7">
        <v>45708</v>
      </c>
      <c r="I416" s="8">
        <f>IF($H416="", "", 参数!$B$3-$H416)</f>
        <v>316</v>
      </c>
      <c r="J416" s="6" t="s">
        <v>1241</v>
      </c>
      <c r="K416" s="9">
        <v>617999.99450000003</v>
      </c>
      <c r="L416" s="9">
        <v>0</v>
      </c>
    </row>
    <row r="417" spans="1:12" x14ac:dyDescent="0.2">
      <c r="A417" s="6" t="s">
        <v>749</v>
      </c>
      <c r="B417" s="6" t="s">
        <v>748</v>
      </c>
      <c r="C417" s="7">
        <v>45713</v>
      </c>
      <c r="D417" s="7">
        <v>45752</v>
      </c>
      <c r="E417" s="8">
        <f t="shared" si="12"/>
        <v>39</v>
      </c>
      <c r="F417" s="7"/>
      <c r="G417" s="8" t="str">
        <f t="shared" si="13"/>
        <v/>
      </c>
      <c r="H417" s="7">
        <v>45752</v>
      </c>
      <c r="I417" s="8">
        <f>IF($H417="", "", 参数!$B$3-$H417)</f>
        <v>272</v>
      </c>
      <c r="J417" s="6" t="s">
        <v>1241</v>
      </c>
      <c r="K417" s="9">
        <v>3900</v>
      </c>
      <c r="L417" s="9">
        <v>0</v>
      </c>
    </row>
    <row r="418" spans="1:12" x14ac:dyDescent="0.2">
      <c r="A418" s="6" t="s">
        <v>1262</v>
      </c>
      <c r="B418" s="6" t="s">
        <v>564</v>
      </c>
      <c r="C418" s="7">
        <v>45714</v>
      </c>
      <c r="D418" s="7"/>
      <c r="E418" s="8" t="str">
        <f t="shared" si="12"/>
        <v/>
      </c>
      <c r="F418" s="7"/>
      <c r="G418" s="8" t="str">
        <f t="shared" si="13"/>
        <v/>
      </c>
      <c r="H418" s="7">
        <v>45714</v>
      </c>
      <c r="I418" s="8">
        <f>IF($H418="", "", 参数!$B$3-$H418)</f>
        <v>310</v>
      </c>
      <c r="J418" s="6" t="s">
        <v>1241</v>
      </c>
      <c r="K418" s="9">
        <v>86000</v>
      </c>
      <c r="L418" s="9">
        <v>86000</v>
      </c>
    </row>
    <row r="419" spans="1:12" x14ac:dyDescent="0.2">
      <c r="A419" s="6" t="s">
        <v>787</v>
      </c>
      <c r="B419" s="6" t="s">
        <v>240</v>
      </c>
      <c r="C419" s="7">
        <v>45720</v>
      </c>
      <c r="D419" s="7">
        <v>45882</v>
      </c>
      <c r="E419" s="8">
        <f t="shared" si="12"/>
        <v>162</v>
      </c>
      <c r="F419" s="7"/>
      <c r="G419" s="8" t="str">
        <f t="shared" si="13"/>
        <v/>
      </c>
      <c r="H419" s="7">
        <v>45882</v>
      </c>
      <c r="I419" s="8">
        <f>IF($H419="", "", 参数!$B$3-$H419)</f>
        <v>142</v>
      </c>
      <c r="J419" s="6" t="s">
        <v>1258</v>
      </c>
      <c r="K419" s="9">
        <v>658.72999999999604</v>
      </c>
      <c r="L419" s="9">
        <v>0</v>
      </c>
    </row>
    <row r="420" spans="1:12" x14ac:dyDescent="0.2">
      <c r="A420" s="6" t="s">
        <v>842</v>
      </c>
      <c r="B420" s="6" t="s">
        <v>425</v>
      </c>
      <c r="C420" s="7">
        <v>45723</v>
      </c>
      <c r="D420" s="7"/>
      <c r="E420" s="8" t="str">
        <f t="shared" si="12"/>
        <v/>
      </c>
      <c r="F420" s="7"/>
      <c r="G420" s="8" t="str">
        <f t="shared" si="13"/>
        <v/>
      </c>
      <c r="H420" s="7">
        <v>45723</v>
      </c>
      <c r="I420" s="8">
        <f>IF($H420="", "", 参数!$B$3-$H420)</f>
        <v>301</v>
      </c>
      <c r="J420" s="6" t="s">
        <v>1241</v>
      </c>
      <c r="K420" s="9">
        <v>560000</v>
      </c>
      <c r="L420" s="9">
        <v>-534166</v>
      </c>
    </row>
    <row r="421" spans="1:12" x14ac:dyDescent="0.2">
      <c r="A421" s="6" t="s">
        <v>750</v>
      </c>
      <c r="B421" s="6" t="s">
        <v>495</v>
      </c>
      <c r="C421" s="7">
        <v>45726</v>
      </c>
      <c r="D421" s="7">
        <v>45732</v>
      </c>
      <c r="E421" s="8">
        <f t="shared" si="12"/>
        <v>6</v>
      </c>
      <c r="F421" s="7"/>
      <c r="G421" s="8" t="str">
        <f t="shared" si="13"/>
        <v/>
      </c>
      <c r="H421" s="7">
        <v>45732</v>
      </c>
      <c r="I421" s="8">
        <f>IF($H421="", "", 参数!$B$3-$H421)</f>
        <v>292</v>
      </c>
      <c r="J421" s="6" t="s">
        <v>1241</v>
      </c>
      <c r="K421" s="9">
        <v>48000</v>
      </c>
      <c r="L421" s="9">
        <v>0</v>
      </c>
    </row>
    <row r="422" spans="1:12" x14ac:dyDescent="0.2">
      <c r="A422" s="6" t="s">
        <v>795</v>
      </c>
      <c r="B422" s="6" t="s">
        <v>605</v>
      </c>
      <c r="C422" s="7">
        <v>45730</v>
      </c>
      <c r="D422" s="7">
        <v>45734</v>
      </c>
      <c r="E422" s="8">
        <f t="shared" si="12"/>
        <v>4</v>
      </c>
      <c r="F422" s="7"/>
      <c r="G422" s="8" t="str">
        <f t="shared" si="13"/>
        <v/>
      </c>
      <c r="H422" s="7">
        <v>45734</v>
      </c>
      <c r="I422" s="8">
        <f>IF($H422="", "", 参数!$B$3-$H422)</f>
        <v>290</v>
      </c>
      <c r="J422" s="6" t="s">
        <v>1241</v>
      </c>
      <c r="K422" s="9">
        <v>63000</v>
      </c>
      <c r="L422" s="9">
        <v>60000</v>
      </c>
    </row>
    <row r="423" spans="1:12" x14ac:dyDescent="0.2">
      <c r="A423" s="6" t="s">
        <v>801</v>
      </c>
      <c r="B423" s="6" t="s">
        <v>425</v>
      </c>
      <c r="C423" s="7">
        <v>45734</v>
      </c>
      <c r="D423" s="7"/>
      <c r="E423" s="8" t="str">
        <f t="shared" si="12"/>
        <v/>
      </c>
      <c r="F423" s="7"/>
      <c r="G423" s="8" t="str">
        <f t="shared" si="13"/>
        <v/>
      </c>
      <c r="H423" s="7">
        <v>45734</v>
      </c>
      <c r="I423" s="8">
        <f>IF($H423="", "", 参数!$B$3-$H423)</f>
        <v>290</v>
      </c>
      <c r="J423" s="6" t="s">
        <v>1241</v>
      </c>
      <c r="K423" s="9">
        <v>169588.1</v>
      </c>
      <c r="L423" s="9">
        <v>0</v>
      </c>
    </row>
    <row r="424" spans="1:12" x14ac:dyDescent="0.2">
      <c r="A424" s="6" t="s">
        <v>819</v>
      </c>
      <c r="B424" s="6" t="s">
        <v>425</v>
      </c>
      <c r="C424" s="7">
        <v>45734</v>
      </c>
      <c r="D424" s="7"/>
      <c r="E424" s="8" t="str">
        <f t="shared" si="12"/>
        <v/>
      </c>
      <c r="F424" s="7"/>
      <c r="G424" s="8" t="str">
        <f t="shared" si="13"/>
        <v/>
      </c>
      <c r="H424" s="7">
        <v>45734</v>
      </c>
      <c r="I424" s="8">
        <f>IF($H424="", "", 参数!$B$3-$H424)</f>
        <v>290</v>
      </c>
      <c r="J424" s="6" t="s">
        <v>1241</v>
      </c>
      <c r="K424" s="9">
        <v>247500</v>
      </c>
      <c r="L424" s="9">
        <v>0</v>
      </c>
    </row>
    <row r="425" spans="1:12" x14ac:dyDescent="0.2">
      <c r="A425" s="6" t="s">
        <v>1264</v>
      </c>
      <c r="B425" s="6" t="s">
        <v>1263</v>
      </c>
      <c r="C425" s="7">
        <v>45736</v>
      </c>
      <c r="D425" s="7"/>
      <c r="E425" s="8" t="str">
        <f t="shared" si="12"/>
        <v/>
      </c>
      <c r="F425" s="7"/>
      <c r="G425" s="8" t="str">
        <f t="shared" si="13"/>
        <v/>
      </c>
      <c r="H425" s="7">
        <v>45736</v>
      </c>
      <c r="I425" s="8">
        <f>IF($H425="", "", 参数!$B$3-$H425)</f>
        <v>288</v>
      </c>
      <c r="J425" s="6" t="s">
        <v>1241</v>
      </c>
      <c r="K425" s="9">
        <v>292000</v>
      </c>
      <c r="L425" s="9">
        <v>0</v>
      </c>
    </row>
    <row r="426" spans="1:12" x14ac:dyDescent="0.2">
      <c r="A426" s="6" t="s">
        <v>746</v>
      </c>
      <c r="B426" s="6" t="s">
        <v>29</v>
      </c>
      <c r="C426" s="7">
        <v>45741</v>
      </c>
      <c r="D426" s="7">
        <v>45707</v>
      </c>
      <c r="E426" s="8">
        <f t="shared" si="12"/>
        <v>-34</v>
      </c>
      <c r="F426" s="7"/>
      <c r="G426" s="8" t="str">
        <f t="shared" si="13"/>
        <v/>
      </c>
      <c r="H426" s="7">
        <v>45707</v>
      </c>
      <c r="I426" s="8">
        <f>IF($H426="", "", 参数!$B$3-$H426)</f>
        <v>317</v>
      </c>
      <c r="J426" s="6" t="s">
        <v>1241</v>
      </c>
      <c r="K426" s="9">
        <v>14760</v>
      </c>
      <c r="L426" s="9">
        <v>0</v>
      </c>
    </row>
    <row r="427" spans="1:12" x14ac:dyDescent="0.2">
      <c r="A427" s="6" t="s">
        <v>1265</v>
      </c>
      <c r="B427" s="6" t="s">
        <v>40</v>
      </c>
      <c r="C427" s="7">
        <v>45745</v>
      </c>
      <c r="D427" s="7"/>
      <c r="E427" s="8" t="str">
        <f t="shared" si="12"/>
        <v/>
      </c>
      <c r="F427" s="7"/>
      <c r="G427" s="8" t="str">
        <f t="shared" si="13"/>
        <v/>
      </c>
      <c r="H427" s="7">
        <v>45745</v>
      </c>
      <c r="I427" s="8">
        <f>IF($H427="", "", 参数!$B$3-$H427)</f>
        <v>279</v>
      </c>
      <c r="J427" s="6" t="s">
        <v>1241</v>
      </c>
      <c r="K427" s="9">
        <v>190001</v>
      </c>
      <c r="L427" s="9">
        <v>0</v>
      </c>
    </row>
    <row r="428" spans="1:12" x14ac:dyDescent="0.2">
      <c r="A428" s="6" t="s">
        <v>810</v>
      </c>
      <c r="B428" s="6" t="s">
        <v>425</v>
      </c>
      <c r="C428" s="7">
        <v>45763</v>
      </c>
      <c r="D428" s="7"/>
      <c r="E428" s="8" t="str">
        <f t="shared" si="12"/>
        <v/>
      </c>
      <c r="F428" s="7"/>
      <c r="G428" s="8" t="str">
        <f t="shared" si="13"/>
        <v/>
      </c>
      <c r="H428" s="7">
        <v>45763</v>
      </c>
      <c r="I428" s="8">
        <f>IF($H428="", "", 参数!$B$3-$H428)</f>
        <v>261</v>
      </c>
      <c r="J428" s="6" t="s">
        <v>1241</v>
      </c>
      <c r="K428" s="9">
        <v>406100</v>
      </c>
      <c r="L428" s="9">
        <v>0</v>
      </c>
    </row>
    <row r="429" spans="1:12" x14ac:dyDescent="0.2">
      <c r="A429" s="6" t="s">
        <v>844</v>
      </c>
      <c r="B429" s="6" t="s">
        <v>826</v>
      </c>
      <c r="C429" s="7">
        <v>45766</v>
      </c>
      <c r="D429" s="7"/>
      <c r="E429" s="8" t="str">
        <f t="shared" si="12"/>
        <v/>
      </c>
      <c r="F429" s="7"/>
      <c r="G429" s="8" t="str">
        <f t="shared" si="13"/>
        <v/>
      </c>
      <c r="H429" s="7">
        <v>45766</v>
      </c>
      <c r="I429" s="8">
        <f>IF($H429="", "", 参数!$B$3-$H429)</f>
        <v>258</v>
      </c>
      <c r="J429" s="6" t="s">
        <v>1241</v>
      </c>
      <c r="K429" s="9">
        <v>698000</v>
      </c>
      <c r="L429" s="9">
        <v>-615178</v>
      </c>
    </row>
    <row r="430" spans="1:12" x14ac:dyDescent="0.2">
      <c r="A430" s="6" t="s">
        <v>794</v>
      </c>
      <c r="B430" s="6" t="s">
        <v>417</v>
      </c>
      <c r="C430" s="7">
        <v>45770</v>
      </c>
      <c r="D430" s="7"/>
      <c r="E430" s="8" t="str">
        <f t="shared" si="12"/>
        <v/>
      </c>
      <c r="F430" s="7"/>
      <c r="G430" s="8" t="str">
        <f t="shared" si="13"/>
        <v/>
      </c>
      <c r="H430" s="7">
        <v>45770</v>
      </c>
      <c r="I430" s="8">
        <f>IF($H430="", "", 参数!$B$3-$H430)</f>
        <v>254</v>
      </c>
      <c r="J430" s="6" t="s">
        <v>1241</v>
      </c>
      <c r="K430" s="9">
        <v>565605</v>
      </c>
      <c r="L430" s="9">
        <v>-738009</v>
      </c>
    </row>
    <row r="431" spans="1:12" x14ac:dyDescent="0.2">
      <c r="A431" s="6" t="s">
        <v>807</v>
      </c>
      <c r="B431" s="6" t="s">
        <v>334</v>
      </c>
      <c r="C431" s="7">
        <v>45770</v>
      </c>
      <c r="D431" s="7">
        <v>45778</v>
      </c>
      <c r="E431" s="8">
        <f t="shared" si="12"/>
        <v>8</v>
      </c>
      <c r="F431" s="7">
        <v>45930</v>
      </c>
      <c r="G431" s="8">
        <f t="shared" si="13"/>
        <v>152</v>
      </c>
      <c r="H431" s="7">
        <v>45930</v>
      </c>
      <c r="I431" s="8">
        <f>IF($H431="", "", 参数!$B$3-$H431)</f>
        <v>94</v>
      </c>
      <c r="J431" s="6" t="s">
        <v>1258</v>
      </c>
      <c r="K431" s="9">
        <v>120000</v>
      </c>
      <c r="L431" s="9">
        <v>0</v>
      </c>
    </row>
    <row r="432" spans="1:12" x14ac:dyDescent="0.2">
      <c r="A432" s="6" t="s">
        <v>775</v>
      </c>
      <c r="B432" s="6" t="s">
        <v>425</v>
      </c>
      <c r="C432" s="7">
        <v>45776</v>
      </c>
      <c r="D432" s="7">
        <v>45894</v>
      </c>
      <c r="E432" s="8">
        <f t="shared" si="12"/>
        <v>118</v>
      </c>
      <c r="F432" s="7"/>
      <c r="G432" s="8" t="str">
        <f t="shared" si="13"/>
        <v/>
      </c>
      <c r="H432" s="7">
        <v>45894</v>
      </c>
      <c r="I432" s="8">
        <f>IF($H432="", "", 参数!$B$3-$H432)</f>
        <v>130</v>
      </c>
      <c r="J432" s="6" t="s">
        <v>1258</v>
      </c>
      <c r="K432" s="9">
        <v>455100</v>
      </c>
      <c r="L432" s="9">
        <v>-380000</v>
      </c>
    </row>
    <row r="433" spans="1:12" x14ac:dyDescent="0.2">
      <c r="A433" s="6" t="s">
        <v>778</v>
      </c>
      <c r="B433" s="6" t="s">
        <v>145</v>
      </c>
      <c r="C433" s="7">
        <v>45782</v>
      </c>
      <c r="D433" s="7">
        <v>45791</v>
      </c>
      <c r="E433" s="8">
        <f t="shared" si="12"/>
        <v>9</v>
      </c>
      <c r="F433" s="7"/>
      <c r="G433" s="8" t="str">
        <f t="shared" si="13"/>
        <v/>
      </c>
      <c r="H433" s="7">
        <v>45791</v>
      </c>
      <c r="I433" s="8">
        <f>IF($H433="", "", 参数!$B$3-$H433)</f>
        <v>233</v>
      </c>
      <c r="J433" s="6" t="s">
        <v>1241</v>
      </c>
      <c r="K433" s="9">
        <v>14200</v>
      </c>
      <c r="L433" s="9">
        <v>12360</v>
      </c>
    </row>
    <row r="434" spans="1:12" x14ac:dyDescent="0.2">
      <c r="A434" s="6" t="s">
        <v>773</v>
      </c>
      <c r="B434" s="6" t="s">
        <v>734</v>
      </c>
      <c r="C434" s="7">
        <v>45785</v>
      </c>
      <c r="D434" s="7">
        <v>45800</v>
      </c>
      <c r="E434" s="8">
        <f t="shared" si="12"/>
        <v>15</v>
      </c>
      <c r="F434" s="7"/>
      <c r="G434" s="8" t="str">
        <f t="shared" si="13"/>
        <v/>
      </c>
      <c r="H434" s="7">
        <v>45800</v>
      </c>
      <c r="I434" s="8">
        <f>IF($H434="", "", 参数!$B$3-$H434)</f>
        <v>224</v>
      </c>
      <c r="J434" s="6" t="s">
        <v>1241</v>
      </c>
      <c r="K434" s="9">
        <v>7800</v>
      </c>
      <c r="L434" s="9">
        <v>0</v>
      </c>
    </row>
    <row r="435" spans="1:12" x14ac:dyDescent="0.2">
      <c r="A435" s="6" t="s">
        <v>831</v>
      </c>
      <c r="B435" s="6" t="s">
        <v>880</v>
      </c>
      <c r="C435" s="7">
        <v>45805</v>
      </c>
      <c r="D435" s="7">
        <v>45958</v>
      </c>
      <c r="E435" s="8">
        <f t="shared" si="12"/>
        <v>153</v>
      </c>
      <c r="F435" s="7"/>
      <c r="G435" s="8" t="str">
        <f t="shared" si="13"/>
        <v/>
      </c>
      <c r="H435" s="7">
        <v>45958</v>
      </c>
      <c r="I435" s="8">
        <f>IF($H435="", "", 参数!$B$3-$H435)</f>
        <v>66</v>
      </c>
      <c r="J435" s="6" t="s">
        <v>1266</v>
      </c>
      <c r="K435" s="9">
        <v>6000</v>
      </c>
      <c r="L435" s="9">
        <v>0</v>
      </c>
    </row>
    <row r="436" spans="1:12" x14ac:dyDescent="0.2">
      <c r="A436" s="6" t="s">
        <v>792</v>
      </c>
      <c r="B436" s="6" t="s">
        <v>223</v>
      </c>
      <c r="C436" s="7">
        <v>45806</v>
      </c>
      <c r="D436" s="7">
        <v>45858</v>
      </c>
      <c r="E436" s="8">
        <f t="shared" si="12"/>
        <v>52</v>
      </c>
      <c r="F436" s="7"/>
      <c r="G436" s="8" t="str">
        <f t="shared" si="13"/>
        <v/>
      </c>
      <c r="H436" s="7">
        <v>45858</v>
      </c>
      <c r="I436" s="8">
        <f>IF($H436="", "", 参数!$B$3-$H436)</f>
        <v>166</v>
      </c>
      <c r="J436" s="6" t="s">
        <v>1258</v>
      </c>
      <c r="K436" s="9">
        <v>40000</v>
      </c>
      <c r="L436" s="9">
        <v>26760</v>
      </c>
    </row>
    <row r="437" spans="1:12" x14ac:dyDescent="0.2">
      <c r="A437" s="6" t="s">
        <v>822</v>
      </c>
      <c r="B437" s="6" t="s">
        <v>821</v>
      </c>
      <c r="C437" s="7">
        <v>45807</v>
      </c>
      <c r="D437" s="7"/>
      <c r="E437" s="8" t="str">
        <f t="shared" si="12"/>
        <v/>
      </c>
      <c r="F437" s="7"/>
      <c r="G437" s="8" t="str">
        <f t="shared" si="13"/>
        <v/>
      </c>
      <c r="H437" s="7">
        <v>45807</v>
      </c>
      <c r="I437" s="8">
        <f>IF($H437="", "", 参数!$B$3-$H437)</f>
        <v>217</v>
      </c>
      <c r="J437" s="6" t="s">
        <v>1241</v>
      </c>
      <c r="K437" s="9">
        <v>128000</v>
      </c>
      <c r="L437" s="9">
        <v>-228000</v>
      </c>
    </row>
    <row r="438" spans="1:12" x14ac:dyDescent="0.2">
      <c r="A438" s="6" t="s">
        <v>837</v>
      </c>
      <c r="B438" s="6" t="s">
        <v>54</v>
      </c>
      <c r="C438" s="7">
        <v>45814</v>
      </c>
      <c r="D438" s="7"/>
      <c r="E438" s="8" t="str">
        <f t="shared" si="12"/>
        <v/>
      </c>
      <c r="F438" s="7"/>
      <c r="G438" s="8" t="str">
        <f t="shared" si="13"/>
        <v/>
      </c>
      <c r="H438" s="7">
        <v>45814</v>
      </c>
      <c r="I438" s="8">
        <f>IF($H438="", "", 参数!$B$3-$H438)</f>
        <v>210</v>
      </c>
      <c r="J438" s="6" t="s">
        <v>1241</v>
      </c>
      <c r="K438" s="9">
        <v>1700000</v>
      </c>
      <c r="L438" s="9">
        <v>-1118400</v>
      </c>
    </row>
    <row r="439" spans="1:12" x14ac:dyDescent="0.2">
      <c r="A439" s="6" t="s">
        <v>1267</v>
      </c>
      <c r="B439" s="6" t="s">
        <v>343</v>
      </c>
      <c r="C439" s="7">
        <v>45818</v>
      </c>
      <c r="D439" s="7">
        <v>45866</v>
      </c>
      <c r="E439" s="8">
        <f t="shared" si="12"/>
        <v>48</v>
      </c>
      <c r="F439" s="7"/>
      <c r="G439" s="8" t="str">
        <f t="shared" si="13"/>
        <v/>
      </c>
      <c r="H439" s="7">
        <v>45866</v>
      </c>
      <c r="I439" s="8">
        <f>IF($H439="", "", 参数!$B$3-$H439)</f>
        <v>158</v>
      </c>
      <c r="J439" s="6" t="s">
        <v>1258</v>
      </c>
      <c r="K439" s="9">
        <v>195000</v>
      </c>
      <c r="L439" s="9">
        <v>195000</v>
      </c>
    </row>
    <row r="440" spans="1:12" x14ac:dyDescent="0.2">
      <c r="A440" s="6" t="s">
        <v>1268</v>
      </c>
      <c r="B440" s="6" t="s">
        <v>403</v>
      </c>
      <c r="C440" s="7">
        <v>45821</v>
      </c>
      <c r="D440" s="7"/>
      <c r="E440" s="8" t="str">
        <f t="shared" si="12"/>
        <v/>
      </c>
      <c r="F440" s="7"/>
      <c r="G440" s="8" t="str">
        <f t="shared" si="13"/>
        <v/>
      </c>
      <c r="H440" s="7">
        <v>45821</v>
      </c>
      <c r="I440" s="8">
        <f>IF($H440="", "", 参数!$B$3-$H440)</f>
        <v>203</v>
      </c>
      <c r="J440" s="6" t="s">
        <v>1241</v>
      </c>
      <c r="K440" s="9">
        <v>70000</v>
      </c>
      <c r="L440" s="9">
        <v>0</v>
      </c>
    </row>
    <row r="441" spans="1:12" x14ac:dyDescent="0.2">
      <c r="A441" s="6" t="s">
        <v>785</v>
      </c>
      <c r="B441" s="6" t="s">
        <v>425</v>
      </c>
      <c r="C441" s="7">
        <v>45826</v>
      </c>
      <c r="D441" s="7">
        <v>45856</v>
      </c>
      <c r="E441" s="8">
        <f t="shared" si="12"/>
        <v>30</v>
      </c>
      <c r="F441" s="7"/>
      <c r="G441" s="8" t="str">
        <f t="shared" si="13"/>
        <v/>
      </c>
      <c r="H441" s="7">
        <v>45856</v>
      </c>
      <c r="I441" s="8">
        <f>IF($H441="", "", 参数!$B$3-$H441)</f>
        <v>168</v>
      </c>
      <c r="J441" s="6" t="s">
        <v>1258</v>
      </c>
      <c r="K441" s="9">
        <v>58149.4</v>
      </c>
      <c r="L441" s="9">
        <v>0</v>
      </c>
    </row>
    <row r="442" spans="1:12" x14ac:dyDescent="0.2">
      <c r="A442" s="6" t="s">
        <v>786</v>
      </c>
      <c r="B442" s="6" t="s">
        <v>425</v>
      </c>
      <c r="C442" s="7">
        <v>45826</v>
      </c>
      <c r="D442" s="7">
        <v>45856</v>
      </c>
      <c r="E442" s="8">
        <f t="shared" si="12"/>
        <v>30</v>
      </c>
      <c r="F442" s="7"/>
      <c r="G442" s="8" t="str">
        <f t="shared" si="13"/>
        <v/>
      </c>
      <c r="H442" s="7">
        <v>45856</v>
      </c>
      <c r="I442" s="8">
        <f>IF($H442="", "", 参数!$B$3-$H442)</f>
        <v>168</v>
      </c>
      <c r="J442" s="6" t="s">
        <v>1258</v>
      </c>
      <c r="K442" s="9">
        <v>44254.6</v>
      </c>
      <c r="L442" s="9">
        <v>0</v>
      </c>
    </row>
    <row r="443" spans="1:12" x14ac:dyDescent="0.2">
      <c r="A443" s="6" t="s">
        <v>797</v>
      </c>
      <c r="B443" s="6" t="s">
        <v>425</v>
      </c>
      <c r="C443" s="7">
        <v>45826</v>
      </c>
      <c r="D443" s="7">
        <v>45856</v>
      </c>
      <c r="E443" s="8">
        <f t="shared" si="12"/>
        <v>30</v>
      </c>
      <c r="F443" s="7"/>
      <c r="G443" s="8" t="str">
        <f t="shared" si="13"/>
        <v/>
      </c>
      <c r="H443" s="7">
        <v>45856</v>
      </c>
      <c r="I443" s="8">
        <f>IF($H443="", "", 参数!$B$3-$H443)</f>
        <v>168</v>
      </c>
      <c r="J443" s="6" t="s">
        <v>1258</v>
      </c>
      <c r="K443" s="9">
        <v>52921.8</v>
      </c>
      <c r="L443" s="9">
        <v>0</v>
      </c>
    </row>
    <row r="444" spans="1:12" x14ac:dyDescent="0.2">
      <c r="A444" s="6" t="s">
        <v>796</v>
      </c>
      <c r="B444" s="6" t="s">
        <v>425</v>
      </c>
      <c r="C444" s="7">
        <v>45826</v>
      </c>
      <c r="D444" s="7">
        <v>45909</v>
      </c>
      <c r="E444" s="8">
        <f t="shared" si="12"/>
        <v>83</v>
      </c>
      <c r="F444" s="7"/>
      <c r="G444" s="8" t="str">
        <f t="shared" si="13"/>
        <v/>
      </c>
      <c r="H444" s="7">
        <v>45909</v>
      </c>
      <c r="I444" s="8">
        <f>IF($H444="", "", 参数!$B$3-$H444)</f>
        <v>115</v>
      </c>
      <c r="J444" s="6" t="s">
        <v>1258</v>
      </c>
      <c r="K444" s="9">
        <v>129168.6</v>
      </c>
      <c r="L444" s="9">
        <v>0</v>
      </c>
    </row>
    <row r="445" spans="1:12" x14ac:dyDescent="0.2">
      <c r="A445" s="6" t="s">
        <v>1269</v>
      </c>
      <c r="B445" s="6" t="s">
        <v>425</v>
      </c>
      <c r="C445" s="7">
        <v>45826</v>
      </c>
      <c r="D445" s="7"/>
      <c r="E445" s="8" t="str">
        <f t="shared" si="12"/>
        <v/>
      </c>
      <c r="F445" s="7"/>
      <c r="G445" s="8" t="str">
        <f t="shared" si="13"/>
        <v/>
      </c>
      <c r="H445" s="7">
        <v>45826</v>
      </c>
      <c r="I445" s="8">
        <f>IF($H445="", "", 参数!$B$3-$H445)</f>
        <v>198</v>
      </c>
      <c r="J445" s="6" t="s">
        <v>1241</v>
      </c>
      <c r="K445" s="9">
        <v>350000</v>
      </c>
      <c r="L445" s="9">
        <v>0</v>
      </c>
    </row>
    <row r="446" spans="1:12" x14ac:dyDescent="0.2">
      <c r="A446" s="6" t="s">
        <v>780</v>
      </c>
      <c r="B446" s="6" t="s">
        <v>779</v>
      </c>
      <c r="C446" s="7">
        <v>45828</v>
      </c>
      <c r="D446" s="7">
        <v>45873</v>
      </c>
      <c r="E446" s="8">
        <f t="shared" si="12"/>
        <v>45</v>
      </c>
      <c r="F446" s="7"/>
      <c r="G446" s="8" t="str">
        <f t="shared" si="13"/>
        <v/>
      </c>
      <c r="H446" s="7">
        <v>45873</v>
      </c>
      <c r="I446" s="8">
        <f>IF($H446="", "", 参数!$B$3-$H446)</f>
        <v>151</v>
      </c>
      <c r="J446" s="6" t="s">
        <v>1258</v>
      </c>
      <c r="K446" s="9">
        <v>7377.5</v>
      </c>
      <c r="L446" s="9">
        <v>0</v>
      </c>
    </row>
    <row r="447" spans="1:12" x14ac:dyDescent="0.2">
      <c r="A447" s="6" t="s">
        <v>813</v>
      </c>
      <c r="B447" s="6" t="s">
        <v>47</v>
      </c>
      <c r="C447" s="7">
        <v>45832</v>
      </c>
      <c r="D447" s="7"/>
      <c r="E447" s="8" t="str">
        <f t="shared" si="12"/>
        <v/>
      </c>
      <c r="F447" s="7"/>
      <c r="G447" s="8" t="str">
        <f t="shared" si="13"/>
        <v/>
      </c>
      <c r="H447" s="7">
        <v>45832</v>
      </c>
      <c r="I447" s="8">
        <f>IF($H447="", "", 参数!$B$3-$H447)</f>
        <v>192</v>
      </c>
      <c r="J447" s="6" t="s">
        <v>1241</v>
      </c>
      <c r="K447" s="9">
        <v>477506.16</v>
      </c>
      <c r="L447" s="9">
        <v>-340000</v>
      </c>
    </row>
    <row r="448" spans="1:12" x14ac:dyDescent="0.2">
      <c r="A448" s="6" t="s">
        <v>1271</v>
      </c>
      <c r="B448" s="6" t="s">
        <v>1270</v>
      </c>
      <c r="C448" s="7">
        <v>45839</v>
      </c>
      <c r="D448" s="7"/>
      <c r="E448" s="8" t="str">
        <f t="shared" si="12"/>
        <v/>
      </c>
      <c r="F448" s="7"/>
      <c r="G448" s="8" t="str">
        <f t="shared" si="13"/>
        <v/>
      </c>
      <c r="H448" s="7">
        <v>45839</v>
      </c>
      <c r="I448" s="8">
        <f>IF($H448="", "", 参数!$B$3-$H448)</f>
        <v>185</v>
      </c>
      <c r="J448" s="6" t="s">
        <v>1241</v>
      </c>
      <c r="K448" s="9">
        <v>456766.11</v>
      </c>
      <c r="L448" s="9">
        <v>0</v>
      </c>
    </row>
    <row r="449" spans="1:12" x14ac:dyDescent="0.2">
      <c r="A449" s="6" t="s">
        <v>802</v>
      </c>
      <c r="B449" s="6" t="s">
        <v>145</v>
      </c>
      <c r="C449" s="7">
        <v>45839</v>
      </c>
      <c r="D449" s="7">
        <v>45853</v>
      </c>
      <c r="E449" s="8">
        <f t="shared" si="12"/>
        <v>14</v>
      </c>
      <c r="F449" s="7"/>
      <c r="G449" s="8" t="str">
        <f t="shared" si="13"/>
        <v/>
      </c>
      <c r="H449" s="7">
        <v>45853</v>
      </c>
      <c r="I449" s="8">
        <f>IF($H449="", "", 参数!$B$3-$H449)</f>
        <v>171</v>
      </c>
      <c r="J449" s="6" t="s">
        <v>1258</v>
      </c>
      <c r="K449" s="9">
        <v>34260</v>
      </c>
      <c r="L449" s="9">
        <v>12435</v>
      </c>
    </row>
    <row r="450" spans="1:12" x14ac:dyDescent="0.2">
      <c r="A450" s="6" t="s">
        <v>1273</v>
      </c>
      <c r="B450" s="6" t="s">
        <v>1272</v>
      </c>
      <c r="C450" s="7">
        <v>45845</v>
      </c>
      <c r="D450" s="7">
        <v>45861</v>
      </c>
      <c r="E450" s="8">
        <f t="shared" si="12"/>
        <v>16</v>
      </c>
      <c r="F450" s="7"/>
      <c r="G450" s="8" t="str">
        <f t="shared" si="13"/>
        <v/>
      </c>
      <c r="H450" s="7">
        <v>45861</v>
      </c>
      <c r="I450" s="8">
        <f>IF($H450="", "", 参数!$B$3-$H450)</f>
        <v>163</v>
      </c>
      <c r="J450" s="6" t="s">
        <v>1258</v>
      </c>
      <c r="K450" s="9">
        <v>305200</v>
      </c>
      <c r="L450" s="9">
        <v>200000</v>
      </c>
    </row>
    <row r="451" spans="1:12" x14ac:dyDescent="0.2">
      <c r="A451" s="6" t="s">
        <v>827</v>
      </c>
      <c r="B451" s="6" t="s">
        <v>826</v>
      </c>
      <c r="C451" s="7">
        <v>45849</v>
      </c>
      <c r="D451" s="7">
        <v>45900</v>
      </c>
      <c r="E451" s="8">
        <f t="shared" ref="E451:E473" si="14">IF(OR($C451="", $D451=""),"", $D451-$C451)</f>
        <v>51</v>
      </c>
      <c r="F451" s="7"/>
      <c r="G451" s="8" t="str">
        <f t="shared" ref="G451:G473" si="15">IF(OR($C451="", $D451="",$F451=""),"", $F451-$D451)</f>
        <v/>
      </c>
      <c r="H451" s="7">
        <v>45900</v>
      </c>
      <c r="I451" s="8">
        <f>IF($H451="", "", 参数!$B$3-$H451)</f>
        <v>124</v>
      </c>
      <c r="J451" s="6" t="s">
        <v>1258</v>
      </c>
      <c r="K451" s="9">
        <v>524456.80000000005</v>
      </c>
      <c r="L451" s="9">
        <v>213253.8</v>
      </c>
    </row>
    <row r="452" spans="1:12" x14ac:dyDescent="0.2">
      <c r="A452" s="6" t="s">
        <v>1274</v>
      </c>
      <c r="B452" s="6" t="s">
        <v>90</v>
      </c>
      <c r="C452" s="7">
        <v>45853</v>
      </c>
      <c r="D452" s="7"/>
      <c r="E452" s="8" t="str">
        <f t="shared" si="14"/>
        <v/>
      </c>
      <c r="F452" s="7"/>
      <c r="G452" s="8" t="str">
        <f t="shared" si="15"/>
        <v/>
      </c>
      <c r="H452" s="7">
        <v>45853</v>
      </c>
      <c r="I452" s="8">
        <f>IF($H452="", "", 参数!$B$3-$H452)</f>
        <v>171</v>
      </c>
      <c r="J452" s="6" t="s">
        <v>1258</v>
      </c>
      <c r="K452" s="9">
        <v>155000</v>
      </c>
      <c r="L452" s="9">
        <v>0</v>
      </c>
    </row>
    <row r="453" spans="1:12" x14ac:dyDescent="0.2">
      <c r="A453" s="6" t="s">
        <v>834</v>
      </c>
      <c r="B453" s="6" t="s">
        <v>1270</v>
      </c>
      <c r="C453" s="7">
        <v>45859</v>
      </c>
      <c r="D453" s="7"/>
      <c r="E453" s="8" t="str">
        <f t="shared" si="14"/>
        <v/>
      </c>
      <c r="F453" s="7"/>
      <c r="G453" s="8" t="str">
        <f t="shared" si="15"/>
        <v/>
      </c>
      <c r="H453" s="7">
        <v>45859</v>
      </c>
      <c r="I453" s="8">
        <f>IF($H453="", "", 参数!$B$3-$H453)</f>
        <v>165</v>
      </c>
      <c r="J453" s="6" t="s">
        <v>1258</v>
      </c>
      <c r="K453" s="9">
        <v>828400</v>
      </c>
      <c r="L453" s="9">
        <v>-666731.03</v>
      </c>
    </row>
    <row r="454" spans="1:12" x14ac:dyDescent="0.2">
      <c r="A454" s="6" t="s">
        <v>906</v>
      </c>
      <c r="B454" s="6" t="s">
        <v>905</v>
      </c>
      <c r="C454" s="7">
        <v>45859</v>
      </c>
      <c r="D454" s="7"/>
      <c r="E454" s="8" t="str">
        <f t="shared" si="14"/>
        <v/>
      </c>
      <c r="F454" s="7"/>
      <c r="G454" s="8" t="str">
        <f t="shared" si="15"/>
        <v/>
      </c>
      <c r="H454" s="7">
        <v>45859</v>
      </c>
      <c r="I454" s="8">
        <f>IF($H454="", "", 参数!$B$3-$H454)</f>
        <v>165</v>
      </c>
      <c r="J454" s="6" t="s">
        <v>1258</v>
      </c>
      <c r="K454" s="9">
        <v>214200</v>
      </c>
      <c r="L454" s="9">
        <v>0</v>
      </c>
    </row>
    <row r="455" spans="1:12" x14ac:dyDescent="0.2">
      <c r="A455" s="6" t="s">
        <v>1275</v>
      </c>
      <c r="B455" s="6" t="s">
        <v>145</v>
      </c>
      <c r="C455" s="7">
        <v>45860</v>
      </c>
      <c r="D455" s="7"/>
      <c r="E455" s="8" t="str">
        <f t="shared" si="14"/>
        <v/>
      </c>
      <c r="F455" s="7"/>
      <c r="G455" s="8" t="str">
        <f t="shared" si="15"/>
        <v/>
      </c>
      <c r="H455" s="7">
        <v>45860</v>
      </c>
      <c r="I455" s="8">
        <f>IF($H455="", "", 参数!$B$3-$H455)</f>
        <v>164</v>
      </c>
      <c r="J455" s="6" t="s">
        <v>1258</v>
      </c>
      <c r="K455" s="9">
        <v>26000</v>
      </c>
      <c r="L455" s="9">
        <v>0</v>
      </c>
    </row>
    <row r="456" spans="1:12" x14ac:dyDescent="0.2">
      <c r="A456" s="6" t="s">
        <v>830</v>
      </c>
      <c r="B456" s="6" t="s">
        <v>880</v>
      </c>
      <c r="C456" s="7">
        <v>45890</v>
      </c>
      <c r="D456" s="7">
        <v>45958</v>
      </c>
      <c r="E456" s="8">
        <f t="shared" si="14"/>
        <v>68</v>
      </c>
      <c r="F456" s="7"/>
      <c r="G456" s="8" t="str">
        <f t="shared" si="15"/>
        <v/>
      </c>
      <c r="H456" s="7">
        <v>45958</v>
      </c>
      <c r="I456" s="8">
        <f>IF($H456="", "", 参数!$B$3-$H456)</f>
        <v>66</v>
      </c>
      <c r="J456" s="6" t="s">
        <v>1266</v>
      </c>
      <c r="K456" s="9">
        <v>6000</v>
      </c>
      <c r="L456" s="9">
        <v>0</v>
      </c>
    </row>
    <row r="457" spans="1:12" x14ac:dyDescent="0.2">
      <c r="A457" s="6" t="s">
        <v>1277</v>
      </c>
      <c r="B457" s="6" t="s">
        <v>1276</v>
      </c>
      <c r="C457" s="7">
        <v>45898</v>
      </c>
      <c r="D457" s="7">
        <v>45908</v>
      </c>
      <c r="E457" s="8">
        <f t="shared" si="14"/>
        <v>10</v>
      </c>
      <c r="F457" s="7"/>
      <c r="G457" s="8" t="str">
        <f t="shared" si="15"/>
        <v/>
      </c>
      <c r="H457" s="7">
        <v>45908</v>
      </c>
      <c r="I457" s="8">
        <f>IF($H457="", "", 参数!$B$3-$H457)</f>
        <v>116</v>
      </c>
      <c r="J457" s="6" t="s">
        <v>1258</v>
      </c>
      <c r="K457" s="9">
        <v>70000</v>
      </c>
      <c r="L457" s="9">
        <v>70000</v>
      </c>
    </row>
    <row r="458" spans="1:12" x14ac:dyDescent="0.2">
      <c r="A458" s="6" t="s">
        <v>1278</v>
      </c>
      <c r="B458" s="6" t="s">
        <v>442</v>
      </c>
      <c r="C458" s="7">
        <v>45905</v>
      </c>
      <c r="D458" s="7"/>
      <c r="E458" s="8" t="str">
        <f t="shared" si="14"/>
        <v/>
      </c>
      <c r="F458" s="7"/>
      <c r="G458" s="8" t="str">
        <f t="shared" si="15"/>
        <v/>
      </c>
      <c r="H458" s="7">
        <v>45905</v>
      </c>
      <c r="I458" s="8">
        <f>IF($H458="", "", 参数!$B$3-$H458)</f>
        <v>119</v>
      </c>
      <c r="J458" s="6" t="s">
        <v>1258</v>
      </c>
      <c r="K458" s="9">
        <v>1180000</v>
      </c>
      <c r="L458" s="9">
        <v>0</v>
      </c>
    </row>
    <row r="459" spans="1:12" x14ac:dyDescent="0.2">
      <c r="A459" s="6" t="s">
        <v>1279</v>
      </c>
      <c r="B459" s="6" t="s">
        <v>417</v>
      </c>
      <c r="C459" s="7">
        <v>45909</v>
      </c>
      <c r="D459" s="7"/>
      <c r="E459" s="8" t="str">
        <f t="shared" si="14"/>
        <v/>
      </c>
      <c r="F459" s="7"/>
      <c r="G459" s="8" t="str">
        <f t="shared" si="15"/>
        <v/>
      </c>
      <c r="H459" s="7">
        <v>45909</v>
      </c>
      <c r="I459" s="8">
        <f>IF($H459="", "", 参数!$B$3-$H459)</f>
        <v>115</v>
      </c>
      <c r="J459" s="6" t="s">
        <v>1258</v>
      </c>
      <c r="K459" s="9">
        <v>1263546</v>
      </c>
      <c r="L459" s="9">
        <v>0</v>
      </c>
    </row>
    <row r="460" spans="1:12" x14ac:dyDescent="0.2">
      <c r="A460" s="6" t="s">
        <v>803</v>
      </c>
      <c r="B460" s="6" t="s">
        <v>798</v>
      </c>
      <c r="C460" s="7">
        <v>45911</v>
      </c>
      <c r="D460" s="7">
        <v>45918</v>
      </c>
      <c r="E460" s="8">
        <f t="shared" si="14"/>
        <v>7</v>
      </c>
      <c r="F460" s="7"/>
      <c r="G460" s="8" t="str">
        <f t="shared" si="15"/>
        <v/>
      </c>
      <c r="H460" s="7">
        <v>45918</v>
      </c>
      <c r="I460" s="8">
        <f>IF($H460="", "", 参数!$B$3-$H460)</f>
        <v>106</v>
      </c>
      <c r="J460" s="6" t="s">
        <v>1258</v>
      </c>
      <c r="K460" s="9">
        <v>45500</v>
      </c>
      <c r="L460" s="9">
        <v>0</v>
      </c>
    </row>
    <row r="461" spans="1:12" x14ac:dyDescent="0.2">
      <c r="A461" s="6" t="s">
        <v>1280</v>
      </c>
      <c r="B461" s="6" t="s">
        <v>403</v>
      </c>
      <c r="C461" s="7">
        <v>45922</v>
      </c>
      <c r="D461" s="7"/>
      <c r="E461" s="8" t="str">
        <f t="shared" si="14"/>
        <v/>
      </c>
      <c r="F461" s="7"/>
      <c r="G461" s="8" t="str">
        <f t="shared" si="15"/>
        <v/>
      </c>
      <c r="H461" s="7">
        <v>45922</v>
      </c>
      <c r="I461" s="8">
        <f>IF($H461="", "", 参数!$B$3-$H461)</f>
        <v>102</v>
      </c>
      <c r="J461" s="6" t="s">
        <v>1258</v>
      </c>
      <c r="K461" s="9">
        <v>175000</v>
      </c>
      <c r="L461" s="9">
        <v>0</v>
      </c>
    </row>
    <row r="462" spans="1:12" x14ac:dyDescent="0.2">
      <c r="A462" s="6" t="s">
        <v>829</v>
      </c>
      <c r="B462" s="6" t="s">
        <v>828</v>
      </c>
      <c r="C462" s="7">
        <v>45931</v>
      </c>
      <c r="D462" s="7"/>
      <c r="E462" s="8" t="str">
        <f t="shared" si="14"/>
        <v/>
      </c>
      <c r="F462" s="7"/>
      <c r="G462" s="8" t="str">
        <f t="shared" si="15"/>
        <v/>
      </c>
      <c r="H462" s="7">
        <v>45931</v>
      </c>
      <c r="I462" s="8">
        <f>IF($H462="", "", 参数!$B$3-$H462)</f>
        <v>93</v>
      </c>
      <c r="J462" s="6" t="s">
        <v>1258</v>
      </c>
      <c r="K462" s="9">
        <v>354600</v>
      </c>
      <c r="L462" s="9">
        <v>-99400</v>
      </c>
    </row>
    <row r="463" spans="1:12" x14ac:dyDescent="0.2">
      <c r="A463" s="6" t="s">
        <v>1281</v>
      </c>
      <c r="B463" s="6" t="s">
        <v>240</v>
      </c>
      <c r="C463" s="7">
        <v>45941</v>
      </c>
      <c r="D463" s="7"/>
      <c r="E463" s="8" t="str">
        <f t="shared" si="14"/>
        <v/>
      </c>
      <c r="F463" s="7"/>
      <c r="G463" s="8" t="str">
        <f t="shared" si="15"/>
        <v/>
      </c>
      <c r="H463" s="7">
        <v>45941</v>
      </c>
      <c r="I463" s="8">
        <f>IF($H463="", "", 参数!$B$3-$H463)</f>
        <v>83</v>
      </c>
      <c r="J463" s="6" t="s">
        <v>1266</v>
      </c>
      <c r="K463" s="9">
        <v>96000</v>
      </c>
      <c r="L463" s="9">
        <v>0</v>
      </c>
    </row>
    <row r="464" spans="1:12" x14ac:dyDescent="0.2">
      <c r="A464" s="6" t="s">
        <v>838</v>
      </c>
      <c r="B464" s="6" t="s">
        <v>54</v>
      </c>
      <c r="C464" s="7">
        <v>45948</v>
      </c>
      <c r="D464" s="7"/>
      <c r="E464" s="8" t="str">
        <f t="shared" si="14"/>
        <v/>
      </c>
      <c r="F464" s="7"/>
      <c r="G464" s="8" t="str">
        <f t="shared" si="15"/>
        <v/>
      </c>
      <c r="H464" s="7">
        <v>45948</v>
      </c>
      <c r="I464" s="8">
        <f>IF($H464="", "", 参数!$B$3-$H464)</f>
        <v>76</v>
      </c>
      <c r="J464" s="6" t="s">
        <v>1266</v>
      </c>
      <c r="K464" s="9">
        <v>1234000</v>
      </c>
      <c r="L464" s="9">
        <v>-135000</v>
      </c>
    </row>
    <row r="465" spans="1:12" x14ac:dyDescent="0.2">
      <c r="A465" s="6" t="s">
        <v>1282</v>
      </c>
      <c r="B465" s="6" t="s">
        <v>109</v>
      </c>
      <c r="C465" s="7">
        <v>45954</v>
      </c>
      <c r="D465" s="7"/>
      <c r="E465" s="8" t="str">
        <f t="shared" si="14"/>
        <v/>
      </c>
      <c r="F465" s="7"/>
      <c r="G465" s="8" t="str">
        <f t="shared" si="15"/>
        <v/>
      </c>
      <c r="H465" s="7">
        <v>45954</v>
      </c>
      <c r="I465" s="8">
        <f>IF($H465="", "", 参数!$B$3-$H465)</f>
        <v>70</v>
      </c>
      <c r="J465" s="6" t="s">
        <v>1266</v>
      </c>
      <c r="K465" s="9">
        <v>120000</v>
      </c>
      <c r="L465" s="9">
        <v>133340</v>
      </c>
    </row>
    <row r="466" spans="1:12" x14ac:dyDescent="0.2">
      <c r="A466" s="6" t="s">
        <v>1283</v>
      </c>
      <c r="B466" s="6" t="s">
        <v>637</v>
      </c>
      <c r="C466" s="7">
        <v>45969</v>
      </c>
      <c r="D466" s="7"/>
      <c r="E466" s="8" t="str">
        <f t="shared" si="14"/>
        <v/>
      </c>
      <c r="F466" s="7"/>
      <c r="G466" s="8" t="str">
        <f t="shared" si="15"/>
        <v/>
      </c>
      <c r="H466" s="7">
        <v>45969</v>
      </c>
      <c r="I466" s="8">
        <f>IF($H466="", "", 参数!$B$3-$H466)</f>
        <v>55</v>
      </c>
      <c r="J466" s="6" t="s">
        <v>1284</v>
      </c>
      <c r="K466" s="9">
        <v>200000</v>
      </c>
      <c r="L466" s="9">
        <v>0</v>
      </c>
    </row>
    <row r="467" spans="1:12" x14ac:dyDescent="0.2">
      <c r="A467" s="6" t="s">
        <v>1285</v>
      </c>
      <c r="B467" s="6" t="s">
        <v>334</v>
      </c>
      <c r="C467" s="7">
        <v>45974</v>
      </c>
      <c r="D467" s="7"/>
      <c r="E467" s="8" t="str">
        <f t="shared" si="14"/>
        <v/>
      </c>
      <c r="F467" s="7"/>
      <c r="G467" s="8" t="str">
        <f t="shared" si="15"/>
        <v/>
      </c>
      <c r="H467" s="7">
        <v>45974</v>
      </c>
      <c r="I467" s="8">
        <f>IF($H467="", "", 参数!$B$3-$H467)</f>
        <v>50</v>
      </c>
      <c r="J467" s="6" t="s">
        <v>1284</v>
      </c>
      <c r="K467" s="9">
        <v>28000</v>
      </c>
      <c r="L467" s="9">
        <v>0</v>
      </c>
    </row>
    <row r="468" spans="1:12" x14ac:dyDescent="0.2">
      <c r="A468" s="6" t="s">
        <v>1286</v>
      </c>
      <c r="B468" s="6" t="s">
        <v>783</v>
      </c>
      <c r="C468" s="7">
        <v>45980</v>
      </c>
      <c r="D468" s="7"/>
      <c r="E468" s="8" t="str">
        <f t="shared" si="14"/>
        <v/>
      </c>
      <c r="F468" s="7"/>
      <c r="G468" s="8" t="str">
        <f t="shared" si="15"/>
        <v/>
      </c>
      <c r="H468" s="7">
        <v>45980</v>
      </c>
      <c r="I468" s="8">
        <f>IF($H468="", "", 参数!$B$3-$H468)</f>
        <v>44</v>
      </c>
      <c r="J468" s="6" t="s">
        <v>1284</v>
      </c>
      <c r="K468" s="9">
        <v>228900</v>
      </c>
      <c r="L468" s="9">
        <v>0</v>
      </c>
    </row>
    <row r="469" spans="1:12" x14ac:dyDescent="0.2">
      <c r="A469" s="6" t="s">
        <v>1287</v>
      </c>
      <c r="B469" s="6" t="s">
        <v>442</v>
      </c>
      <c r="C469" s="7">
        <v>45992</v>
      </c>
      <c r="D469" s="7"/>
      <c r="E469" s="8" t="str">
        <f t="shared" si="14"/>
        <v/>
      </c>
      <c r="F469" s="7"/>
      <c r="G469" s="8" t="str">
        <f t="shared" si="15"/>
        <v/>
      </c>
      <c r="H469" s="7">
        <v>45992</v>
      </c>
      <c r="I469" s="8">
        <f>IF($H469="", "", 参数!$B$3-$H469)</f>
        <v>32</v>
      </c>
      <c r="J469" s="6" t="s">
        <v>1284</v>
      </c>
      <c r="K469" s="9">
        <v>3808371.22</v>
      </c>
      <c r="L469" s="9">
        <v>0</v>
      </c>
    </row>
    <row r="470" spans="1:12" x14ac:dyDescent="0.2">
      <c r="A470" s="6" t="s">
        <v>1288</v>
      </c>
      <c r="B470" s="6" t="s">
        <v>345</v>
      </c>
      <c r="C470" s="7">
        <v>45996</v>
      </c>
      <c r="D470" s="7"/>
      <c r="E470" s="8" t="str">
        <f t="shared" si="14"/>
        <v/>
      </c>
      <c r="F470" s="7"/>
      <c r="G470" s="8" t="str">
        <f t="shared" si="15"/>
        <v/>
      </c>
      <c r="H470" s="7">
        <v>45996</v>
      </c>
      <c r="I470" s="8">
        <f>IF($H470="", "", 参数!$B$3-$H470)</f>
        <v>28</v>
      </c>
      <c r="J470" s="6" t="s">
        <v>1289</v>
      </c>
      <c r="K470" s="9">
        <v>60000</v>
      </c>
      <c r="L470" s="9">
        <v>0</v>
      </c>
    </row>
    <row r="471" spans="1:12" x14ac:dyDescent="0.2">
      <c r="A471" s="6" t="s">
        <v>1290</v>
      </c>
      <c r="B471" s="6" t="s">
        <v>409</v>
      </c>
      <c r="C471" s="7">
        <v>46001</v>
      </c>
      <c r="D471" s="7"/>
      <c r="E471" s="8" t="str">
        <f t="shared" si="14"/>
        <v/>
      </c>
      <c r="F471" s="7"/>
      <c r="G471" s="8" t="str">
        <f t="shared" si="15"/>
        <v/>
      </c>
      <c r="H471" s="7">
        <v>46001</v>
      </c>
      <c r="I471" s="8">
        <f>IF($H471="", "", 参数!$B$3-$H471)</f>
        <v>23</v>
      </c>
      <c r="J471" s="6" t="s">
        <v>1289</v>
      </c>
      <c r="K471" s="9">
        <v>460000</v>
      </c>
      <c r="L471" s="9">
        <v>0</v>
      </c>
    </row>
    <row r="472" spans="1:12" x14ac:dyDescent="0.2">
      <c r="A472" s="6" t="s">
        <v>1291</v>
      </c>
      <c r="B472" s="6" t="s">
        <v>409</v>
      </c>
      <c r="C472" s="7">
        <v>46008</v>
      </c>
      <c r="D472" s="7"/>
      <c r="E472" s="8" t="str">
        <f t="shared" si="14"/>
        <v/>
      </c>
      <c r="F472" s="7"/>
      <c r="G472" s="8" t="str">
        <f t="shared" si="15"/>
        <v/>
      </c>
      <c r="H472" s="7">
        <v>46008</v>
      </c>
      <c r="I472" s="8">
        <f>IF($H472="", "", 参数!$B$3-$H472)</f>
        <v>16</v>
      </c>
      <c r="J472" s="6" t="s">
        <v>1289</v>
      </c>
      <c r="K472" s="9">
        <v>346000</v>
      </c>
      <c r="L472" s="9"/>
    </row>
    <row r="473" spans="1:12" x14ac:dyDescent="0.2">
      <c r="A473" s="6" t="s">
        <v>1292</v>
      </c>
      <c r="B473" s="6" t="s">
        <v>905</v>
      </c>
      <c r="C473" s="7">
        <v>46013</v>
      </c>
      <c r="D473" s="7">
        <v>46021</v>
      </c>
      <c r="E473" s="8">
        <f t="shared" si="14"/>
        <v>8</v>
      </c>
      <c r="F473" s="7"/>
      <c r="G473" s="8" t="str">
        <f t="shared" si="15"/>
        <v/>
      </c>
      <c r="H473" s="7">
        <v>46021</v>
      </c>
      <c r="I473" s="8">
        <f>IF($H473="", "", 参数!$B$3-$H473)</f>
        <v>3</v>
      </c>
      <c r="J473" s="6" t="s">
        <v>1289</v>
      </c>
      <c r="K473" s="9">
        <v>45000</v>
      </c>
      <c r="L473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参数</vt:lpstr>
      <vt:lpstr>结论_应收_穿透图</vt:lpstr>
      <vt:lpstr>账龄桶分析明细</vt:lpstr>
      <vt:lpstr>明细_开票</vt:lpstr>
      <vt:lpstr>明细_应收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Linze Zhang</cp:lastModifiedBy>
  <dcterms:modified xsi:type="dcterms:W3CDTF">2026-01-02T13:45:14Z</dcterms:modified>
</cp:coreProperties>
</file>