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青海" sheetId="10" r:id="rId1"/>
    <sheet name="伊犁" sheetId="4" r:id="rId2"/>
    <sheet name="日照" sheetId="2" r:id="rId3"/>
  </sheets>
  <definedNames>
    <definedName name="_xlnm._FilterDatabase" localSheetId="0" hidden="1">青海!$A$4:$AK$58</definedName>
    <definedName name="_xlnm._FilterDatabase" localSheetId="1" hidden="1">伊犁!$A$3:$X$8</definedName>
    <definedName name="_xlnm._FilterDatabase" localSheetId="2" hidden="1">日照!$B$2:$R$13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MyPC</author>
    <author>D</author>
  </authors>
  <commentList>
    <comment ref="I5" authorId="0">
      <text>
        <r>
          <rPr>
            <b/>
            <sz val="9"/>
            <rFont val="宋体"/>
            <charset val="134"/>
          </rPr>
          <t>MyPC:</t>
        </r>
        <r>
          <rPr>
            <sz val="9"/>
            <rFont val="宋体"/>
            <charset val="134"/>
          </rPr>
          <t xml:space="preserve">
原结算算金额299791改后调整为271797.25 差值27993.75，原审计金额23567961元 最终结算金额1228797.25</t>
        </r>
      </text>
    </comment>
    <comment ref="T5" authorId="1">
      <text>
        <r>
          <rPr>
            <b/>
            <sz val="9"/>
            <rFont val="宋体"/>
            <charset val="134"/>
          </rPr>
          <t>D:</t>
        </r>
        <r>
          <rPr>
            <sz val="9"/>
            <rFont val="宋体"/>
            <charset val="134"/>
          </rPr>
          <t xml:space="preserve">
1万车辆抵债和1000元罚款</t>
        </r>
      </text>
    </comment>
    <comment ref="T6" authorId="1">
      <text>
        <r>
          <rPr>
            <b/>
            <sz val="9"/>
            <rFont val="宋体"/>
            <charset val="134"/>
          </rPr>
          <t>D:</t>
        </r>
        <r>
          <rPr>
            <sz val="9"/>
            <rFont val="宋体"/>
            <charset val="134"/>
          </rPr>
          <t xml:space="preserve">
罚款</t>
        </r>
      </text>
    </comment>
    <comment ref="Z14" authorId="1">
      <text>
        <r>
          <rPr>
            <b/>
            <sz val="9"/>
            <rFont val="宋体"/>
            <charset val="134"/>
          </rPr>
          <t>D:</t>
        </r>
        <r>
          <rPr>
            <sz val="9"/>
            <rFont val="宋体"/>
            <charset val="134"/>
          </rPr>
          <t xml:space="preserve">
</t>
        </r>
      </text>
    </comment>
    <comment ref="I20" authorId="0">
      <text>
        <r>
          <rPr>
            <b/>
            <sz val="9"/>
            <rFont val="宋体"/>
            <charset val="134"/>
          </rPr>
          <t>MyPC:</t>
        </r>
        <r>
          <rPr>
            <sz val="9"/>
            <rFont val="宋体"/>
            <charset val="134"/>
          </rPr>
          <t xml:space="preserve">
废淡液钛板更换</t>
        </r>
      </text>
    </comment>
    <comment ref="I21" authorId="0">
      <text>
        <r>
          <rPr>
            <b/>
            <sz val="9"/>
            <rFont val="宋体"/>
            <charset val="134"/>
          </rPr>
          <t>MyPC:</t>
        </r>
        <r>
          <rPr>
            <sz val="9"/>
            <rFont val="宋体"/>
            <charset val="134"/>
          </rPr>
          <t xml:space="preserve">
四个蒸氨塔结算</t>
        </r>
      </text>
    </comment>
    <comment ref="I22" authorId="0">
      <text>
        <r>
          <rPr>
            <b/>
            <sz val="9"/>
            <rFont val="宋体"/>
            <charset val="134"/>
          </rPr>
          <t>MyPC:</t>
        </r>
        <r>
          <rPr>
            <sz val="9"/>
            <rFont val="宋体"/>
            <charset val="134"/>
          </rPr>
          <t xml:space="preserve">
5个蒸氨塔+1风机</t>
        </r>
      </text>
    </comment>
    <comment ref="I23" authorId="0">
      <text>
        <r>
          <rPr>
            <b/>
            <sz val="9"/>
            <rFont val="宋体"/>
            <charset val="134"/>
          </rPr>
          <t>MyPC:</t>
        </r>
        <r>
          <rPr>
            <sz val="9"/>
            <rFont val="宋体"/>
            <charset val="134"/>
          </rPr>
          <t xml:space="preserve">
二氧化碳压缩系统附属设施优化升级改造项目</t>
        </r>
      </text>
    </comment>
    <comment ref="R33" authorId="1">
      <text>
        <r>
          <rPr>
            <b/>
            <sz val="9"/>
            <rFont val="宋体"/>
            <charset val="134"/>
          </rPr>
          <t>D:</t>
        </r>
        <r>
          <rPr>
            <sz val="9"/>
            <rFont val="宋体"/>
            <charset val="134"/>
          </rPr>
          <t xml:space="preserve">
扣罚款</t>
        </r>
      </text>
    </comment>
  </commentList>
</comments>
</file>

<file path=xl/comments2.xml><?xml version="1.0" encoding="utf-8"?>
<comments xmlns="http://schemas.openxmlformats.org/spreadsheetml/2006/main">
  <authors>
    <author>MyPC</author>
  </authors>
  <commentList>
    <comment ref="F4" authorId="0">
      <text>
        <r>
          <rPr>
            <b/>
            <sz val="9"/>
            <rFont val="宋体"/>
            <charset val="134"/>
          </rPr>
          <t>MyPC:</t>
        </r>
        <r>
          <rPr>
            <sz val="9"/>
            <rFont val="宋体"/>
            <charset val="134"/>
          </rPr>
          <t xml:space="preserve">
税率9%，不含税金额750005.65</t>
        </r>
      </text>
    </comment>
  </commentList>
</comments>
</file>

<file path=xl/sharedStrings.xml><?xml version="1.0" encoding="utf-8"?>
<sst xmlns="http://schemas.openxmlformats.org/spreadsheetml/2006/main" count="519" uniqueCount="287">
  <si>
    <t>序号</t>
  </si>
  <si>
    <t>甲方</t>
  </si>
  <si>
    <t>乙方</t>
  </si>
  <si>
    <t>合同名称</t>
  </si>
  <si>
    <t>合同编号</t>
  </si>
  <si>
    <t>施工状态</t>
  </si>
  <si>
    <t>含税合同额</t>
  </si>
  <si>
    <t>产值上报金额</t>
  </si>
  <si>
    <t>结算金额</t>
  </si>
  <si>
    <t>已开票</t>
  </si>
  <si>
    <t>未开票</t>
  </si>
  <si>
    <t>回款1</t>
  </si>
  <si>
    <t>回款2</t>
  </si>
  <si>
    <t>回款3</t>
  </si>
  <si>
    <t>回款4</t>
  </si>
  <si>
    <t>回款5</t>
  </si>
  <si>
    <t>回款6</t>
  </si>
  <si>
    <t>回款7</t>
  </si>
  <si>
    <t>回款8</t>
  </si>
  <si>
    <t>回款9</t>
  </si>
  <si>
    <t>回款10</t>
  </si>
  <si>
    <t>回款11</t>
  </si>
  <si>
    <t>回款12</t>
  </si>
  <si>
    <t>已回款</t>
  </si>
  <si>
    <t>结算应收款</t>
  </si>
  <si>
    <t>结算应收款明细</t>
  </si>
  <si>
    <t>保证金
支付金额</t>
  </si>
  <si>
    <t>保证金
退还金额</t>
  </si>
  <si>
    <t>回款比例</t>
  </si>
  <si>
    <t>待退保证金</t>
  </si>
  <si>
    <t>4月已回款</t>
  </si>
  <si>
    <t>备注</t>
  </si>
  <si>
    <t>应收进度款</t>
  </si>
  <si>
    <t>质保</t>
  </si>
  <si>
    <t>项目款</t>
  </si>
  <si>
    <t>质保金</t>
  </si>
  <si>
    <t>青海发投碱业有限公司</t>
  </si>
  <si>
    <t>湖北岚丹</t>
  </si>
  <si>
    <t>青海发投碱业重碱车间2023年新增离心机节能增效技术改造项目</t>
  </si>
  <si>
    <t>KMX240109-010-XF</t>
  </si>
  <si>
    <t>已完工</t>
  </si>
  <si>
    <t>2026.11月质保到期</t>
  </si>
  <si>
    <t>青海发投碱业有限公司 石灰车间除尘器更换项目</t>
  </si>
  <si>
    <t>KMX240927-098-XF</t>
  </si>
  <si>
    <t>有7000块钱罚款  2026.8.25质保到期</t>
  </si>
  <si>
    <t>青海发投碱业有限公司上清液节水减排改造(安装施工)项目</t>
  </si>
  <si>
    <t>KMX241230-117-XF</t>
  </si>
  <si>
    <t>有3000罚款
 还未结算 工程量签证单还未签完（签过 需要重新改）3月结算问题不大</t>
  </si>
  <si>
    <t>青海发投碱业有限公司重碱车间一座碳化塔更新项目施工总承包合同</t>
  </si>
  <si>
    <t>KMX2503018-019-XF</t>
  </si>
  <si>
    <t>只剩质保金了 质保2026.12月到期</t>
  </si>
  <si>
    <t>江苏唐电</t>
  </si>
  <si>
    <t>青海发投碱业有限公司煅烧车间轻、重灰闪发器更新项目及轻灰一闪总管、重灰煅烧炉进气总管技改项目施工项目</t>
  </si>
  <si>
    <t>KMX250416-027-XF</t>
  </si>
  <si>
    <t>只剩质保金了 44000保证金这块和锅炉减温器的一起退</t>
  </si>
  <si>
    <t>青海发投碱业有限公司热电车间锅炉喷水减温器更换项目</t>
  </si>
  <si>
    <t>KMX250618-050</t>
  </si>
  <si>
    <t>还在施工状态</t>
  </si>
  <si>
    <t>已更换了1 3 5 三台炉，2 4还没停炉 过一两个月停一次炉才能进行更换，5月初才能施工其中的一台</t>
  </si>
  <si>
    <t>武汉开明</t>
  </si>
  <si>
    <t>青海发投碱业有限公司重灰2#、3#、5#重灰炉炉头总成技改项目</t>
  </si>
  <si>
    <t>KMX250307-014-XF</t>
  </si>
  <si>
    <t xml:space="preserve">有罚款2500  只剩质保金了 炉体保温1万多额外结算
</t>
  </si>
  <si>
    <t>青海发投碱业有限公司供压缩 3.82MPA蒸汽管线优化改造及新增重灰减温减压装置(安装)</t>
  </si>
  <si>
    <t>KMX250429-033</t>
  </si>
  <si>
    <t>只剩质保金了 保证金已退完</t>
  </si>
  <si>
    <t>青海发投碱业有限公司一期渣场二、三、四级泵站出口平台母管更换项目施工总承包合同</t>
  </si>
  <si>
    <t>KMX2503018-020-XF</t>
  </si>
  <si>
    <t>青海发投碱业有限公司重碱车间压缩系统节能降碳技术改造项目窑气管线移位及管线甩头项目</t>
  </si>
  <si>
    <t>KMX250618-049</t>
  </si>
  <si>
    <t>青海发投碱业有限公司重碱车间管线及阀门更换项目</t>
  </si>
  <si>
    <t>KMX250618-046</t>
  </si>
  <si>
    <t>青海发投碱业有限公司重碱车间压缩工段阀门管线更换、新增系统甩头项目</t>
  </si>
  <si>
    <t>KMX250618-048</t>
  </si>
  <si>
    <t>青海发投碱业有限公司重碱车间蒸吸工段阀门及管线更换项目</t>
  </si>
  <si>
    <t>KMX250618-047</t>
  </si>
  <si>
    <t>青海发投碱业有限公司轻灰2#煅烧炉滚圈及托轮在线车削与调整项目</t>
  </si>
  <si>
    <t>KMX240625-075-XF</t>
  </si>
  <si>
    <t>销账</t>
  </si>
  <si>
    <t>青海发投热电车间5台脱硫塔入口烟道更换项目</t>
  </si>
  <si>
    <t>KMX240313-048-XF</t>
  </si>
  <si>
    <t>需要对账 已经已经付完</t>
  </si>
  <si>
    <t>青海发投碱业有限公司2025 年零星设备维修、安装、更换项目</t>
  </si>
  <si>
    <t>KMX250114-003-XF</t>
  </si>
  <si>
    <t>只剩质保，</t>
  </si>
  <si>
    <t>2025.12.11</t>
  </si>
  <si>
    <t>2025.11.11</t>
  </si>
  <si>
    <t>2025.12.5</t>
  </si>
  <si>
    <t>青海发投碱业有限公司水气车间阀门、管线、伸缩节更换项</t>
  </si>
  <si>
    <t>KMX240508-064-XF</t>
  </si>
  <si>
    <t>农民工保证金和履约保证金2月退</t>
  </si>
  <si>
    <t>青海发投碱业盐水车间精盐水罐面及杂水罐花架平台更换项目</t>
  </si>
  <si>
    <t>KMX240229-042-XF</t>
  </si>
  <si>
    <t>质保金已签字 2月回款</t>
  </si>
  <si>
    <t>青海发投盐水车间1#-4#化盐桶北侧地埋进水管线更换项目</t>
  </si>
  <si>
    <t>KMX231208-265-XF</t>
  </si>
  <si>
    <t>2月回保证金和履约保证金</t>
  </si>
  <si>
    <t>青海发投碱业重碱车间氨盐水A桶桶底更换项目</t>
  </si>
  <si>
    <t>KMX231120-253-XF</t>
  </si>
  <si>
    <t>履约保证金未退，马全花查账，对方显示退完</t>
  </si>
  <si>
    <t>青海发投煅烧车间重灰 4#煅烧炉大、小齿更换项目</t>
  </si>
  <si>
    <t>KMX250205-006-XF</t>
  </si>
  <si>
    <t>质保金7350已报 6月回款</t>
  </si>
  <si>
    <t>青海发投煅烧车间炉气冷凝洗涤塔至炉气横管短接及三通更换项目</t>
  </si>
  <si>
    <t>KMX240115-014-XF</t>
  </si>
  <si>
    <t>质保已回</t>
  </si>
  <si>
    <t>青海发投碱业厂区至排放口2#钙液管线更换项目</t>
  </si>
  <si>
    <t>KMX240408-052-XF</t>
  </si>
  <si>
    <t>需要跟财务对账</t>
  </si>
  <si>
    <t>青海发投碱业煅烧车间轻灰运碱系统刮板更换项目</t>
  </si>
  <si>
    <t>KMX240220-038-XF</t>
  </si>
  <si>
    <t>青海发投石灰车间5#石灰窑大修项目</t>
  </si>
  <si>
    <t>KMX240130-027-XF</t>
  </si>
  <si>
    <t>青海发投热电车间引风机出口烟道更换项目 5台</t>
  </si>
  <si>
    <t>KMX240122-019-XF</t>
  </si>
  <si>
    <t>青海发投碱业重碱车间蒸吸工段管线及阀门更换项目</t>
  </si>
  <si>
    <t>KMX240118-016-XF</t>
  </si>
  <si>
    <t>青海发投水气车间液氨站安装尾气回收装置土建及设备安装项目</t>
  </si>
  <si>
    <t>KMX231127-260-XF</t>
  </si>
  <si>
    <t xml:space="preserve">质保金2026.4月已回
</t>
  </si>
  <si>
    <t>青海发投碱业厂区至二级泵站钙液管线部分严重腐蚀处更换项目</t>
  </si>
  <si>
    <t>KMX230922-231-XF</t>
  </si>
  <si>
    <t>业主说已经按合同全部支付完 默认销账</t>
  </si>
  <si>
    <t>青海发投碱业有限公司车间 零星检修项目合同</t>
  </si>
  <si>
    <t>KMX240902-093-XF</t>
  </si>
  <si>
    <t>已完成部分</t>
  </si>
  <si>
    <t>青海盐湖镁业有限公司</t>
  </si>
  <si>
    <t>纯碱厂轻灰煅烧炉炉头滚圈更换委外维修合同</t>
  </si>
  <si>
    <t>KMX20251217 -083</t>
  </si>
  <si>
    <t>青海盐湖镁业有限公司 纯碱厂细粉回用重新结晶提质项目设备安装</t>
  </si>
  <si>
    <t>KMX20251210 - 082</t>
  </si>
  <si>
    <t>青海盐湖镁业纯碱厂6#压缩机委外维护保养项目26-007</t>
  </si>
  <si>
    <t>KMX2026122-007</t>
  </si>
  <si>
    <t>销账小计</t>
  </si>
  <si>
    <t>武汉开明高新科技有限公司</t>
  </si>
  <si>
    <t>青海发投重碱车间废液管线更换2024.1</t>
  </si>
  <si>
    <t>KMX240103-003-XF</t>
  </si>
  <si>
    <t>12月10之前对账确定后，销账</t>
  </si>
  <si>
    <t>青海发投煅烧车间轻灰3#煅烧炉加热管更换项目</t>
  </si>
  <si>
    <t>KMX240129-025-XF</t>
  </si>
  <si>
    <t>青海发投碱业盐水车间1#、2#、3#卸盐机及轨道拆除项目</t>
  </si>
  <si>
    <t>KMX230912-221-XF</t>
  </si>
  <si>
    <t>青海发投重碱车间4#吸氨塔水箱消漏项目</t>
  </si>
  <si>
    <t>KMX230829-213-XF</t>
  </si>
  <si>
    <t>青海发投碱业水气车间真空机、压缩机管线、阀门更换项目</t>
  </si>
  <si>
    <t>KMX230729-191-XF</t>
  </si>
  <si>
    <t>青海发投碱业石灰车间系统停车1#—7#洗涤塔弯头、管线更换项目</t>
  </si>
  <si>
    <t>KMX230725-185-XF</t>
  </si>
  <si>
    <t>青海发投碱业重碱车间碳化工段阀门更换项目</t>
  </si>
  <si>
    <t>KMX230523-148-XF</t>
  </si>
  <si>
    <t>青海发投碱业煅烧车间轻灰6#煅烧炉大修项目（现场施工为1#煅烧炉大修）</t>
  </si>
  <si>
    <t>KMX230414-115-XF</t>
  </si>
  <si>
    <t>青海发投碱业煅烧车间轻灰2#、4#、5#煅烧炉加热管更换项目</t>
  </si>
  <si>
    <t>KMX230414-114-XF</t>
  </si>
  <si>
    <t>青海发投碱业托轮离线修复12件</t>
  </si>
  <si>
    <t>KMX230412-105-XF</t>
  </si>
  <si>
    <t>青海发投碱业石灰车间1#小返石斗提机更新</t>
  </si>
  <si>
    <t>KMX230110-017-XF</t>
  </si>
  <si>
    <t>青海发投碱业石灰车间1#、2#化灰机托轮、滚圈更换</t>
  </si>
  <si>
    <t>KMX220923-358-XF</t>
  </si>
  <si>
    <t>青海发投碱业煅烧车间轻灰煅烧炉托轮离线修复5件2024.1</t>
  </si>
  <si>
    <t>KMX240129-023-XF</t>
  </si>
  <si>
    <t>12月10之前对账完成</t>
  </si>
  <si>
    <t>青海发投碱业重碱车间碳化工段管线及阀门更换</t>
  </si>
  <si>
    <t>KMX240218-034-XF</t>
  </si>
  <si>
    <t>青海发投碱业重碱车间钛材管线及阀门更换项目</t>
  </si>
  <si>
    <t>KMX240218-033-XF</t>
  </si>
  <si>
    <t>青海发投煅烧车间轻灰6#煅烧炉大修项目</t>
  </si>
  <si>
    <t>KMX240202-031-XF</t>
  </si>
  <si>
    <t>青海发投碱业有限公司+水气车间换五个阀门</t>
  </si>
  <si>
    <t>KMX240912-095-XF</t>
  </si>
  <si>
    <t>小林总</t>
  </si>
  <si>
    <t>青海发投重灰车间2号和4号水合机的拖轮滚圈，线车磨削，及调整</t>
  </si>
  <si>
    <t>KMX240815-092-XF</t>
  </si>
  <si>
    <t>已发函件</t>
  </si>
  <si>
    <t>业主合同号</t>
  </si>
  <si>
    <t>含税合同额(元)</t>
  </si>
  <si>
    <t>结算未开票</t>
  </si>
  <si>
    <t>结算应收款(元)</t>
  </si>
  <si>
    <t>开票应收款(元)</t>
  </si>
  <si>
    <t>待退保证金合计</t>
  </si>
  <si>
    <t>农民工资保证金</t>
  </si>
  <si>
    <t>安全金</t>
  </si>
  <si>
    <t>履约金</t>
  </si>
  <si>
    <t>1月预估回款</t>
  </si>
  <si>
    <t>3月已回款</t>
  </si>
  <si>
    <t>保证金1月份回款</t>
  </si>
  <si>
    <t>进度款</t>
  </si>
  <si>
    <t>保证金</t>
  </si>
  <si>
    <t>新疆伊犁钢铁炼钢厂烘烤器改造项目</t>
  </si>
  <si>
    <t>W-2025-0149</t>
  </si>
  <si>
    <t>KMX250624-052</t>
  </si>
  <si>
    <t>待验收结算</t>
  </si>
  <si>
    <t>伊犁钢铁炼铁厂破碎系统、上料系统整改抢修项目（临时合同）</t>
  </si>
  <si>
    <t>KMX240520-067-XF</t>
  </si>
  <si>
    <t>需要立项，编制预算清单</t>
  </si>
  <si>
    <t>伊犁钢铁炼铁厂安全隐患消缺抢修项目</t>
  </si>
  <si>
    <t>KMX240105-006-XF</t>
  </si>
  <si>
    <t>伊犁钢铁炼铁厂产能提升项目</t>
  </si>
  <si>
    <t>D-2024-0099</t>
  </si>
  <si>
    <t>KMX240218-035-XF</t>
  </si>
  <si>
    <t>3.18日质保金已签字给刘强了 6月才能报 质保2年 27200元保证金转履约</t>
  </si>
  <si>
    <t>瑞祥焦化煤气发电 1 号炉空预器抢修项目</t>
  </si>
  <si>
    <t>D-2024-0356</t>
  </si>
  <si>
    <t>KMX240105-007-XF</t>
  </si>
  <si>
    <t xml:space="preserve"> 4.22日质保手续已办 下一步开票</t>
  </si>
  <si>
    <t>小计</t>
  </si>
  <si>
    <t>结算金额(元)</t>
  </si>
  <si>
    <t>项目收款金额</t>
  </si>
  <si>
    <t>累计开票</t>
  </si>
  <si>
    <t>已清账</t>
  </si>
  <si>
    <t>新疆伊犁钢铁2023年伊犁钢铁炼铁厂烧结年修维修工程项目</t>
  </si>
  <si>
    <t>W-2023-050</t>
  </si>
  <si>
    <t>KMX231213-273-XF</t>
  </si>
  <si>
    <t>KMX211213-492-XF</t>
  </si>
  <si>
    <t>KMX211021-394-XF</t>
  </si>
  <si>
    <t>KMX221019-379-XF</t>
  </si>
  <si>
    <t>伊犁钢铁 2023年伊犁钢铁炼钢厂年修项目维修工程项目</t>
  </si>
  <si>
    <t>KMX231117-249-XF</t>
  </si>
  <si>
    <t>伊犁钢铁炼钢厂转炉炉体年修项目</t>
  </si>
  <si>
    <t>W-2023-0475</t>
  </si>
  <si>
    <t>KMX231117-251-XF</t>
  </si>
  <si>
    <t>新疆伊犁钢铁有限责任公司炼铁厂竖炉2024年设备功能精度恢复</t>
  </si>
  <si>
    <t>W-2024-0361</t>
  </si>
  <si>
    <t>KMX240930-100-XF</t>
  </si>
  <si>
    <t>新疆伊犁钢铁有限责任公司炼铁厂高炉、烧结2024年设备功能精度恢复</t>
  </si>
  <si>
    <t>W-2024-0362</t>
  </si>
  <si>
    <t>KMX240930-099-XF</t>
  </si>
  <si>
    <t>新疆伊犁钢铁有限责任公司炼铁厂捞渣机、高炉主垄沟2024年设备功能精度恢复</t>
  </si>
  <si>
    <t>W-2024-0360</t>
  </si>
  <si>
    <t>KMX240930-101-XF</t>
  </si>
  <si>
    <t>伊犁钢铁炼铁厂高炉年修项目</t>
  </si>
  <si>
    <t>W-2023-04740</t>
  </si>
  <si>
    <t>KMX231117-250-XF</t>
  </si>
  <si>
    <t>创建时间</t>
  </si>
  <si>
    <t>扣款</t>
  </si>
  <si>
    <t>开票未回款</t>
  </si>
  <si>
    <t>质保金(元)</t>
  </si>
  <si>
    <t>计划回款4月份</t>
  </si>
  <si>
    <t>4月没有回款，最快5月回款（12-2月间的新增工作量）最晚6月</t>
  </si>
  <si>
    <t>日照钢铁有限公司</t>
  </si>
  <si>
    <t>日照钢铁循环经济部石灰工场回转窑在线维修</t>
  </si>
  <si>
    <t>2024-05-07 10:34</t>
  </si>
  <si>
    <t>KMX240507-063-XF</t>
  </si>
  <si>
    <t>只剩质保 发票多开 待冲235605.51</t>
  </si>
  <si>
    <t>日照钢铁循环经济部石灰工场 2023 年上半年年修项目</t>
  </si>
  <si>
    <t>2023-05-16 15:03</t>
  </si>
  <si>
    <t>KMX230403-098-XF</t>
  </si>
  <si>
    <t>5%质保金手续已办</t>
  </si>
  <si>
    <t>日照钢铁第二烧结制造部14#混合机检测、车磨削、调整</t>
  </si>
  <si>
    <t>2023-06-05 09:06</t>
  </si>
  <si>
    <t>KMX230605-152-XF</t>
  </si>
  <si>
    <t>日照京华新型建材有限公司</t>
  </si>
  <si>
    <t>水泥球磨机筒体（端盖）裂纹修复；；石灰窑托轮修复-1#窑后档托轮托轮表面堆焊修复；石灰窑托轮修复-1#窑前挡托轮托轮表面堆焊修复；石灰窑托轮修复-8#窑前档托轮托轮表面堆焊修复</t>
  </si>
  <si>
    <t>KMX220329-153-XF</t>
  </si>
  <si>
    <t>质保回不来</t>
  </si>
  <si>
    <t>日照钢铁循环经济部除尘灰处理工场提锌窑维修项目</t>
  </si>
  <si>
    <t>2024-05-24 13:39</t>
  </si>
  <si>
    <t>KMX240524-070-XF</t>
  </si>
  <si>
    <t>只剩质保 有扣款64400</t>
  </si>
  <si>
    <t>日照钢铁建材厂石灰工场回转窑及附属设施维修项目（石灰厂）</t>
  </si>
  <si>
    <t>2025-06-06 14:07</t>
  </si>
  <si>
    <t>KMX250606-042</t>
  </si>
  <si>
    <t>刚完工</t>
  </si>
  <si>
    <t>1季度回款金额60%，(23.5万的60%）2季度验收金额514200  7月付 稽查已核完 此合同一共验收106.22万（23.5万+51.42万+31.3万） 
2季度还有两个活 调齿顶轮间隙8万未办验收 准备4.20重复整理数据</t>
  </si>
  <si>
    <t>日照钢铁炼铁厂新1#2#高炉同停外网煤气管道检修项目（炼铁）</t>
  </si>
  <si>
    <t>2025-04-23 09:52</t>
  </si>
  <si>
    <t>KMX250423-031</t>
  </si>
  <si>
    <t>资料打回来 让我们自己对工作量</t>
  </si>
  <si>
    <t>日照钢铁有限公司+板材制造部压力容器更换项目</t>
  </si>
  <si>
    <t>2025-02-10 10:25</t>
  </si>
  <si>
    <t>KMX250210-008-XF</t>
  </si>
  <si>
    <t xml:space="preserve">之前计划4月回款32300  </t>
  </si>
  <si>
    <t>日照钢铁控股集团有限公司+长型材制造部压力容器更换项目</t>
  </si>
  <si>
    <t>2025-02-10 10:05</t>
  </si>
  <si>
    <t>KMX250210-007-XF</t>
  </si>
  <si>
    <t>部分施工</t>
  </si>
  <si>
    <t>1、本月需施工一个12000元1天2m³，8.2m³储气罐</t>
  </si>
  <si>
    <t>日照钢铁建材厂除尘灰处理工场回转窑 筒体及支撑设施维修项目（提锌窑）</t>
  </si>
  <si>
    <t>2025-10-18 10:25</t>
  </si>
  <si>
    <t>KMX20251018-076</t>
  </si>
  <si>
    <t>施工中</t>
  </si>
  <si>
    <t>13.5万在走资金计划 最晚6月回款（5-6月）</t>
  </si>
  <si>
    <t>建材厂煤气管道泄漏治理项目（长约）</t>
  </si>
  <si>
    <t>2025-09-09 11:35</t>
  </si>
  <si>
    <t>KMX202599-068</t>
  </si>
  <si>
    <t>过程管控资料已经提交 还要更改（年前20万工资跟其他零散分开结算）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</si>
</sst>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3" formatCode="_ * #,##0.00_ ;_ * \-#,##0.00_ ;_ * &quot;-&quot;??_ ;_ @_ "/>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0.00_ "/>
    <numFmt numFmtId="181" formatCode="0.00_ "/>
  </numFmts>
  <fonts count="44">
    <font>
      <sz val="11"/>
      <color indexed="8"/>
      <name val="等线"/>
      <charset val="134"/>
      <scheme val="minor"/>
    </font>
    <font>
      <sz val="11"/>
      <color indexed="8"/>
      <name val="宋体"/>
      <charset val="134"/>
    </font>
    <font>
      <b/>
      <sz val="11"/>
      <color indexed="8"/>
      <name val="宋体"/>
      <charset val="134"/>
    </font>
    <font>
      <b/>
      <sz val="11"/>
      <name val="宋体"/>
      <charset val="134"/>
    </font>
    <font>
      <b/>
      <sz val="11"/>
      <color rgb="FF000000"/>
      <name val="宋体"/>
      <charset val="134"/>
    </font>
    <font>
      <sz val="11"/>
      <color theme="1"/>
      <name val="宋体"/>
      <charset val="134"/>
    </font>
    <font>
      <b/>
      <sz val="16"/>
      <color indexed="8"/>
      <name val="宋体"/>
      <charset val="134"/>
    </font>
    <font>
      <sz val="16"/>
      <color indexed="8"/>
      <name val="宋体"/>
      <charset val="134"/>
    </font>
    <font>
      <sz val="16"/>
      <name val="宋体"/>
      <charset val="134"/>
    </font>
    <font>
      <b/>
      <sz val="16"/>
      <name val="宋体"/>
      <charset val="134"/>
    </font>
    <font>
      <b/>
      <sz val="16"/>
      <color rgb="FFFF0000"/>
      <name val="宋体"/>
      <charset val="134"/>
    </font>
    <font>
      <sz val="12"/>
      <color indexed="8"/>
      <name val="宋体"/>
      <charset val="134"/>
    </font>
    <font>
      <sz val="12"/>
      <name val="宋体"/>
      <charset val="134"/>
    </font>
    <font>
      <b/>
      <sz val="12"/>
      <color indexed="8"/>
      <name val="宋体"/>
      <charset val="134"/>
    </font>
    <font>
      <b/>
      <sz val="14"/>
      <color indexed="8"/>
      <name val="宋体"/>
      <charset val="134"/>
    </font>
    <font>
      <b/>
      <sz val="16"/>
      <color rgb="FF000000"/>
      <name val="宋体"/>
      <charset val="134"/>
    </font>
    <font>
      <b/>
      <sz val="14"/>
      <name val="宋体"/>
      <charset val="134"/>
    </font>
    <font>
      <b/>
      <sz val="12"/>
      <name val="宋体"/>
      <charset val="134"/>
    </font>
    <font>
      <sz val="12"/>
      <color rgb="FF000000"/>
      <name val="宋体"/>
      <charset val="134"/>
    </font>
    <font>
      <sz val="12"/>
      <color rgb="FFFF0000"/>
      <name val="宋体"/>
      <charset val="134"/>
    </font>
    <font>
      <b/>
      <sz val="12"/>
      <color rgb="FFFF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10"/>
      <name val="宋体"/>
      <charset val="134"/>
    </font>
    <font>
      <b/>
      <sz val="9"/>
      <name val="宋体"/>
      <charset val="134"/>
    </font>
    <font>
      <sz val="9"/>
      <name val="宋体"/>
      <charset val="134"/>
    </font>
  </fonts>
  <fills count="38">
    <fill>
      <patternFill patternType="none"/>
    </fill>
    <fill>
      <patternFill patternType="gray125"/>
    </fill>
    <fill>
      <patternFill patternType="solid">
        <fgColor rgb="FFFFFF00"/>
        <bgColor indexed="64"/>
      </patternFill>
    </fill>
    <fill>
      <patternFill patternType="solid">
        <fgColor rgb="FF7EB5E3"/>
        <bgColor indexed="64"/>
      </patternFill>
    </fill>
    <fill>
      <patternFill patternType="solid">
        <fgColor theme="5" tint="0.799981688894314"/>
        <bgColor indexed="64"/>
      </patternFill>
    </fill>
    <fill>
      <patternFill patternType="solid">
        <fgColor rgb="FFFFC000"/>
        <bgColor indexed="64"/>
      </patternFill>
    </fill>
    <fill>
      <patternFill patternType="solid">
        <fgColor rgb="FF92D05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21" fillId="0" borderId="0" applyFont="0" applyFill="0" applyBorder="0" applyAlignment="0" applyProtection="0">
      <alignment vertical="center"/>
    </xf>
    <xf numFmtId="177" fontId="21" fillId="0" borderId="0" applyFont="0" applyFill="0" applyBorder="0" applyAlignment="0" applyProtection="0">
      <alignment vertical="center"/>
    </xf>
    <xf numFmtId="9" fontId="21" fillId="0" borderId="0" applyFont="0" applyFill="0" applyBorder="0" applyAlignment="0" applyProtection="0">
      <alignment vertical="center"/>
    </xf>
    <xf numFmtId="178" fontId="21" fillId="0" borderId="0" applyFont="0" applyFill="0" applyBorder="0" applyAlignment="0" applyProtection="0">
      <alignment vertical="center"/>
    </xf>
    <xf numFmtId="179"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8" borderId="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0" applyNumberFormat="0" applyFill="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30" fillId="9" borderId="12" applyNumberFormat="0" applyAlignment="0" applyProtection="0">
      <alignment vertical="center"/>
    </xf>
    <xf numFmtId="0" fontId="31" fillId="10" borderId="13" applyNumberFormat="0" applyAlignment="0" applyProtection="0">
      <alignment vertical="center"/>
    </xf>
    <xf numFmtId="0" fontId="32" fillId="10" borderId="12" applyNumberFormat="0" applyAlignment="0" applyProtection="0">
      <alignment vertical="center"/>
    </xf>
    <xf numFmtId="0" fontId="33" fillId="11" borderId="14" applyNumberFormat="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4" borderId="0" applyNumberFormat="0" applyBorder="0" applyAlignment="0" applyProtection="0">
      <alignment vertical="center"/>
    </xf>
    <xf numFmtId="0" fontId="40"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39" fillId="37" borderId="0" applyNumberFormat="0" applyBorder="0" applyAlignment="0" applyProtection="0">
      <alignment vertical="center"/>
    </xf>
    <xf numFmtId="0" fontId="12" fillId="0" borderId="0">
      <alignment vertical="center"/>
    </xf>
    <xf numFmtId="0" fontId="41" fillId="0" borderId="0" applyNumberFormat="0" applyFill="0" applyBorder="0" applyAlignment="0" applyProtection="0">
      <alignment vertical="center"/>
    </xf>
    <xf numFmtId="43"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2" fillId="0" borderId="0">
      <alignment vertical="center"/>
    </xf>
  </cellStyleXfs>
  <cellXfs count="174">
    <xf numFmtId="0" fontId="0" fillId="0" borderId="0" xfId="0"/>
    <xf numFmtId="0" fontId="1" fillId="0" borderId="0" xfId="0" applyFont="1" applyFill="1" applyAlignment="1">
      <alignment horizontal="center" vertical="center"/>
    </xf>
    <xf numFmtId="0" fontId="1" fillId="0" borderId="0" xfId="0" applyFont="1" applyFill="1" applyAlignment="1">
      <alignment vertical="center"/>
    </xf>
    <xf numFmtId="0" fontId="1" fillId="2" borderId="0" xfId="0" applyFont="1" applyFill="1" applyAlignment="1">
      <alignment vertical="center"/>
    </xf>
    <xf numFmtId="180" fontId="1" fillId="0" borderId="0" xfId="0" applyNumberFormat="1" applyFont="1" applyFill="1" applyAlignment="1">
      <alignment vertical="center"/>
    </xf>
    <xf numFmtId="180" fontId="1" fillId="0" borderId="0" xfId="0" applyNumberFormat="1" applyFont="1" applyFill="1" applyAlignment="1">
      <alignment horizontal="center" vertical="center"/>
    </xf>
    <xf numFmtId="0" fontId="1" fillId="0" borderId="0" xfId="0" applyFont="1" applyFill="1" applyAlignment="1">
      <alignment vertical="center" wrapText="1"/>
    </xf>
    <xf numFmtId="0" fontId="2" fillId="0" borderId="0" xfId="0" applyFont="1" applyFill="1" applyAlignment="1">
      <alignment vertical="center"/>
    </xf>
    <xf numFmtId="180" fontId="2" fillId="0" borderId="0" xfId="0" applyNumberFormat="1" applyFont="1" applyFill="1" applyAlignment="1">
      <alignment horizontal="center" vertical="center"/>
    </xf>
    <xf numFmtId="0" fontId="3" fillId="0" borderId="1" xfId="0" applyFont="1" applyFill="1" applyBorder="1" applyAlignment="1">
      <alignment horizontal="center" vertical="center"/>
    </xf>
    <xf numFmtId="180" fontId="3"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0" fontId="1" fillId="0" borderId="0" xfId="0" applyFont="1" applyFill="1" applyAlignment="1">
      <alignment horizontal="center" vertical="center" wrapText="1"/>
    </xf>
    <xf numFmtId="0" fontId="1" fillId="0" borderId="1" xfId="0" applyFont="1" applyFill="1" applyBorder="1" applyAlignment="1">
      <alignment horizontal="left" vertical="center" wrapText="1"/>
    </xf>
    <xf numFmtId="180" fontId="1" fillId="0" borderId="1" xfId="0" applyNumberFormat="1" applyFont="1" applyFill="1" applyBorder="1" applyAlignment="1">
      <alignment horizontal="right" vertical="center" wrapText="1"/>
    </xf>
    <xf numFmtId="180" fontId="1" fillId="0" borderId="1" xfId="0" applyNumberFormat="1" applyFont="1" applyFill="1" applyBorder="1" applyAlignment="1">
      <alignment horizontal="center" vertical="center" wrapText="1"/>
    </xf>
    <xf numFmtId="0" fontId="5" fillId="0" borderId="0" xfId="0" applyFont="1" applyFill="1" applyAlignment="1">
      <alignment vertical="center" wrapText="1"/>
    </xf>
    <xf numFmtId="180" fontId="2" fillId="0"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80" fontId="1" fillId="2" borderId="1" xfId="0" applyNumberFormat="1" applyFont="1" applyFill="1" applyBorder="1" applyAlignment="1">
      <alignment horizontal="right" vertical="center" wrapText="1"/>
    </xf>
    <xf numFmtId="180" fontId="1" fillId="2" borderId="1" xfId="0" applyNumberFormat="1" applyFont="1" applyFill="1" applyBorder="1" applyAlignment="1">
      <alignment horizontal="center" vertical="center" wrapText="1"/>
    </xf>
    <xf numFmtId="0" fontId="5" fillId="2" borderId="0" xfId="0" applyFont="1" applyFill="1" applyAlignment="1">
      <alignment vertical="center" wrapText="1"/>
    </xf>
    <xf numFmtId="0" fontId="1" fillId="2" borderId="0" xfId="0" applyFont="1" applyFill="1" applyAlignment="1">
      <alignment vertical="center" wrapText="1"/>
    </xf>
    <xf numFmtId="180" fontId="2" fillId="2" borderId="1" xfId="0" applyNumberFormat="1" applyFont="1" applyFill="1" applyBorder="1" applyAlignment="1">
      <alignment horizontal="center" vertical="center" wrapText="1"/>
    </xf>
    <xf numFmtId="0" fontId="6"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vertical="center"/>
    </xf>
    <xf numFmtId="0" fontId="6" fillId="0" borderId="0" xfId="0" applyFont="1" applyBorder="1" applyAlignment="1">
      <alignment vertical="center"/>
    </xf>
    <xf numFmtId="0" fontId="7" fillId="0" borderId="0" xfId="0" applyFont="1" applyFill="1" applyAlignment="1">
      <alignment vertical="center"/>
    </xf>
    <xf numFmtId="0" fontId="7" fillId="0" borderId="0" xfId="0" applyFont="1" applyAlignment="1">
      <alignment horizontal="center" vertical="center"/>
    </xf>
    <xf numFmtId="180" fontId="7" fillId="0" borderId="0" xfId="0" applyNumberFormat="1" applyFont="1" applyAlignment="1">
      <alignment vertical="center"/>
    </xf>
    <xf numFmtId="180" fontId="7" fillId="0" borderId="0" xfId="0" applyNumberFormat="1" applyFont="1" applyAlignment="1">
      <alignment horizontal="center" vertical="center"/>
    </xf>
    <xf numFmtId="0" fontId="6" fillId="0" borderId="0" xfId="0" applyFont="1" applyAlignment="1">
      <alignment horizontal="center" vertical="center"/>
    </xf>
    <xf numFmtId="180" fontId="6" fillId="0" borderId="0" xfId="0" applyNumberFormat="1" applyFont="1" applyAlignment="1">
      <alignment vertical="center"/>
    </xf>
    <xf numFmtId="180" fontId="6" fillId="0" borderId="0" xfId="0" applyNumberFormat="1" applyFont="1" applyAlignment="1">
      <alignment horizontal="center" vertical="center"/>
    </xf>
    <xf numFmtId="0" fontId="6" fillId="2" borderId="0" xfId="0" applyFont="1" applyFill="1" applyAlignment="1">
      <alignment horizontal="center" vertical="center"/>
    </xf>
    <xf numFmtId="0" fontId="8"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180" fontId="9" fillId="3" borderId="2" xfId="0" applyNumberFormat="1" applyFont="1" applyFill="1" applyBorder="1" applyAlignment="1">
      <alignment horizontal="center" vertical="center" wrapText="1"/>
    </xf>
    <xf numFmtId="180" fontId="9" fillId="3" borderId="3" xfId="0" applyNumberFormat="1" applyFont="1" applyFill="1" applyBorder="1" applyAlignment="1">
      <alignment horizontal="center" vertical="center" wrapText="1"/>
    </xf>
    <xf numFmtId="180" fontId="9" fillId="3" borderId="4" xfId="0" applyNumberFormat="1" applyFont="1" applyFill="1" applyBorder="1" applyAlignment="1">
      <alignment horizontal="center" vertical="center" wrapText="1"/>
    </xf>
    <xf numFmtId="180" fontId="9" fillId="4" borderId="1" xfId="0" applyNumberFormat="1" applyFont="1" applyFill="1" applyBorder="1" applyAlignment="1">
      <alignment horizontal="center" vertical="center" wrapText="1"/>
    </xf>
    <xf numFmtId="180" fontId="9" fillId="3" borderId="1" xfId="0" applyNumberFormat="1"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3" borderId="5" xfId="0" applyFont="1" applyFill="1" applyBorder="1" applyAlignment="1">
      <alignment horizontal="center" vertical="center" wrapText="1"/>
    </xf>
    <xf numFmtId="180" fontId="9" fillId="3" borderId="5"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80" fontId="6" fillId="0" borderId="1" xfId="0" applyNumberFormat="1" applyFont="1" applyBorder="1" applyAlignment="1">
      <alignment horizontal="right" vertical="center" wrapText="1"/>
    </xf>
    <xf numFmtId="180" fontId="7" fillId="0" borderId="1" xfId="0" applyNumberFormat="1" applyFont="1" applyBorder="1" applyAlignment="1">
      <alignment horizontal="right" vertical="center" wrapText="1"/>
    </xf>
    <xf numFmtId="180" fontId="7" fillId="4" borderId="1" xfId="0" applyNumberFormat="1" applyFont="1" applyFill="1" applyBorder="1" applyAlignment="1">
      <alignment horizontal="right" vertical="center" wrapText="1"/>
    </xf>
    <xf numFmtId="180" fontId="7" fillId="0" borderId="1" xfId="0" applyNumberFormat="1"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7" fillId="0" borderId="2" xfId="0" applyFont="1" applyBorder="1" applyAlignment="1">
      <alignment horizontal="center" vertical="center" wrapText="1"/>
    </xf>
    <xf numFmtId="180" fontId="6" fillId="0" borderId="1" xfId="0" applyNumberFormat="1" applyFont="1" applyBorder="1" applyAlignment="1">
      <alignment horizontal="center" vertical="center" wrapText="1"/>
    </xf>
    <xf numFmtId="180" fontId="7" fillId="0" borderId="2" xfId="0" applyNumberFormat="1" applyFont="1" applyBorder="1" applyAlignment="1">
      <alignment horizontal="right" vertical="center" wrapText="1"/>
    </xf>
    <xf numFmtId="0" fontId="6" fillId="0" borderId="0" xfId="0" applyFont="1" applyBorder="1" applyAlignment="1">
      <alignment horizontal="center" vertical="center" wrapText="1"/>
    </xf>
    <xf numFmtId="0" fontId="6" fillId="0" borderId="0" xfId="0" applyFont="1" applyBorder="1" applyAlignment="1">
      <alignment horizontal="left" vertical="center" wrapText="1"/>
    </xf>
    <xf numFmtId="180" fontId="6" fillId="0" borderId="0" xfId="0" applyNumberFormat="1" applyFont="1" applyBorder="1" applyAlignment="1">
      <alignment horizontal="right" vertical="center" wrapText="1"/>
    </xf>
    <xf numFmtId="180" fontId="6" fillId="0" borderId="0" xfId="0" applyNumberFormat="1" applyFont="1" applyBorder="1" applyAlignment="1">
      <alignment horizontal="center" vertical="center" wrapText="1"/>
    </xf>
    <xf numFmtId="0" fontId="6" fillId="0" borderId="0" xfId="0" applyFont="1" applyBorder="1" applyAlignment="1">
      <alignment horizontal="center" vertical="center"/>
    </xf>
    <xf numFmtId="0" fontId="6" fillId="4" borderId="0" xfId="0" applyFont="1" applyFill="1" applyAlignment="1">
      <alignment horizontal="center" vertical="center"/>
    </xf>
    <xf numFmtId="0" fontId="6" fillId="4" borderId="0" xfId="0" applyFont="1" applyFill="1" applyAlignment="1">
      <alignment vertical="center"/>
    </xf>
    <xf numFmtId="180" fontId="6" fillId="4" borderId="0" xfId="0" applyNumberFormat="1" applyFont="1" applyFill="1" applyAlignment="1">
      <alignment vertical="center"/>
    </xf>
    <xf numFmtId="0" fontId="9" fillId="4" borderId="1" xfId="0" applyFont="1" applyFill="1" applyBorder="1" applyAlignment="1">
      <alignment horizontal="center" vertical="center" wrapText="1"/>
    </xf>
    <xf numFmtId="180" fontId="7" fillId="0" borderId="0" xfId="0" applyNumberFormat="1" applyFont="1" applyAlignment="1">
      <alignment horizontal="right" vertical="center" wrapText="1"/>
    </xf>
    <xf numFmtId="180" fontId="7" fillId="0" borderId="0" xfId="0" applyNumberFormat="1" applyFont="1" applyAlignment="1">
      <alignment horizontal="center" vertical="center" wrapText="1"/>
    </xf>
    <xf numFmtId="0" fontId="7" fillId="0" borderId="1" xfId="0" applyFont="1" applyBorder="1" applyAlignment="1">
      <alignment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180" fontId="6" fillId="0" borderId="1" xfId="0" applyNumberFormat="1" applyFont="1" applyFill="1" applyBorder="1" applyAlignment="1">
      <alignment horizontal="right" vertical="center" wrapText="1"/>
    </xf>
    <xf numFmtId="180" fontId="7" fillId="0" borderId="1" xfId="0" applyNumberFormat="1" applyFont="1" applyFill="1" applyBorder="1" applyAlignment="1">
      <alignment horizontal="right" vertical="center" wrapText="1"/>
    </xf>
    <xf numFmtId="180" fontId="7" fillId="0" borderId="3" xfId="0" applyNumberFormat="1" applyFont="1" applyFill="1" applyBorder="1" applyAlignment="1">
      <alignment horizontal="center" vertical="center" wrapText="1"/>
    </xf>
    <xf numFmtId="180" fontId="7" fillId="0" borderId="0" xfId="0"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180" fontId="6" fillId="0" borderId="4" xfId="0" applyNumberFormat="1" applyFont="1" applyFill="1" applyBorder="1" applyAlignment="1">
      <alignment horizontal="right" vertical="center" wrapText="1"/>
    </xf>
    <xf numFmtId="0" fontId="10" fillId="0" borderId="0" xfId="0" applyFont="1" applyFill="1" applyBorder="1" applyAlignment="1">
      <alignment horizontal="center" vertical="center"/>
    </xf>
    <xf numFmtId="181" fontId="7" fillId="0" borderId="3" xfId="0" applyNumberFormat="1" applyFont="1" applyBorder="1" applyAlignment="1">
      <alignment horizontal="center" vertical="center"/>
    </xf>
    <xf numFmtId="181" fontId="7" fillId="0" borderId="0" xfId="0" applyNumberFormat="1" applyFont="1" applyBorder="1" applyAlignment="1">
      <alignment horizontal="center" vertical="center"/>
    </xf>
    <xf numFmtId="180" fontId="10" fillId="0" borderId="0" xfId="0" applyNumberFormat="1" applyFont="1" applyBorder="1" applyAlignment="1">
      <alignment horizontal="center" vertical="center" wrapText="1"/>
    </xf>
    <xf numFmtId="180" fontId="6" fillId="0" borderId="4" xfId="0" applyNumberFormat="1" applyFont="1" applyBorder="1" applyAlignment="1">
      <alignment horizontal="right" vertical="center" wrapText="1"/>
    </xf>
    <xf numFmtId="0" fontId="7" fillId="0" borderId="0" xfId="0" applyFont="1" applyFill="1" applyAlignment="1">
      <alignment horizontal="center" vertical="center"/>
    </xf>
    <xf numFmtId="0" fontId="0" fillId="0" borderId="0" xfId="0" applyFill="1"/>
    <xf numFmtId="0" fontId="11" fillId="0" borderId="0" xfId="0" applyFont="1" applyFill="1" applyAlignment="1">
      <alignment horizontal="center" vertical="center"/>
    </xf>
    <xf numFmtId="0" fontId="12" fillId="0" borderId="0" xfId="0" applyFont="1" applyFill="1" applyAlignment="1">
      <alignment horizontal="center" vertical="center"/>
    </xf>
    <xf numFmtId="0" fontId="11" fillId="0" borderId="0" xfId="0" applyFont="1" applyAlignment="1">
      <alignment horizontal="center" vertical="center"/>
    </xf>
    <xf numFmtId="0" fontId="7" fillId="0" borderId="0" xfId="0" applyFont="1" applyAlignment="1">
      <alignment horizontal="left" vertical="center"/>
    </xf>
    <xf numFmtId="180" fontId="7" fillId="0" borderId="0" xfId="0" applyNumberFormat="1" applyFont="1" applyFill="1" applyAlignment="1">
      <alignment horizontal="center" vertical="center"/>
    </xf>
    <xf numFmtId="0" fontId="7" fillId="0" borderId="0" xfId="0" applyFont="1" applyAlignment="1">
      <alignment horizontal="left" vertical="center" wrapText="1"/>
    </xf>
    <xf numFmtId="180" fontId="6" fillId="0" borderId="0" xfId="0" applyNumberFormat="1" applyFont="1" applyFill="1" applyAlignment="1">
      <alignment horizontal="center" vertical="center"/>
    </xf>
    <xf numFmtId="0" fontId="7" fillId="0" borderId="2" xfId="0" applyFont="1" applyFill="1" applyBorder="1" applyAlignment="1">
      <alignment horizontal="left" vertical="center" wrapText="1"/>
    </xf>
    <xf numFmtId="180" fontId="13" fillId="0" borderId="0" xfId="0" applyNumberFormat="1" applyFont="1" applyAlignment="1">
      <alignment horizontal="center" vertical="center" wrapText="1"/>
    </xf>
    <xf numFmtId="180" fontId="6" fillId="0" borderId="0" xfId="0" applyNumberFormat="1" applyFont="1" applyAlignment="1">
      <alignment horizontal="center" vertical="center" wrapText="1"/>
    </xf>
    <xf numFmtId="180" fontId="14" fillId="0" borderId="0" xfId="0" applyNumberFormat="1" applyFont="1" applyAlignment="1">
      <alignment horizontal="center" vertical="center" wrapText="1"/>
    </xf>
    <xf numFmtId="180" fontId="6" fillId="5" borderId="0" xfId="0" applyNumberFormat="1" applyFont="1" applyFill="1" applyAlignment="1">
      <alignment horizontal="center" vertical="center" wrapText="1"/>
    </xf>
    <xf numFmtId="0" fontId="7" fillId="0" borderId="2"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1" xfId="0" applyFont="1" applyFill="1" applyBorder="1" applyAlignment="1">
      <alignment horizontal="center" vertical="center"/>
    </xf>
    <xf numFmtId="180" fontId="9" fillId="0" borderId="2" xfId="0" applyNumberFormat="1" applyFont="1" applyFill="1" applyBorder="1" applyAlignment="1">
      <alignment horizontal="center" vertical="center"/>
    </xf>
    <xf numFmtId="180" fontId="9" fillId="0" borderId="2" xfId="0" applyNumberFormat="1" applyFont="1" applyFill="1" applyBorder="1" applyAlignment="1">
      <alignment horizontal="center" vertical="center" wrapText="1"/>
    </xf>
    <xf numFmtId="180" fontId="9" fillId="0" borderId="1" xfId="0" applyNumberFormat="1" applyFont="1" applyFill="1" applyBorder="1" applyAlignment="1">
      <alignment horizontal="center" vertical="center" wrapText="1"/>
    </xf>
    <xf numFmtId="180" fontId="15" fillId="0" borderId="2" xfId="0" applyNumberFormat="1" applyFont="1" applyFill="1" applyBorder="1" applyAlignment="1">
      <alignment horizontal="center" vertical="center"/>
    </xf>
    <xf numFmtId="180" fontId="9" fillId="0" borderId="6" xfId="0" applyNumberFormat="1" applyFont="1" applyFill="1" applyBorder="1" applyAlignment="1">
      <alignment horizontal="center" vertical="center"/>
    </xf>
    <xf numFmtId="180" fontId="9" fillId="0" borderId="0" xfId="0" applyNumberFormat="1" applyFont="1" applyFill="1" applyAlignment="1">
      <alignment horizontal="center" vertical="center"/>
    </xf>
    <xf numFmtId="0" fontId="9" fillId="0" borderId="0" xfId="0" applyFont="1" applyFill="1" applyAlignment="1">
      <alignment horizontal="center" vertical="center" wrapText="1"/>
    </xf>
    <xf numFmtId="0" fontId="7" fillId="0" borderId="5" xfId="0" applyFont="1" applyFill="1" applyBorder="1" applyAlignment="1">
      <alignment horizontal="center" vertical="center"/>
    </xf>
    <xf numFmtId="0" fontId="9" fillId="0" borderId="5" xfId="0" applyFont="1" applyFill="1" applyBorder="1" applyAlignment="1">
      <alignment horizontal="center" vertical="center"/>
    </xf>
    <xf numFmtId="180" fontId="9" fillId="0" borderId="5" xfId="0" applyNumberFormat="1" applyFont="1" applyFill="1" applyBorder="1" applyAlignment="1">
      <alignment horizontal="center" vertical="center"/>
    </xf>
    <xf numFmtId="180" fontId="9" fillId="0" borderId="5" xfId="0" applyNumberFormat="1" applyFont="1" applyFill="1" applyBorder="1" applyAlignment="1">
      <alignment horizontal="center" vertical="center" wrapText="1"/>
    </xf>
    <xf numFmtId="180" fontId="15" fillId="0" borderId="5" xfId="0" applyNumberFormat="1" applyFont="1" applyFill="1" applyBorder="1" applyAlignment="1">
      <alignment horizontal="center" vertical="center"/>
    </xf>
    <xf numFmtId="180" fontId="9" fillId="0" borderId="7" xfId="0" applyNumberFormat="1" applyFont="1" applyFill="1" applyBorder="1" applyAlignment="1">
      <alignment horizontal="center" vertical="center"/>
    </xf>
    <xf numFmtId="180" fontId="16" fillId="0" borderId="0" xfId="0" applyNumberFormat="1" applyFont="1" applyFill="1" applyAlignment="1">
      <alignment horizontal="center" vertical="center"/>
    </xf>
    <xf numFmtId="180" fontId="17" fillId="0" borderId="0" xfId="0" applyNumberFormat="1" applyFont="1" applyFill="1" applyAlignment="1">
      <alignment horizontal="center" vertical="center"/>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3"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181" fontId="11" fillId="0" borderId="1" xfId="0" applyNumberFormat="1" applyFont="1" applyFill="1" applyBorder="1" applyAlignment="1">
      <alignment horizontal="center" vertical="center" wrapText="1"/>
    </xf>
    <xf numFmtId="10" fontId="11" fillId="0" borderId="1" xfId="3" applyNumberFormat="1" applyFont="1" applyFill="1" applyBorder="1" applyAlignment="1">
      <alignment horizontal="center" vertical="center" wrapText="1"/>
    </xf>
    <xf numFmtId="0" fontId="12" fillId="0" borderId="0" xfId="0" applyFont="1" applyFill="1" applyAlignment="1">
      <alignment horizontal="left" vertical="center" wrapText="1"/>
    </xf>
    <xf numFmtId="0" fontId="11" fillId="0" borderId="5" xfId="0" applyFont="1" applyFill="1" applyBorder="1" applyAlignment="1">
      <alignment horizontal="left" vertical="center" wrapText="1"/>
    </xf>
    <xf numFmtId="180" fontId="11" fillId="0" borderId="0" xfId="0" applyNumberFormat="1" applyFont="1" applyFill="1" applyAlignment="1">
      <alignment horizontal="center" vertical="center"/>
    </xf>
    <xf numFmtId="0" fontId="18" fillId="0" borderId="0" xfId="0" applyFont="1" applyFill="1" applyAlignment="1">
      <alignment horizontal="left" vertical="center" wrapText="1"/>
    </xf>
    <xf numFmtId="0" fontId="11" fillId="0" borderId="0" xfId="0" applyFont="1" applyFill="1" applyAlignment="1">
      <alignment horizontal="left" vertical="center" wrapText="1"/>
    </xf>
    <xf numFmtId="0" fontId="11" fillId="0" borderId="0" xfId="0" applyNumberFormat="1" applyFont="1" applyFill="1" applyAlignment="1">
      <alignment horizontal="center" vertical="center"/>
    </xf>
    <xf numFmtId="0" fontId="19" fillId="0" borderId="0" xfId="0" applyFont="1" applyFill="1" applyAlignment="1">
      <alignment horizontal="left" vertical="center" wrapText="1"/>
    </xf>
    <xf numFmtId="0" fontId="12" fillId="0" borderId="0" xfId="0" applyNumberFormat="1" applyFont="1" applyFill="1" applyAlignment="1">
      <alignment horizontal="center" vertical="center"/>
    </xf>
    <xf numFmtId="0" fontId="11" fillId="0" borderId="2" xfId="0" applyFont="1" applyFill="1" applyBorder="1" applyAlignment="1">
      <alignment horizontal="center" vertical="center" wrapText="1"/>
    </xf>
    <xf numFmtId="0" fontId="13" fillId="0" borderId="2" xfId="0" applyNumberFormat="1" applyFont="1" applyFill="1" applyBorder="1" applyAlignment="1">
      <alignment horizontal="center" vertical="center" wrapText="1"/>
    </xf>
    <xf numFmtId="0" fontId="11" fillId="0" borderId="2" xfId="0" applyNumberFormat="1" applyFont="1" applyFill="1" applyBorder="1" applyAlignment="1">
      <alignment horizontal="center" vertical="center" wrapText="1"/>
    </xf>
    <xf numFmtId="0" fontId="12" fillId="0" borderId="0" xfId="0" applyFont="1" applyFill="1" applyAlignment="1">
      <alignment horizontal="center" vertical="center" wrapText="1"/>
    </xf>
    <xf numFmtId="0" fontId="11" fillId="0" borderId="8" xfId="0" applyFont="1" applyFill="1" applyBorder="1" applyAlignment="1">
      <alignment horizontal="center" vertical="center" wrapText="1"/>
    </xf>
    <xf numFmtId="0" fontId="13" fillId="0" borderId="8" xfId="0" applyNumberFormat="1" applyFont="1" applyFill="1" applyBorder="1" applyAlignment="1">
      <alignment horizontal="center" vertical="center" wrapText="1"/>
    </xf>
    <xf numFmtId="0" fontId="11" fillId="0" borderId="8"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0" fontId="13" fillId="0" borderId="5" xfId="0" applyNumberFormat="1" applyFont="1" applyFill="1" applyBorder="1" applyAlignment="1">
      <alignment horizontal="center" vertical="center" wrapText="1"/>
    </xf>
    <xf numFmtId="0" fontId="11" fillId="0" borderId="5" xfId="0" applyNumberFormat="1" applyFont="1" applyFill="1" applyBorder="1" applyAlignment="1">
      <alignment horizontal="center" vertical="center" wrapText="1"/>
    </xf>
    <xf numFmtId="180" fontId="12" fillId="0" borderId="0" xfId="0" applyNumberFormat="1" applyFont="1" applyFill="1" applyAlignment="1">
      <alignment horizontal="center" vertical="center"/>
    </xf>
    <xf numFmtId="0" fontId="13" fillId="6" borderId="1" xfId="0" applyNumberFormat="1" applyFont="1" applyFill="1" applyBorder="1" applyAlignment="1">
      <alignment horizontal="center" vertical="center" wrapText="1"/>
    </xf>
    <xf numFmtId="0" fontId="17" fillId="0" borderId="0" xfId="0" applyFont="1" applyFill="1" applyAlignment="1">
      <alignment horizontal="left" vertical="center" wrapText="1"/>
    </xf>
    <xf numFmtId="0" fontId="13" fillId="0" borderId="0" xfId="0" applyFont="1" applyFill="1" applyAlignment="1">
      <alignment horizontal="left" vertical="center" wrapText="1"/>
    </xf>
    <xf numFmtId="0" fontId="20" fillId="0" borderId="0" xfId="0" applyFont="1" applyFill="1" applyAlignment="1">
      <alignment horizontal="left" vertical="center" wrapText="1"/>
    </xf>
    <xf numFmtId="0" fontId="11" fillId="6" borderId="1" xfId="0" applyNumberFormat="1" applyFont="1" applyFill="1" applyBorder="1" applyAlignment="1">
      <alignment horizontal="center" vertical="center" wrapText="1"/>
    </xf>
    <xf numFmtId="180" fontId="11" fillId="0" borderId="1" xfId="0" applyNumberFormat="1"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180" fontId="11" fillId="0" borderId="0" xfId="0" applyNumberFormat="1" applyFont="1" applyAlignment="1">
      <alignment horizontal="center" vertical="center" wrapText="1"/>
    </xf>
    <xf numFmtId="180" fontId="11" fillId="0" borderId="0" xfId="0" applyNumberFormat="1" applyFont="1" applyFill="1" applyAlignment="1">
      <alignment horizontal="center" vertical="center" wrapText="1"/>
    </xf>
    <xf numFmtId="180" fontId="11" fillId="0" borderId="0" xfId="0" applyNumberFormat="1" applyFont="1" applyAlignment="1">
      <alignment horizontal="center" vertical="center"/>
    </xf>
    <xf numFmtId="0" fontId="13" fillId="0" borderId="0" xfId="0" applyFont="1" applyAlignment="1">
      <alignment horizontal="left" vertical="center"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180" fontId="13" fillId="4" borderId="1" xfId="0" applyNumberFormat="1" applyFont="1" applyFill="1" applyBorder="1" applyAlignment="1">
      <alignment horizontal="center" vertical="center" wrapText="1"/>
    </xf>
    <xf numFmtId="180" fontId="13" fillId="0" borderId="1" xfId="0" applyNumberFormat="1" applyFont="1" applyFill="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180" fontId="13" fillId="7" borderId="1" xfId="0" applyNumberFormat="1" applyFont="1" applyFill="1" applyBorder="1" applyAlignment="1">
      <alignment horizontal="center" vertical="center" wrapText="1"/>
    </xf>
    <xf numFmtId="180" fontId="11" fillId="7" borderId="1" xfId="0" applyNumberFormat="1" applyFont="1" applyFill="1" applyBorder="1" applyAlignment="1">
      <alignment horizontal="center" vertical="center" wrapText="1"/>
    </xf>
    <xf numFmtId="180" fontId="11" fillId="0" borderId="1" xfId="0" applyNumberFormat="1" applyFont="1" applyBorder="1" applyAlignment="1">
      <alignment horizontal="center" vertical="center" wrapText="1"/>
    </xf>
    <xf numFmtId="180" fontId="11" fillId="7" borderId="0" xfId="0" applyNumberFormat="1" applyFont="1" applyFill="1" applyAlignment="1">
      <alignment horizontal="center" vertical="center"/>
    </xf>
    <xf numFmtId="0" fontId="20" fillId="7" borderId="0" xfId="0" applyFont="1" applyFill="1" applyAlignment="1">
      <alignment horizontal="left"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180" fontId="12" fillId="0" borderId="1" xfId="0" applyNumberFormat="1" applyFont="1" applyFill="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180" fontId="13" fillId="0" borderId="1" xfId="0" applyNumberFormat="1" applyFont="1" applyBorder="1" applyAlignment="1">
      <alignment horizontal="center" vertical="center" wrapText="1"/>
    </xf>
    <xf numFmtId="0" fontId="11" fillId="0" borderId="0" xfId="0" applyFont="1" applyAlignment="1">
      <alignment horizontal="left" vertical="center"/>
    </xf>
    <xf numFmtId="180" fontId="13" fillId="0" borderId="0" xfId="0" applyNumberFormat="1" applyFont="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9" xfId="49"/>
    <cellStyle name="㼿㼿 2" xfId="50"/>
    <cellStyle name="千位分隔 3" xfId="51"/>
    <cellStyle name="千位分隔[0] 3" xfId="52"/>
    <cellStyle name="常规 2 15 2" xfId="53"/>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3"/>
  <sheetViews>
    <sheetView zoomScale="91" zoomScaleNormal="91" workbookViewId="0">
      <pane xSplit="4" ySplit="4" topLeftCell="E5" activePane="bottomRight" state="frozen"/>
      <selection/>
      <selection pane="topRight"/>
      <selection pane="bottomLeft"/>
      <selection pane="bottomRight" activeCell="E5" sqref="E5"/>
    </sheetView>
  </sheetViews>
  <sheetFormatPr defaultColWidth="57.6666666666667" defaultRowHeight="20.25"/>
  <cols>
    <col min="1" max="1" width="6.58333333333333" style="29" customWidth="1"/>
    <col min="2" max="2" width="23.9" style="29" hidden="1" customWidth="1"/>
    <col min="3" max="3" width="16.75" style="29" hidden="1" customWidth="1"/>
    <col min="4" max="4" width="41.0666666666667" style="87" customWidth="1"/>
    <col min="5" max="5" width="22.525" style="29" customWidth="1"/>
    <col min="6" max="6" width="14.2833333333333" style="29" customWidth="1"/>
    <col min="7" max="7" width="17.025" style="34" customWidth="1"/>
    <col min="8" max="8" width="19" style="31" hidden="1" customWidth="1"/>
    <col min="9" max="9" width="17.1666666666667" style="31" customWidth="1"/>
    <col min="10" max="10" width="18.5416666666667" style="31" customWidth="1"/>
    <col min="11" max="11" width="9.875" style="31" customWidth="1"/>
    <col min="12" max="18" width="15.6583333333333" style="31" hidden="1" customWidth="1" outlineLevel="1"/>
    <col min="19" max="20" width="12.0833333333333" style="31" hidden="1" customWidth="1" outlineLevel="1"/>
    <col min="21" max="21" width="14.125" style="31" hidden="1" customWidth="1" outlineLevel="1"/>
    <col min="22" max="22" width="14.125" style="88" hidden="1" customWidth="1" outlineLevel="1"/>
    <col min="23" max="23" width="14.125" style="88" customWidth="1" outlineLevel="1"/>
    <col min="24" max="24" width="17.3" style="31" customWidth="1"/>
    <col min="25" max="27" width="20.6" style="31" customWidth="1" outlineLevel="1"/>
    <col min="28" max="29" width="22.375" style="31" customWidth="1" outlineLevel="1"/>
    <col min="30" max="30" width="17.85" style="31" customWidth="1" outlineLevel="1"/>
    <col min="31" max="31" width="17.5" style="31" customWidth="1"/>
    <col min="32" max="32" width="17.5833333333333" style="31" customWidth="1"/>
    <col min="33" max="33" width="16.6666666666667" style="31" customWidth="1"/>
    <col min="34" max="34" width="72.3333333333333" style="89" customWidth="1"/>
    <col min="35" max="35" width="14.375" style="29" customWidth="1"/>
    <col min="36" max="36" width="8.83333333333333" style="29" customWidth="1"/>
    <col min="37" max="16384" width="57.6666666666667" style="29"/>
  </cols>
  <sheetData>
    <row r="1" ht="51" customHeight="1" spans="1:35">
      <c r="AE1" s="90"/>
      <c r="AF1" s="31">
        <f>+AF2+AG2</f>
        <v>0</v>
      </c>
    </row>
    <row r="2" ht="51" customHeight="1" spans="1:35">
      <c r="D2" s="91"/>
      <c r="G2" s="92">
        <f>SUM(G5:G39)</f>
        <v>19021403</v>
      </c>
      <c r="H2" s="92">
        <f>SUM(H5:H39)</f>
        <v>14942463.13</v>
      </c>
      <c r="I2" s="92">
        <f>SUM(I5:I39)</f>
        <v>16552452.25</v>
      </c>
      <c r="J2" s="92">
        <f>SUM(J5:J39)</f>
        <v>16552452.25</v>
      </c>
      <c r="K2" s="93"/>
      <c r="L2" s="93"/>
      <c r="M2" s="93"/>
      <c r="N2" s="93"/>
      <c r="O2" s="93"/>
      <c r="P2" s="93"/>
      <c r="Q2" s="93"/>
      <c r="R2" s="93"/>
      <c r="S2" s="93"/>
      <c r="T2" s="93"/>
      <c r="U2" s="92">
        <f t="shared" ref="U2:W2" si="0">SUM(U5:U39)</f>
        <v>655993.8</v>
      </c>
      <c r="V2" s="92">
        <f t="shared" si="0"/>
        <v>292705.5</v>
      </c>
      <c r="W2" s="92">
        <f t="shared" si="0"/>
        <v>23918.6</v>
      </c>
      <c r="X2" s="92">
        <f t="shared" ref="X2:AC2" si="1">SUM(X5:X39)</f>
        <v>15524576.89</v>
      </c>
      <c r="Y2" s="93">
        <f t="shared" si="1"/>
        <v>1027875.36</v>
      </c>
      <c r="Z2" s="93">
        <f ca="1" t="shared" si="1"/>
        <v>279034.3</v>
      </c>
      <c r="AA2" s="93">
        <f ca="1" t="shared" si="1"/>
        <v>1065465.16</v>
      </c>
      <c r="AB2" s="93">
        <f t="shared" si="1"/>
        <v>2542994</v>
      </c>
      <c r="AC2" s="93">
        <f t="shared" si="1"/>
        <v>2404444</v>
      </c>
      <c r="AD2" s="93"/>
      <c r="AE2" s="94">
        <f>SUM(AE5:AE39)</f>
        <v>138550</v>
      </c>
      <c r="AF2" s="95">
        <f>SUM(AF5:AF35)</f>
        <v>0</v>
      </c>
      <c r="AG2" s="95">
        <f>SUM(AG5:AG35)</f>
        <v>0</v>
      </c>
    </row>
    <row r="3" s="82" customFormat="1" ht="29" customHeight="1" spans="1:35">
      <c r="A3" s="96" t="s">
        <v>0</v>
      </c>
      <c r="B3" s="97" t="s">
        <v>1</v>
      </c>
      <c r="C3" s="97" t="s">
        <v>2</v>
      </c>
      <c r="D3" s="98" t="s">
        <v>3</v>
      </c>
      <c r="E3" s="97" t="s">
        <v>4</v>
      </c>
      <c r="F3" s="97" t="s">
        <v>5</v>
      </c>
      <c r="G3" s="99" t="s">
        <v>6</v>
      </c>
      <c r="H3" s="99" t="s">
        <v>7</v>
      </c>
      <c r="I3" s="99" t="s">
        <v>8</v>
      </c>
      <c r="J3" s="99" t="s">
        <v>9</v>
      </c>
      <c r="K3" s="99" t="s">
        <v>10</v>
      </c>
      <c r="L3" s="100" t="s">
        <v>11</v>
      </c>
      <c r="M3" s="100" t="s">
        <v>12</v>
      </c>
      <c r="N3" s="100" t="s">
        <v>13</v>
      </c>
      <c r="O3" s="100" t="s">
        <v>14</v>
      </c>
      <c r="P3" s="100" t="s">
        <v>15</v>
      </c>
      <c r="Q3" s="100" t="s">
        <v>16</v>
      </c>
      <c r="R3" s="100" t="s">
        <v>17</v>
      </c>
      <c r="S3" s="100" t="s">
        <v>18</v>
      </c>
      <c r="T3" s="100" t="s">
        <v>19</v>
      </c>
      <c r="U3" s="100" t="s">
        <v>20</v>
      </c>
      <c r="V3" s="100" t="s">
        <v>21</v>
      </c>
      <c r="W3" s="100" t="s">
        <v>22</v>
      </c>
      <c r="X3" s="99" t="s">
        <v>23</v>
      </c>
      <c r="Y3" s="99" t="s">
        <v>24</v>
      </c>
      <c r="Z3" s="101" t="s">
        <v>25</v>
      </c>
      <c r="AA3" s="101"/>
      <c r="AB3" s="100" t="s">
        <v>26</v>
      </c>
      <c r="AC3" s="100" t="s">
        <v>27</v>
      </c>
      <c r="AD3" s="102" t="s">
        <v>28</v>
      </c>
      <c r="AE3" s="103" t="s">
        <v>29</v>
      </c>
      <c r="AF3" s="104" t="s">
        <v>30</v>
      </c>
      <c r="AG3" s="104"/>
      <c r="AH3" s="105" t="s">
        <v>31</v>
      </c>
    </row>
    <row r="4" s="83" customFormat="1" ht="29" customHeight="1" spans="1:35">
      <c r="A4" s="106"/>
      <c r="B4" s="107"/>
      <c r="C4" s="107"/>
      <c r="D4" s="98"/>
      <c r="E4" s="107"/>
      <c r="F4" s="107"/>
      <c r="G4" s="108"/>
      <c r="H4" s="108"/>
      <c r="I4" s="108"/>
      <c r="J4" s="108"/>
      <c r="K4" s="108"/>
      <c r="L4" s="109"/>
      <c r="M4" s="109"/>
      <c r="N4" s="109"/>
      <c r="O4" s="109"/>
      <c r="P4" s="109"/>
      <c r="Q4" s="109"/>
      <c r="R4" s="109"/>
      <c r="S4" s="109"/>
      <c r="T4" s="109"/>
      <c r="U4" s="109"/>
      <c r="V4" s="109"/>
      <c r="W4" s="109"/>
      <c r="X4" s="108"/>
      <c r="Y4" s="108"/>
      <c r="Z4" s="101" t="s">
        <v>32</v>
      </c>
      <c r="AA4" s="101" t="s">
        <v>33</v>
      </c>
      <c r="AB4" s="108"/>
      <c r="AC4" s="108"/>
      <c r="AD4" s="110"/>
      <c r="AE4" s="111"/>
      <c r="AF4" s="112" t="s">
        <v>34</v>
      </c>
      <c r="AG4" s="113" t="s">
        <v>35</v>
      </c>
      <c r="AH4" s="105"/>
      <c r="AI4" s="82"/>
    </row>
    <row r="5" s="84" customFormat="1" ht="27" customHeight="1" spans="1:35">
      <c r="A5" s="114">
        <v>1</v>
      </c>
      <c r="B5" s="115" t="s">
        <v>36</v>
      </c>
      <c r="C5" s="115" t="s">
        <v>37</v>
      </c>
      <c r="D5" s="116" t="s">
        <v>38</v>
      </c>
      <c r="E5" s="115" t="s">
        <v>39</v>
      </c>
      <c r="F5" s="115" t="s">
        <v>40</v>
      </c>
      <c r="G5" s="117">
        <v>957000</v>
      </c>
      <c r="H5" s="118">
        <v>574200</v>
      </c>
      <c r="I5" s="118">
        <v>1222756.25</v>
      </c>
      <c r="J5" s="117">
        <v>1222756.25</v>
      </c>
      <c r="K5" s="117">
        <f>+I5-J5</f>
        <v>0</v>
      </c>
      <c r="L5" s="118">
        <v>200000</v>
      </c>
      <c r="M5" s="118">
        <v>374200</v>
      </c>
      <c r="N5" s="118">
        <v>80000</v>
      </c>
      <c r="O5" s="118">
        <v>30000</v>
      </c>
      <c r="P5" s="118">
        <v>100000</v>
      </c>
      <c r="Q5" s="118">
        <v>629.34</v>
      </c>
      <c r="R5" s="118">
        <v>60033.76</v>
      </c>
      <c r="S5" s="118">
        <v>244617.52</v>
      </c>
      <c r="T5" s="118">
        <v>11000</v>
      </c>
      <c r="U5" s="118"/>
      <c r="V5" s="118"/>
      <c r="W5" s="118"/>
      <c r="X5" s="118">
        <f>SUM(L5:W5)</f>
        <v>1100480.62</v>
      </c>
      <c r="Y5" s="118">
        <f>+I5-X5</f>
        <v>122275.63</v>
      </c>
      <c r="Z5" s="119">
        <f>+Y5-AA5</f>
        <v>1.16415321826935e-10</v>
      </c>
      <c r="AA5" s="118">
        <v>122275.63</v>
      </c>
      <c r="AB5" s="118">
        <v>143700</v>
      </c>
      <c r="AC5" s="118">
        <v>143700</v>
      </c>
      <c r="AD5" s="120">
        <f>+X5/I5</f>
        <v>0.899999995910877</v>
      </c>
      <c r="AE5" s="117">
        <f>AB5-AC5</f>
        <v>0</v>
      </c>
      <c r="AF5" s="113"/>
      <c r="AG5" s="113"/>
      <c r="AH5" s="121" t="s">
        <v>41</v>
      </c>
      <c r="AI5" s="84">
        <f t="shared" ref="AI5:AI20" si="2">+AB5-AC5-AE5</f>
        <v>0</v>
      </c>
    </row>
    <row r="6" s="84" customFormat="1" ht="27" customHeight="1" spans="1:35">
      <c r="A6" s="84">
        <v>2</v>
      </c>
      <c r="B6" s="115" t="s">
        <v>36</v>
      </c>
      <c r="C6" s="115" t="s">
        <v>37</v>
      </c>
      <c r="D6" s="122" t="s">
        <v>42</v>
      </c>
      <c r="E6" s="115" t="s">
        <v>43</v>
      </c>
      <c r="F6" s="115" t="s">
        <v>40</v>
      </c>
      <c r="G6" s="117">
        <v>700000</v>
      </c>
      <c r="H6" s="118">
        <v>700000</v>
      </c>
      <c r="I6" s="118">
        <v>648758</v>
      </c>
      <c r="J6" s="117">
        <v>648758</v>
      </c>
      <c r="K6" s="117">
        <f t="shared" ref="K6:K18" si="3">+I6-J6</f>
        <v>0</v>
      </c>
      <c r="L6" s="118">
        <v>60000</v>
      </c>
      <c r="M6" s="118">
        <v>110000</v>
      </c>
      <c r="N6" s="118">
        <v>95000</v>
      </c>
      <c r="O6" s="118">
        <v>136.4</v>
      </c>
      <c r="P6" s="118">
        <v>42863.6</v>
      </c>
      <c r="Q6" s="118">
        <v>100000</v>
      </c>
      <c r="R6" s="118">
        <v>100000</v>
      </c>
      <c r="S6" s="118">
        <v>68920</v>
      </c>
      <c r="T6" s="118">
        <v>7000</v>
      </c>
      <c r="U6" s="118"/>
      <c r="V6" s="118"/>
      <c r="W6" s="118"/>
      <c r="X6" s="118">
        <f t="shared" ref="X6:X40" si="4">SUM(L6:W6)</f>
        <v>583920</v>
      </c>
      <c r="Y6" s="118">
        <f t="shared" ref="Y6:Y37" si="5">+I6-X6</f>
        <v>64838</v>
      </c>
      <c r="Z6" s="118">
        <f t="shared" ref="Z5:Z37" si="6">+Y6-AA6</f>
        <v>0</v>
      </c>
      <c r="AA6" s="118">
        <v>64838</v>
      </c>
      <c r="AB6" s="118">
        <v>105000</v>
      </c>
      <c r="AC6" s="118">
        <v>105000</v>
      </c>
      <c r="AD6" s="120">
        <f t="shared" ref="AD6:AD36" si="7">+X6/I6</f>
        <v>0.900058265177462</v>
      </c>
      <c r="AE6" s="117">
        <f t="shared" ref="AE5:AE20" si="8">AB6-AC6</f>
        <v>0</v>
      </c>
      <c r="AF6" s="123"/>
      <c r="AG6" s="123"/>
      <c r="AH6" s="124" t="s">
        <v>44</v>
      </c>
      <c r="AI6" s="84">
        <f t="shared" si="2"/>
        <v>0</v>
      </c>
    </row>
    <row r="7" s="84" customFormat="1" ht="27" customHeight="1" spans="1:35">
      <c r="A7" s="84">
        <v>3</v>
      </c>
      <c r="B7" s="115" t="s">
        <v>36</v>
      </c>
      <c r="C7" s="115" t="s">
        <v>37</v>
      </c>
      <c r="D7" s="116" t="s">
        <v>45</v>
      </c>
      <c r="E7" s="115" t="s">
        <v>46</v>
      </c>
      <c r="F7" s="115" t="s">
        <v>40</v>
      </c>
      <c r="G7" s="117">
        <v>130000</v>
      </c>
      <c r="H7" s="118">
        <v>130000</v>
      </c>
      <c r="I7" s="118">
        <v>130000</v>
      </c>
      <c r="J7" s="117">
        <v>130000</v>
      </c>
      <c r="K7" s="117">
        <f t="shared" si="3"/>
        <v>0</v>
      </c>
      <c r="L7" s="118">
        <v>296.81</v>
      </c>
      <c r="M7" s="118">
        <v>70940</v>
      </c>
      <c r="N7" s="118">
        <v>12763.19</v>
      </c>
      <c r="O7" s="118"/>
      <c r="P7" s="118"/>
      <c r="Q7" s="118"/>
      <c r="R7" s="118"/>
      <c r="S7" s="118"/>
      <c r="T7" s="118"/>
      <c r="U7" s="118"/>
      <c r="V7" s="118"/>
      <c r="W7" s="118"/>
      <c r="X7" s="118">
        <f t="shared" si="4"/>
        <v>84000</v>
      </c>
      <c r="Y7" s="118">
        <f t="shared" si="5"/>
        <v>46000</v>
      </c>
      <c r="Z7" s="118">
        <f t="shared" si="6"/>
        <v>33000</v>
      </c>
      <c r="AA7" s="118">
        <f t="shared" ref="AA5:AA13" si="9">+I7*0.1</f>
        <v>13000</v>
      </c>
      <c r="AB7" s="118">
        <v>19500</v>
      </c>
      <c r="AC7" s="118">
        <f>6500+6500</f>
        <v>13000</v>
      </c>
      <c r="AD7" s="120">
        <f t="shared" si="7"/>
        <v>0.646153846153846</v>
      </c>
      <c r="AE7" s="117">
        <f t="shared" si="8"/>
        <v>6500</v>
      </c>
      <c r="AF7" s="123"/>
      <c r="AG7" s="123"/>
      <c r="AH7" s="121" t="s">
        <v>47</v>
      </c>
      <c r="AI7" s="84">
        <f t="shared" si="2"/>
        <v>0</v>
      </c>
    </row>
    <row r="8" s="84" customFormat="1" ht="27" customHeight="1" spans="1:35">
      <c r="A8" s="84">
        <v>4</v>
      </c>
      <c r="B8" s="115" t="s">
        <v>36</v>
      </c>
      <c r="C8" s="115" t="s">
        <v>37</v>
      </c>
      <c r="D8" s="116" t="s">
        <v>48</v>
      </c>
      <c r="E8" s="115" t="s">
        <v>49</v>
      </c>
      <c r="F8" s="115" t="s">
        <v>40</v>
      </c>
      <c r="G8" s="117">
        <v>740000</v>
      </c>
      <c r="H8" s="118">
        <v>0</v>
      </c>
      <c r="I8" s="118">
        <v>728893</v>
      </c>
      <c r="J8" s="117">
        <v>728893</v>
      </c>
      <c r="K8" s="117">
        <f t="shared" si="3"/>
        <v>0</v>
      </c>
      <c r="L8" s="118">
        <v>218667.9</v>
      </c>
      <c r="M8" s="118">
        <v>64000</v>
      </c>
      <c r="N8" s="118">
        <v>96000</v>
      </c>
      <c r="O8" s="118">
        <v>100000</v>
      </c>
      <c r="P8" s="118">
        <v>91744</v>
      </c>
      <c r="Q8" s="118"/>
      <c r="R8" s="118"/>
      <c r="S8" s="118"/>
      <c r="T8" s="118">
        <v>85610</v>
      </c>
      <c r="U8" s="118"/>
      <c r="V8" s="118"/>
      <c r="W8" s="118"/>
      <c r="X8" s="118">
        <f t="shared" si="4"/>
        <v>656021.9</v>
      </c>
      <c r="Y8" s="118">
        <f t="shared" si="5"/>
        <v>72871.1</v>
      </c>
      <c r="Z8" s="118">
        <f t="shared" si="6"/>
        <v>0</v>
      </c>
      <c r="AA8" s="118">
        <v>72871.1</v>
      </c>
      <c r="AB8" s="118">
        <v>148000</v>
      </c>
      <c r="AC8" s="118">
        <f>111000+37000</f>
        <v>148000</v>
      </c>
      <c r="AD8" s="120">
        <f t="shared" si="7"/>
        <v>0.900024969371362</v>
      </c>
      <c r="AE8" s="117">
        <f t="shared" si="8"/>
        <v>0</v>
      </c>
      <c r="AF8" s="123"/>
      <c r="AG8" s="123"/>
      <c r="AH8" s="124" t="s">
        <v>50</v>
      </c>
      <c r="AI8" s="84">
        <f t="shared" si="2"/>
        <v>0</v>
      </c>
    </row>
    <row r="9" s="84" customFormat="1" ht="27" customHeight="1" spans="1:35">
      <c r="A9" s="84">
        <v>5</v>
      </c>
      <c r="B9" s="115" t="s">
        <v>36</v>
      </c>
      <c r="C9" s="115" t="s">
        <v>51</v>
      </c>
      <c r="D9" s="116" t="s">
        <v>52</v>
      </c>
      <c r="E9" s="115" t="s">
        <v>53</v>
      </c>
      <c r="F9" s="115" t="s">
        <v>40</v>
      </c>
      <c r="G9" s="117">
        <v>880000</v>
      </c>
      <c r="H9" s="118">
        <v>880000</v>
      </c>
      <c r="I9" s="118">
        <v>673256</v>
      </c>
      <c r="J9" s="117">
        <v>673256</v>
      </c>
      <c r="K9" s="117">
        <f t="shared" si="3"/>
        <v>0</v>
      </c>
      <c r="L9" s="118">
        <v>120000</v>
      </c>
      <c r="M9" s="118">
        <v>33990</v>
      </c>
      <c r="N9" s="118">
        <v>71622.67</v>
      </c>
      <c r="O9" s="118">
        <v>387.33</v>
      </c>
      <c r="P9" s="118">
        <v>120</v>
      </c>
      <c r="Q9" s="118">
        <v>63760</v>
      </c>
      <c r="R9" s="118">
        <f>64020+20000</f>
        <v>84020</v>
      </c>
      <c r="S9" s="118">
        <v>130000</v>
      </c>
      <c r="T9" s="118">
        <v>100030.4</v>
      </c>
      <c r="U9" s="118"/>
      <c r="V9" s="118"/>
      <c r="W9" s="118"/>
      <c r="X9" s="118">
        <f t="shared" si="4"/>
        <v>603930.4</v>
      </c>
      <c r="Y9" s="118">
        <f t="shared" si="5"/>
        <v>69325.6</v>
      </c>
      <c r="Z9" s="118">
        <f t="shared" si="6"/>
        <v>0</v>
      </c>
      <c r="AA9" s="118">
        <f>+I9*0.1+2000</f>
        <v>69325.6</v>
      </c>
      <c r="AB9" s="118">
        <v>132000</v>
      </c>
      <c r="AC9" s="118">
        <f>44000+44000</f>
        <v>88000</v>
      </c>
      <c r="AD9" s="120">
        <f t="shared" si="7"/>
        <v>0.897029361788087</v>
      </c>
      <c r="AE9" s="117">
        <f t="shared" si="8"/>
        <v>44000</v>
      </c>
      <c r="AF9" s="123"/>
      <c r="AG9" s="123"/>
      <c r="AH9" s="124" t="s">
        <v>54</v>
      </c>
      <c r="AI9" s="84">
        <f t="shared" si="2"/>
        <v>0</v>
      </c>
    </row>
    <row r="10" s="84" customFormat="1" ht="27" customHeight="1" spans="1:35">
      <c r="A10" s="84">
        <v>6</v>
      </c>
      <c r="B10" s="115" t="s">
        <v>36</v>
      </c>
      <c r="C10" s="115" t="s">
        <v>51</v>
      </c>
      <c r="D10" s="116" t="s">
        <v>55</v>
      </c>
      <c r="E10" s="115" t="s">
        <v>56</v>
      </c>
      <c r="F10" s="115" t="s">
        <v>57</v>
      </c>
      <c r="G10" s="117">
        <v>350000</v>
      </c>
      <c r="H10" s="118"/>
      <c r="I10" s="118"/>
      <c r="J10" s="118">
        <v>0</v>
      </c>
      <c r="K10" s="117">
        <f t="shared" si="3"/>
        <v>0</v>
      </c>
      <c r="L10" s="118"/>
      <c r="M10" s="118"/>
      <c r="N10" s="118"/>
      <c r="O10" s="118"/>
      <c r="P10" s="118"/>
      <c r="Q10" s="118"/>
      <c r="R10" s="118"/>
      <c r="S10" s="118"/>
      <c r="T10" s="118"/>
      <c r="U10" s="118"/>
      <c r="V10" s="118"/>
      <c r="W10" s="118"/>
      <c r="X10" s="118">
        <f t="shared" si="4"/>
        <v>0</v>
      </c>
      <c r="Y10" s="118">
        <f t="shared" si="5"/>
        <v>0</v>
      </c>
      <c r="Z10" s="118">
        <f t="shared" si="6"/>
        <v>0</v>
      </c>
      <c r="AA10" s="118">
        <f t="shared" si="9"/>
        <v>0</v>
      </c>
      <c r="AB10" s="118">
        <v>53000</v>
      </c>
      <c r="AC10" s="118"/>
      <c r="AD10" s="120" t="e">
        <f t="shared" si="7"/>
        <v>#DIV/0!</v>
      </c>
      <c r="AE10" s="117">
        <f t="shared" si="8"/>
        <v>53000</v>
      </c>
      <c r="AF10" s="123"/>
      <c r="AG10" s="123"/>
      <c r="AH10" s="125" t="s">
        <v>58</v>
      </c>
      <c r="AI10" s="84">
        <f t="shared" si="2"/>
        <v>0</v>
      </c>
    </row>
    <row r="11" s="84" customFormat="1" ht="27" customHeight="1" spans="1:35">
      <c r="A11" s="84">
        <v>7</v>
      </c>
      <c r="B11" s="115" t="s">
        <v>36</v>
      </c>
      <c r="C11" s="115" t="s">
        <v>59</v>
      </c>
      <c r="D11" s="116" t="s">
        <v>60</v>
      </c>
      <c r="E11" s="115" t="s">
        <v>61</v>
      </c>
      <c r="F11" s="115" t="s">
        <v>40</v>
      </c>
      <c r="G11" s="117">
        <v>560000</v>
      </c>
      <c r="H11" s="118"/>
      <c r="I11" s="118">
        <v>534166</v>
      </c>
      <c r="J11" s="118">
        <v>534166</v>
      </c>
      <c r="K11" s="117">
        <f t="shared" si="3"/>
        <v>0</v>
      </c>
      <c r="L11" s="118"/>
      <c r="M11" s="118"/>
      <c r="N11" s="118"/>
      <c r="O11" s="118"/>
      <c r="P11" s="118"/>
      <c r="Q11" s="118"/>
      <c r="R11" s="118"/>
      <c r="S11" s="118"/>
      <c r="T11" s="118">
        <v>160249.8</v>
      </c>
      <c r="U11" s="118">
        <v>160249.8</v>
      </c>
      <c r="V11" s="118">
        <v>160249.6</v>
      </c>
      <c r="W11" s="118"/>
      <c r="X11" s="118">
        <f t="shared" si="4"/>
        <v>480749.2</v>
      </c>
      <c r="Y11" s="118">
        <f t="shared" si="5"/>
        <v>53416.8</v>
      </c>
      <c r="Z11" s="118">
        <f t="shared" si="6"/>
        <v>0.200000000048021</v>
      </c>
      <c r="AA11" s="118">
        <f t="shared" si="9"/>
        <v>53416.6</v>
      </c>
      <c r="AB11" s="118">
        <v>56000</v>
      </c>
      <c r="AC11" s="118">
        <f>28000+28000</f>
        <v>56000</v>
      </c>
      <c r="AD11" s="120">
        <f t="shared" si="7"/>
        <v>0.899999625584556</v>
      </c>
      <c r="AE11" s="117">
        <f t="shared" si="8"/>
        <v>0</v>
      </c>
      <c r="AF11" s="126"/>
      <c r="AG11" s="126"/>
      <c r="AH11" s="125" t="s">
        <v>62</v>
      </c>
      <c r="AI11" s="84">
        <f t="shared" si="2"/>
        <v>0</v>
      </c>
    </row>
    <row r="12" s="84" customFormat="1" ht="27" customHeight="1" spans="1:35">
      <c r="A12" s="84">
        <v>8</v>
      </c>
      <c r="B12" s="115" t="s">
        <v>36</v>
      </c>
      <c r="C12" s="115" t="s">
        <v>59</v>
      </c>
      <c r="D12" s="116" t="s">
        <v>63</v>
      </c>
      <c r="E12" s="115" t="s">
        <v>64</v>
      </c>
      <c r="F12" s="115" t="s">
        <v>40</v>
      </c>
      <c r="G12" s="117">
        <v>1000000</v>
      </c>
      <c r="H12" s="118">
        <v>809008</v>
      </c>
      <c r="I12" s="118">
        <v>809008</v>
      </c>
      <c r="J12" s="117">
        <v>809008</v>
      </c>
      <c r="K12" s="117">
        <f t="shared" si="3"/>
        <v>0</v>
      </c>
      <c r="L12" s="118">
        <v>42000</v>
      </c>
      <c r="M12" s="118">
        <v>150000</v>
      </c>
      <c r="N12" s="118">
        <v>150000</v>
      </c>
      <c r="O12" s="118">
        <v>50000</v>
      </c>
      <c r="P12" s="118">
        <f>22900+130000</f>
        <v>152900</v>
      </c>
      <c r="Q12" s="118"/>
      <c r="R12" s="118"/>
      <c r="S12" s="118"/>
      <c r="T12" s="118">
        <v>130000</v>
      </c>
      <c r="U12" s="118">
        <v>53207.2</v>
      </c>
      <c r="V12" s="118"/>
      <c r="W12" s="118"/>
      <c r="X12" s="118">
        <f t="shared" si="4"/>
        <v>728107.2</v>
      </c>
      <c r="Y12" s="118">
        <f t="shared" si="5"/>
        <v>80900.8</v>
      </c>
      <c r="Z12" s="118">
        <f t="shared" si="6"/>
        <v>0</v>
      </c>
      <c r="AA12" s="118">
        <f t="shared" si="9"/>
        <v>80900.8</v>
      </c>
      <c r="AB12" s="118">
        <v>150000</v>
      </c>
      <c r="AC12" s="118">
        <f>50000+50000+50000</f>
        <v>150000</v>
      </c>
      <c r="AD12" s="120">
        <f t="shared" si="7"/>
        <v>0.9</v>
      </c>
      <c r="AE12" s="117">
        <f t="shared" si="8"/>
        <v>0</v>
      </c>
      <c r="AF12" s="126"/>
      <c r="AG12" s="126"/>
      <c r="AH12" s="124" t="s">
        <v>65</v>
      </c>
      <c r="AI12" s="84">
        <f t="shared" si="2"/>
        <v>0</v>
      </c>
    </row>
    <row r="13" s="84" customFormat="1" ht="27" customHeight="1" spans="1:35">
      <c r="A13" s="84">
        <v>9</v>
      </c>
      <c r="B13" s="115" t="s">
        <v>36</v>
      </c>
      <c r="C13" s="115" t="s">
        <v>59</v>
      </c>
      <c r="D13" s="116" t="s">
        <v>66</v>
      </c>
      <c r="E13" s="115" t="s">
        <v>67</v>
      </c>
      <c r="F13" s="115" t="s">
        <v>40</v>
      </c>
      <c r="G13" s="117">
        <v>357500</v>
      </c>
      <c r="H13" s="118">
        <v>357500</v>
      </c>
      <c r="I13" s="118">
        <v>351823</v>
      </c>
      <c r="J13" s="117">
        <v>351823</v>
      </c>
      <c r="K13" s="117">
        <f t="shared" si="3"/>
        <v>0</v>
      </c>
      <c r="L13" s="118">
        <v>110000</v>
      </c>
      <c r="M13" s="118"/>
      <c r="N13" s="118"/>
      <c r="O13" s="118"/>
      <c r="P13" s="118"/>
      <c r="Q13" s="118"/>
      <c r="R13" s="118"/>
      <c r="S13" s="118"/>
      <c r="T13" s="118">
        <v>100000</v>
      </c>
      <c r="U13" s="118">
        <v>106640.7</v>
      </c>
      <c r="V13" s="118"/>
      <c r="W13" s="118"/>
      <c r="X13" s="118">
        <f t="shared" si="4"/>
        <v>316640.7</v>
      </c>
      <c r="Y13" s="118">
        <f t="shared" si="5"/>
        <v>35182.3</v>
      </c>
      <c r="Z13" s="118">
        <f t="shared" si="6"/>
        <v>0</v>
      </c>
      <c r="AA13" s="118">
        <f t="shared" si="9"/>
        <v>35182.3</v>
      </c>
      <c r="AB13" s="118">
        <v>53750</v>
      </c>
      <c r="AC13" s="118">
        <f>17875+35875</f>
        <v>53750</v>
      </c>
      <c r="AD13" s="120">
        <f t="shared" si="7"/>
        <v>0.9</v>
      </c>
      <c r="AE13" s="117">
        <f t="shared" si="8"/>
        <v>0</v>
      </c>
      <c r="AF13" s="126"/>
      <c r="AG13" s="126"/>
      <c r="AH13" s="124" t="s">
        <v>65</v>
      </c>
      <c r="AI13" s="84">
        <f t="shared" si="2"/>
        <v>0</v>
      </c>
    </row>
    <row r="14" s="84" customFormat="1" ht="27" customHeight="1" spans="1:35">
      <c r="A14" s="84">
        <v>10</v>
      </c>
      <c r="B14" s="115" t="s">
        <v>36</v>
      </c>
      <c r="C14" s="115" t="s">
        <v>59</v>
      </c>
      <c r="D14" s="116" t="s">
        <v>68</v>
      </c>
      <c r="E14" s="115" t="s">
        <v>69</v>
      </c>
      <c r="F14" s="115" t="s">
        <v>40</v>
      </c>
      <c r="G14" s="117">
        <v>330000</v>
      </c>
      <c r="H14" s="118">
        <v>330000</v>
      </c>
      <c r="I14" s="118">
        <v>284719</v>
      </c>
      <c r="J14" s="117">
        <v>284719</v>
      </c>
      <c r="K14" s="117">
        <f t="shared" si="3"/>
        <v>0</v>
      </c>
      <c r="L14" s="118">
        <v>85400</v>
      </c>
      <c r="M14" s="118">
        <v>85415.7</v>
      </c>
      <c r="N14" s="118">
        <v>15.7</v>
      </c>
      <c r="O14" s="118">
        <v>30000</v>
      </c>
      <c r="P14" s="118"/>
      <c r="Q14" s="118"/>
      <c r="R14" s="118"/>
      <c r="S14" s="118"/>
      <c r="T14" s="118">
        <v>55415.7</v>
      </c>
      <c r="U14" s="118"/>
      <c r="V14" s="118"/>
      <c r="W14" s="118"/>
      <c r="X14" s="118">
        <f t="shared" si="4"/>
        <v>256247.1</v>
      </c>
      <c r="Y14" s="118">
        <f t="shared" si="5"/>
        <v>28471.9</v>
      </c>
      <c r="Z14" s="119">
        <f t="shared" si="6"/>
        <v>-3.63797880709171e-11</v>
      </c>
      <c r="AA14" s="118">
        <f t="shared" ref="AA13:AA17" si="10">+I14*0.1</f>
        <v>28471.9</v>
      </c>
      <c r="AB14" s="118">
        <v>50000</v>
      </c>
      <c r="AC14" s="118">
        <f>33000+17000</f>
        <v>50000</v>
      </c>
      <c r="AD14" s="120">
        <f t="shared" si="7"/>
        <v>0.9</v>
      </c>
      <c r="AE14" s="117">
        <f t="shared" si="8"/>
        <v>0</v>
      </c>
      <c r="AF14" s="123"/>
      <c r="AG14" s="123"/>
      <c r="AH14" s="124" t="s">
        <v>65</v>
      </c>
      <c r="AI14" s="84">
        <f t="shared" si="2"/>
        <v>0</v>
      </c>
    </row>
    <row r="15" s="84" customFormat="1" ht="27" customHeight="1" spans="1:35">
      <c r="A15" s="84">
        <v>11</v>
      </c>
      <c r="B15" s="115" t="s">
        <v>36</v>
      </c>
      <c r="C15" s="115" t="s">
        <v>59</v>
      </c>
      <c r="D15" s="116" t="s">
        <v>70</v>
      </c>
      <c r="E15" s="115" t="s">
        <v>71</v>
      </c>
      <c r="F15" s="115" t="s">
        <v>40</v>
      </c>
      <c r="G15" s="117">
        <v>180000</v>
      </c>
      <c r="H15" s="118">
        <v>180000</v>
      </c>
      <c r="I15" s="118">
        <v>169751</v>
      </c>
      <c r="J15" s="117">
        <v>169751</v>
      </c>
      <c r="K15" s="117">
        <f t="shared" si="3"/>
        <v>0</v>
      </c>
      <c r="L15" s="118">
        <v>50900</v>
      </c>
      <c r="M15" s="118">
        <v>50925.3</v>
      </c>
      <c r="N15" s="118">
        <v>25.3</v>
      </c>
      <c r="O15" s="118">
        <v>20000</v>
      </c>
      <c r="P15" s="118"/>
      <c r="Q15" s="118"/>
      <c r="R15" s="118"/>
      <c r="S15" s="118"/>
      <c r="T15" s="118">
        <v>30925.3</v>
      </c>
      <c r="U15" s="118"/>
      <c r="V15" s="118"/>
      <c r="W15" s="118"/>
      <c r="X15" s="118">
        <f t="shared" si="4"/>
        <v>152775.9</v>
      </c>
      <c r="Y15" s="118">
        <f t="shared" si="5"/>
        <v>16975.1</v>
      </c>
      <c r="Z15" s="118">
        <f t="shared" si="6"/>
        <v>0</v>
      </c>
      <c r="AA15" s="118">
        <f t="shared" si="10"/>
        <v>16975.1</v>
      </c>
      <c r="AB15" s="118">
        <v>27000</v>
      </c>
      <c r="AC15" s="118">
        <f>18000+9000</f>
        <v>27000</v>
      </c>
      <c r="AD15" s="120">
        <f t="shared" si="7"/>
        <v>0.9</v>
      </c>
      <c r="AE15" s="117">
        <f t="shared" si="8"/>
        <v>0</v>
      </c>
      <c r="AF15" s="123"/>
      <c r="AG15" s="123"/>
      <c r="AH15" s="124" t="s">
        <v>65</v>
      </c>
      <c r="AI15" s="84">
        <f t="shared" si="2"/>
        <v>0</v>
      </c>
    </row>
    <row r="16" s="84" customFormat="1" ht="27" customHeight="1" spans="1:35">
      <c r="A16" s="84">
        <v>12</v>
      </c>
      <c r="B16" s="115" t="s">
        <v>36</v>
      </c>
      <c r="C16" s="115" t="s">
        <v>59</v>
      </c>
      <c r="D16" s="116" t="s">
        <v>72</v>
      </c>
      <c r="E16" s="115" t="s">
        <v>73</v>
      </c>
      <c r="F16" s="115" t="s">
        <v>40</v>
      </c>
      <c r="G16" s="117">
        <v>170000</v>
      </c>
      <c r="H16" s="118">
        <v>170000</v>
      </c>
      <c r="I16" s="118">
        <v>161797</v>
      </c>
      <c r="J16" s="117">
        <v>161797</v>
      </c>
      <c r="K16" s="117">
        <f t="shared" si="3"/>
        <v>0</v>
      </c>
      <c r="L16" s="118">
        <v>48500</v>
      </c>
      <c r="M16" s="118">
        <v>13553.4</v>
      </c>
      <c r="N16" s="118">
        <v>401.4</v>
      </c>
      <c r="O16" s="118">
        <v>34584.3</v>
      </c>
      <c r="P16" s="118">
        <v>39.1</v>
      </c>
      <c r="Q16" s="118">
        <v>20000</v>
      </c>
      <c r="R16" s="118"/>
      <c r="S16" s="118"/>
      <c r="T16" s="118">
        <v>28539.1</v>
      </c>
      <c r="U16" s="118"/>
      <c r="V16" s="118"/>
      <c r="W16" s="118"/>
      <c r="X16" s="118">
        <f t="shared" si="4"/>
        <v>145617.3</v>
      </c>
      <c r="Y16" s="118">
        <f t="shared" si="5"/>
        <v>16179.7</v>
      </c>
      <c r="Z16" s="119">
        <f t="shared" si="6"/>
        <v>-1.81898940354586e-11</v>
      </c>
      <c r="AA16" s="118">
        <f t="shared" si="10"/>
        <v>16179.7</v>
      </c>
      <c r="AB16" s="118">
        <v>26000</v>
      </c>
      <c r="AC16" s="118">
        <f>17000+9000</f>
        <v>26000</v>
      </c>
      <c r="AD16" s="120">
        <f t="shared" si="7"/>
        <v>0.9</v>
      </c>
      <c r="AE16" s="117">
        <f t="shared" si="8"/>
        <v>0</v>
      </c>
      <c r="AF16" s="123"/>
      <c r="AG16" s="123"/>
      <c r="AH16" s="124" t="s">
        <v>65</v>
      </c>
      <c r="AI16" s="84">
        <f t="shared" si="2"/>
        <v>0</v>
      </c>
    </row>
    <row r="17" s="84" customFormat="1" ht="27" customHeight="1" spans="1:37">
      <c r="A17" s="84">
        <v>13</v>
      </c>
      <c r="B17" s="115" t="s">
        <v>36</v>
      </c>
      <c r="C17" s="115" t="s">
        <v>59</v>
      </c>
      <c r="D17" s="116" t="s">
        <v>74</v>
      </c>
      <c r="E17" s="115" t="s">
        <v>75</v>
      </c>
      <c r="F17" s="115" t="s">
        <v>40</v>
      </c>
      <c r="G17" s="117">
        <v>150000</v>
      </c>
      <c r="H17" s="118">
        <v>150000</v>
      </c>
      <c r="I17" s="118">
        <v>142909</v>
      </c>
      <c r="J17" s="117">
        <v>142909</v>
      </c>
      <c r="K17" s="117">
        <f t="shared" si="3"/>
        <v>0</v>
      </c>
      <c r="L17" s="118">
        <v>42900</v>
      </c>
      <c r="M17" s="118">
        <v>42872.7</v>
      </c>
      <c r="N17" s="118">
        <v>-27.3</v>
      </c>
      <c r="O17" s="118">
        <v>20000</v>
      </c>
      <c r="P17" s="118"/>
      <c r="Q17" s="118"/>
      <c r="R17" s="118"/>
      <c r="S17" s="118"/>
      <c r="T17" s="118">
        <v>22872.7</v>
      </c>
      <c r="U17" s="118"/>
      <c r="V17" s="118"/>
      <c r="W17" s="118"/>
      <c r="X17" s="118">
        <f t="shared" si="4"/>
        <v>128618.1</v>
      </c>
      <c r="Y17" s="118">
        <f t="shared" si="5"/>
        <v>14290.9</v>
      </c>
      <c r="Z17" s="118">
        <f t="shared" si="6"/>
        <v>0</v>
      </c>
      <c r="AA17" s="118">
        <f t="shared" si="10"/>
        <v>14290.9</v>
      </c>
      <c r="AB17" s="118">
        <v>23000</v>
      </c>
      <c r="AC17" s="118">
        <f>15000+8000</f>
        <v>23000</v>
      </c>
      <c r="AD17" s="120">
        <f t="shared" si="7"/>
        <v>0.9</v>
      </c>
      <c r="AE17" s="117">
        <f t="shared" si="8"/>
        <v>0</v>
      </c>
      <c r="AF17" s="123"/>
      <c r="AG17" s="123"/>
      <c r="AH17" s="124" t="s">
        <v>65</v>
      </c>
      <c r="AI17" s="84">
        <f t="shared" si="2"/>
        <v>0</v>
      </c>
    </row>
    <row r="18" s="84" customFormat="1" ht="27" customHeight="1" spans="1:37">
      <c r="A18" s="84">
        <v>14</v>
      </c>
      <c r="B18" s="115" t="s">
        <v>36</v>
      </c>
      <c r="C18" s="115" t="s">
        <v>59</v>
      </c>
      <c r="D18" s="116" t="s">
        <v>76</v>
      </c>
      <c r="E18" s="115" t="s">
        <v>77</v>
      </c>
      <c r="F18" s="115" t="s">
        <v>40</v>
      </c>
      <c r="G18" s="117">
        <v>137895</v>
      </c>
      <c r="H18" s="118">
        <v>137895</v>
      </c>
      <c r="I18" s="118">
        <v>137895</v>
      </c>
      <c r="J18" s="117">
        <v>137895</v>
      </c>
      <c r="K18" s="117">
        <f t="shared" ref="K18:K40" si="11">+I18-J18</f>
        <v>0</v>
      </c>
      <c r="L18" s="118">
        <v>41368.5</v>
      </c>
      <c r="M18" s="118">
        <v>41400</v>
      </c>
      <c r="N18" s="118">
        <v>41300</v>
      </c>
      <c r="O18" s="118">
        <v>13789.5</v>
      </c>
      <c r="P18" s="118"/>
      <c r="Q18" s="118"/>
      <c r="R18" s="118"/>
      <c r="S18" s="118"/>
      <c r="T18" s="118"/>
      <c r="U18" s="118"/>
      <c r="V18" s="118"/>
      <c r="W18" s="118"/>
      <c r="X18" s="118">
        <f t="shared" si="4"/>
        <v>137858</v>
      </c>
      <c r="Y18" s="118">
        <f t="shared" si="5"/>
        <v>37</v>
      </c>
      <c r="Z18" s="118">
        <f t="shared" si="6"/>
        <v>0</v>
      </c>
      <c r="AA18" s="118">
        <v>37</v>
      </c>
      <c r="AB18" s="118">
        <v>20900</v>
      </c>
      <c r="AC18" s="118">
        <v>20900</v>
      </c>
      <c r="AD18" s="120">
        <f t="shared" si="7"/>
        <v>0.999731679901374</v>
      </c>
      <c r="AE18" s="117">
        <f t="shared" si="8"/>
        <v>0</v>
      </c>
      <c r="AF18" s="123"/>
      <c r="AG18" s="123"/>
      <c r="AH18" s="127" t="s">
        <v>78</v>
      </c>
      <c r="AI18" s="84">
        <f t="shared" si="2"/>
        <v>0</v>
      </c>
    </row>
    <row r="19" s="85" customFormat="1" ht="27" customHeight="1" spans="1:37">
      <c r="A19" s="84">
        <v>15</v>
      </c>
      <c r="B19" s="115" t="s">
        <v>36</v>
      </c>
      <c r="C19" s="115" t="s">
        <v>59</v>
      </c>
      <c r="D19" s="116" t="s">
        <v>79</v>
      </c>
      <c r="E19" s="115" t="s">
        <v>80</v>
      </c>
      <c r="F19" s="115" t="s">
        <v>40</v>
      </c>
      <c r="G19" s="117">
        <v>1309216</v>
      </c>
      <c r="H19" s="118">
        <v>1309216</v>
      </c>
      <c r="I19" s="118">
        <v>1309216</v>
      </c>
      <c r="J19" s="117">
        <v>1309216</v>
      </c>
      <c r="K19" s="117">
        <f t="shared" si="11"/>
        <v>0</v>
      </c>
      <c r="L19" s="118">
        <v>460000</v>
      </c>
      <c r="M19" s="118">
        <v>250000</v>
      </c>
      <c r="N19" s="118">
        <v>180000</v>
      </c>
      <c r="O19" s="118">
        <v>120000</v>
      </c>
      <c r="P19" s="118">
        <v>100000</v>
      </c>
      <c r="Q19" s="118">
        <v>17160</v>
      </c>
      <c r="R19" s="118">
        <v>240</v>
      </c>
      <c r="S19" s="118"/>
      <c r="T19" s="118"/>
      <c r="U19" s="118">
        <v>84914.6</v>
      </c>
      <c r="V19" s="118"/>
      <c r="W19" s="118"/>
      <c r="X19" s="118">
        <f t="shared" si="4"/>
        <v>1212314.6</v>
      </c>
      <c r="Y19" s="118">
        <f t="shared" si="5"/>
        <v>96901.3999999999</v>
      </c>
      <c r="Z19" s="118">
        <f t="shared" si="6"/>
        <v>0</v>
      </c>
      <c r="AA19" s="118">
        <v>96901.3999999999</v>
      </c>
      <c r="AB19" s="118">
        <v>131000</v>
      </c>
      <c r="AC19" s="118">
        <v>131000</v>
      </c>
      <c r="AD19" s="120">
        <f t="shared" si="7"/>
        <v>0.925985169750446</v>
      </c>
      <c r="AE19" s="117">
        <f t="shared" si="8"/>
        <v>0</v>
      </c>
      <c r="AF19" s="128"/>
      <c r="AG19" s="113"/>
      <c r="AH19" s="121" t="s">
        <v>81</v>
      </c>
      <c r="AI19" s="84">
        <f t="shared" si="2"/>
        <v>0</v>
      </c>
      <c r="AK19" s="84"/>
    </row>
    <row r="20" s="84" customFormat="1" ht="27" customHeight="1" spans="1:37">
      <c r="A20" s="84">
        <v>16</v>
      </c>
      <c r="B20" s="129" t="s">
        <v>36</v>
      </c>
      <c r="C20" s="129" t="s">
        <v>59</v>
      </c>
      <c r="D20" s="129" t="s">
        <v>82</v>
      </c>
      <c r="E20" s="129" t="s">
        <v>83</v>
      </c>
      <c r="F20" s="115">
        <v>2025.11</v>
      </c>
      <c r="G20" s="130">
        <v>1000000</v>
      </c>
      <c r="H20" s="131">
        <v>161917</v>
      </c>
      <c r="I20" s="118">
        <v>40008</v>
      </c>
      <c r="J20" s="117">
        <v>40008</v>
      </c>
      <c r="K20" s="117">
        <f t="shared" si="11"/>
        <v>0</v>
      </c>
      <c r="L20" s="118">
        <v>12002.4</v>
      </c>
      <c r="M20" s="118">
        <v>12002.4</v>
      </c>
      <c r="N20" s="118"/>
      <c r="O20" s="118"/>
      <c r="P20" s="118"/>
      <c r="Q20" s="118"/>
      <c r="R20" s="118"/>
      <c r="S20" s="118"/>
      <c r="T20" s="118">
        <v>12002.4</v>
      </c>
      <c r="U20" s="118"/>
      <c r="V20" s="118"/>
      <c r="W20" s="118"/>
      <c r="X20" s="118">
        <f t="shared" si="4"/>
        <v>36007.2</v>
      </c>
      <c r="Y20" s="118">
        <f t="shared" si="5"/>
        <v>4000.8</v>
      </c>
      <c r="Z20" s="118">
        <f t="shared" si="6"/>
        <v>0</v>
      </c>
      <c r="AA20" s="118">
        <f t="shared" ref="AA19:AA23" si="12">+I20*0.1</f>
        <v>4000.8</v>
      </c>
      <c r="AB20" s="131">
        <v>150000</v>
      </c>
      <c r="AC20" s="131">
        <f>50000+50000+50000</f>
        <v>150000</v>
      </c>
      <c r="AD20" s="120">
        <f t="shared" si="7"/>
        <v>0.9</v>
      </c>
      <c r="AE20" s="130">
        <f t="shared" si="8"/>
        <v>0</v>
      </c>
      <c r="AF20" s="123"/>
      <c r="AG20" s="123"/>
      <c r="AH20" s="132" t="s">
        <v>84</v>
      </c>
      <c r="AI20" s="84">
        <f t="shared" si="2"/>
        <v>0</v>
      </c>
    </row>
    <row r="21" s="84" customFormat="1" ht="27" customHeight="1" spans="1:37">
      <c r="B21" s="133"/>
      <c r="C21" s="133"/>
      <c r="D21" s="133"/>
      <c r="E21" s="133"/>
      <c r="F21" s="115" t="s">
        <v>85</v>
      </c>
      <c r="G21" s="134"/>
      <c r="H21" s="135"/>
      <c r="I21" s="118">
        <v>102799</v>
      </c>
      <c r="J21" s="117">
        <v>102799</v>
      </c>
      <c r="K21" s="117">
        <f t="shared" si="11"/>
        <v>0</v>
      </c>
      <c r="L21" s="118"/>
      <c r="M21" s="118"/>
      <c r="N21" s="118"/>
      <c r="O21" s="118"/>
      <c r="P21" s="118"/>
      <c r="Q21" s="118"/>
      <c r="R21" s="118"/>
      <c r="S21" s="118"/>
      <c r="T21" s="118">
        <v>30839.7</v>
      </c>
      <c r="U21" s="118">
        <v>30839.7</v>
      </c>
      <c r="V21" s="118">
        <v>30839.7</v>
      </c>
      <c r="W21" s="118"/>
      <c r="X21" s="118">
        <f t="shared" si="4"/>
        <v>92519.1</v>
      </c>
      <c r="Y21" s="118">
        <f t="shared" si="5"/>
        <v>10279.9</v>
      </c>
      <c r="Z21" s="118">
        <f t="shared" si="6"/>
        <v>0</v>
      </c>
      <c r="AA21" s="118">
        <f t="shared" si="12"/>
        <v>10279.9</v>
      </c>
      <c r="AB21" s="135"/>
      <c r="AC21" s="135"/>
      <c r="AD21" s="120">
        <f t="shared" si="7"/>
        <v>0.9</v>
      </c>
      <c r="AE21" s="134"/>
      <c r="AF21" s="123"/>
      <c r="AG21" s="123"/>
      <c r="AH21" s="132"/>
    </row>
    <row r="22" s="84" customFormat="1" ht="27" customHeight="1" spans="1:37">
      <c r="B22" s="133"/>
      <c r="C22" s="133"/>
      <c r="D22" s="133"/>
      <c r="E22" s="133"/>
      <c r="F22" s="115" t="s">
        <v>86</v>
      </c>
      <c r="G22" s="134"/>
      <c r="H22" s="135"/>
      <c r="I22" s="118">
        <v>134718</v>
      </c>
      <c r="J22" s="117">
        <v>134718</v>
      </c>
      <c r="K22" s="117">
        <f t="shared" si="11"/>
        <v>0</v>
      </c>
      <c r="L22" s="118"/>
      <c r="M22" s="118"/>
      <c r="N22" s="118"/>
      <c r="O22" s="118"/>
      <c r="P22" s="118"/>
      <c r="Q22" s="118"/>
      <c r="R22" s="118"/>
      <c r="S22" s="118"/>
      <c r="T22" s="118">
        <v>40415.4</v>
      </c>
      <c r="U22" s="118">
        <v>40415.4</v>
      </c>
      <c r="V22" s="118">
        <v>40415.4</v>
      </c>
      <c r="W22" s="118"/>
      <c r="X22" s="118">
        <f t="shared" si="4"/>
        <v>121246.2</v>
      </c>
      <c r="Y22" s="118">
        <f t="shared" si="5"/>
        <v>13471.8</v>
      </c>
      <c r="Z22" s="118">
        <f t="shared" si="6"/>
        <v>0</v>
      </c>
      <c r="AA22" s="118">
        <f t="shared" si="12"/>
        <v>13471.8</v>
      </c>
      <c r="AB22" s="135"/>
      <c r="AC22" s="135"/>
      <c r="AD22" s="120">
        <f t="shared" si="7"/>
        <v>0.9</v>
      </c>
      <c r="AE22" s="134"/>
      <c r="AF22" s="123"/>
      <c r="AG22" s="123"/>
      <c r="AH22" s="132"/>
    </row>
    <row r="23" s="84" customFormat="1" ht="27" customHeight="1" spans="1:37">
      <c r="B23" s="136"/>
      <c r="C23" s="136"/>
      <c r="D23" s="136"/>
      <c r="E23" s="136"/>
      <c r="F23" s="115" t="s">
        <v>87</v>
      </c>
      <c r="G23" s="137"/>
      <c r="H23" s="138"/>
      <c r="I23" s="118">
        <v>42890</v>
      </c>
      <c r="J23" s="117">
        <v>42890</v>
      </c>
      <c r="K23" s="117">
        <f t="shared" si="11"/>
        <v>0</v>
      </c>
      <c r="L23" s="118"/>
      <c r="M23" s="118"/>
      <c r="N23" s="118"/>
      <c r="O23" s="118"/>
      <c r="P23" s="118"/>
      <c r="Q23" s="118"/>
      <c r="R23" s="118"/>
      <c r="S23" s="118"/>
      <c r="T23" s="118">
        <v>12867</v>
      </c>
      <c r="U23" s="118">
        <v>12867</v>
      </c>
      <c r="V23" s="118">
        <v>12867</v>
      </c>
      <c r="W23" s="118"/>
      <c r="X23" s="118">
        <f t="shared" si="4"/>
        <v>38601</v>
      </c>
      <c r="Y23" s="118">
        <f t="shared" si="5"/>
        <v>4289</v>
      </c>
      <c r="Z23" s="118">
        <f t="shared" si="6"/>
        <v>0</v>
      </c>
      <c r="AA23" s="118">
        <f t="shared" si="12"/>
        <v>4289</v>
      </c>
      <c r="AB23" s="138"/>
      <c r="AC23" s="138"/>
      <c r="AD23" s="120">
        <f t="shared" si="7"/>
        <v>0.9</v>
      </c>
      <c r="AE23" s="137"/>
      <c r="AF23" s="123"/>
      <c r="AG23" s="123"/>
      <c r="AH23" s="132"/>
    </row>
    <row r="24" s="84" customFormat="1" ht="27" customHeight="1" spans="1:37">
      <c r="A24" s="84">
        <v>17</v>
      </c>
      <c r="B24" s="115" t="s">
        <v>36</v>
      </c>
      <c r="C24" s="115" t="s">
        <v>59</v>
      </c>
      <c r="D24" s="116" t="s">
        <v>88</v>
      </c>
      <c r="E24" s="115" t="s">
        <v>89</v>
      </c>
      <c r="F24" s="115" t="s">
        <v>40</v>
      </c>
      <c r="G24" s="117">
        <v>218388</v>
      </c>
      <c r="H24" s="118">
        <v>218388</v>
      </c>
      <c r="I24" s="118">
        <v>218388</v>
      </c>
      <c r="J24" s="117">
        <v>218388</v>
      </c>
      <c r="K24" s="117">
        <f t="shared" si="11"/>
        <v>0</v>
      </c>
      <c r="L24" s="118">
        <v>65500</v>
      </c>
      <c r="M24" s="118">
        <v>61516.4</v>
      </c>
      <c r="N24" s="118">
        <v>27000</v>
      </c>
      <c r="O24" s="118">
        <v>42549.2</v>
      </c>
      <c r="P24" s="118"/>
      <c r="Q24" s="118"/>
      <c r="R24" s="118"/>
      <c r="S24" s="118"/>
      <c r="T24" s="118">
        <v>21838.8</v>
      </c>
      <c r="U24" s="118"/>
      <c r="V24" s="118"/>
      <c r="W24" s="118"/>
      <c r="X24" s="118">
        <f t="shared" si="4"/>
        <v>218404.4</v>
      </c>
      <c r="Y24" s="118">
        <f t="shared" si="5"/>
        <v>-16.3999999999651</v>
      </c>
      <c r="Z24" s="118">
        <f t="shared" si="6"/>
        <v>-16.3999999999651</v>
      </c>
      <c r="AA24" s="118">
        <v>0</v>
      </c>
      <c r="AB24" s="118">
        <v>43600</v>
      </c>
      <c r="AC24" s="118">
        <f>15000+14300+14300</f>
        <v>43600</v>
      </c>
      <c r="AD24" s="120">
        <f t="shared" si="7"/>
        <v>1.00007509570123</v>
      </c>
      <c r="AE24" s="117">
        <f>AB24-AC24</f>
        <v>0</v>
      </c>
      <c r="AF24" s="113"/>
      <c r="AG24" s="139"/>
      <c r="AH24" s="121" t="s">
        <v>90</v>
      </c>
      <c r="AI24" s="84">
        <f t="shared" ref="AI24:AI37" si="13">+AB24-AC24-AE24</f>
        <v>0</v>
      </c>
    </row>
    <row r="25" s="84" customFormat="1" ht="27" customHeight="1" spans="1:37">
      <c r="A25" s="84">
        <v>18</v>
      </c>
      <c r="B25" s="115" t="s">
        <v>36</v>
      </c>
      <c r="C25" s="115" t="s">
        <v>59</v>
      </c>
      <c r="D25" s="116" t="s">
        <v>91</v>
      </c>
      <c r="E25" s="115" t="s">
        <v>92</v>
      </c>
      <c r="F25" s="115" t="s">
        <v>40</v>
      </c>
      <c r="G25" s="117">
        <v>258645</v>
      </c>
      <c r="H25" s="118">
        <v>258645</v>
      </c>
      <c r="I25" s="118">
        <v>258645</v>
      </c>
      <c r="J25" s="117">
        <v>258645</v>
      </c>
      <c r="K25" s="117">
        <f t="shared" si="11"/>
        <v>0</v>
      </c>
      <c r="L25" s="118">
        <v>2583.5</v>
      </c>
      <c r="M25" s="118">
        <v>75010</v>
      </c>
      <c r="N25" s="118">
        <v>30000</v>
      </c>
      <c r="O25" s="118">
        <v>45300</v>
      </c>
      <c r="P25" s="118">
        <v>30000</v>
      </c>
      <c r="Q25" s="118">
        <v>24900</v>
      </c>
      <c r="R25" s="118"/>
      <c r="S25" s="118"/>
      <c r="T25" s="118"/>
      <c r="U25" s="118"/>
      <c r="V25" s="118">
        <v>25864.5</v>
      </c>
      <c r="W25" s="118"/>
      <c r="X25" s="118">
        <f t="shared" si="4"/>
        <v>233658</v>
      </c>
      <c r="Y25" s="118">
        <f t="shared" si="5"/>
        <v>24987</v>
      </c>
      <c r="Z25" s="118">
        <f t="shared" si="6"/>
        <v>0</v>
      </c>
      <c r="AA25" s="118">
        <v>24987</v>
      </c>
      <c r="AB25" s="118">
        <v>39000</v>
      </c>
      <c r="AC25" s="118">
        <v>13000</v>
      </c>
      <c r="AD25" s="120">
        <f t="shared" si="7"/>
        <v>0.903392681087978</v>
      </c>
      <c r="AE25" s="140">
        <f t="shared" ref="AE24:AE37" si="14">AB25-AC25</f>
        <v>26000</v>
      </c>
      <c r="AF25" s="139"/>
      <c r="AG25" s="139"/>
      <c r="AH25" s="121" t="s">
        <v>93</v>
      </c>
      <c r="AI25" s="84">
        <f t="shared" si="13"/>
        <v>0</v>
      </c>
    </row>
    <row r="26" s="84" customFormat="1" ht="27" customHeight="1" spans="1:37">
      <c r="A26" s="84">
        <v>19</v>
      </c>
      <c r="B26" s="115" t="s">
        <v>36</v>
      </c>
      <c r="C26" s="115" t="s">
        <v>59</v>
      </c>
      <c r="D26" s="116" t="s">
        <v>94</v>
      </c>
      <c r="E26" s="115" t="s">
        <v>95</v>
      </c>
      <c r="F26" s="115" t="s">
        <v>40</v>
      </c>
      <c r="G26" s="117">
        <v>224693</v>
      </c>
      <c r="H26" s="118">
        <v>224693</v>
      </c>
      <c r="I26" s="118">
        <v>224693</v>
      </c>
      <c r="J26" s="117">
        <v>224693</v>
      </c>
      <c r="K26" s="117">
        <f t="shared" si="11"/>
        <v>0</v>
      </c>
      <c r="L26" s="118">
        <v>67400</v>
      </c>
      <c r="M26" s="118">
        <v>67400</v>
      </c>
      <c r="N26" s="118">
        <v>27000</v>
      </c>
      <c r="O26" s="118">
        <v>40300</v>
      </c>
      <c r="P26" s="118"/>
      <c r="Q26" s="118"/>
      <c r="R26" s="118"/>
      <c r="S26" s="118"/>
      <c r="T26" s="118"/>
      <c r="U26" s="118"/>
      <c r="V26" s="118">
        <v>22469.3</v>
      </c>
      <c r="W26" s="118"/>
      <c r="X26" s="118">
        <f t="shared" si="4"/>
        <v>224569.3</v>
      </c>
      <c r="Y26" s="118">
        <f t="shared" si="5"/>
        <v>123.700000000012</v>
      </c>
      <c r="Z26" s="118">
        <f t="shared" si="6"/>
        <v>123.700000000012</v>
      </c>
      <c r="AA26" s="118">
        <v>0</v>
      </c>
      <c r="AB26" s="118">
        <v>23500</v>
      </c>
      <c r="AC26" s="118">
        <f>12000+11500</f>
        <v>23500</v>
      </c>
      <c r="AD26" s="120">
        <f t="shared" si="7"/>
        <v>0.999449471056063</v>
      </c>
      <c r="AE26" s="117">
        <f t="shared" si="14"/>
        <v>0</v>
      </c>
      <c r="AF26" s="139"/>
      <c r="AG26" s="139"/>
      <c r="AH26" s="121" t="s">
        <v>96</v>
      </c>
      <c r="AI26" s="84">
        <f t="shared" si="13"/>
        <v>0</v>
      </c>
    </row>
    <row r="27" s="84" customFormat="1" ht="27" customHeight="1" spans="1:37">
      <c r="A27" s="84">
        <v>20</v>
      </c>
      <c r="B27" s="115" t="s">
        <v>36</v>
      </c>
      <c r="C27" s="115" t="s">
        <v>59</v>
      </c>
      <c r="D27" s="116" t="s">
        <v>97</v>
      </c>
      <c r="E27" s="115" t="s">
        <v>98</v>
      </c>
      <c r="F27" s="115" t="s">
        <v>40</v>
      </c>
      <c r="G27" s="117">
        <v>119690</v>
      </c>
      <c r="H27" s="118">
        <v>119690</v>
      </c>
      <c r="I27" s="118">
        <v>119690</v>
      </c>
      <c r="J27" s="117">
        <v>119690</v>
      </c>
      <c r="K27" s="117">
        <f t="shared" si="11"/>
        <v>0</v>
      </c>
      <c r="L27" s="118">
        <v>106800</v>
      </c>
      <c r="M27" s="118">
        <v>12890</v>
      </c>
      <c r="N27" s="118"/>
      <c r="O27" s="118"/>
      <c r="P27" s="118"/>
      <c r="Q27" s="118"/>
      <c r="R27" s="118"/>
      <c r="S27" s="118"/>
      <c r="T27" s="118"/>
      <c r="U27" s="118"/>
      <c r="V27" s="118"/>
      <c r="W27" s="118"/>
      <c r="X27" s="118">
        <f t="shared" si="4"/>
        <v>119690</v>
      </c>
      <c r="Y27" s="118">
        <f t="shared" si="5"/>
        <v>0</v>
      </c>
      <c r="Z27" s="118">
        <f t="shared" si="6"/>
        <v>0</v>
      </c>
      <c r="AA27" s="118">
        <v>0</v>
      </c>
      <c r="AB27" s="118">
        <v>12000</v>
      </c>
      <c r="AC27" s="118">
        <v>6000</v>
      </c>
      <c r="AD27" s="120">
        <f t="shared" si="7"/>
        <v>1</v>
      </c>
      <c r="AE27" s="140">
        <f t="shared" si="14"/>
        <v>6000</v>
      </c>
      <c r="AF27" s="123"/>
      <c r="AG27" s="123"/>
      <c r="AH27" s="141" t="s">
        <v>99</v>
      </c>
      <c r="AI27" s="84">
        <f t="shared" si="13"/>
        <v>0</v>
      </c>
    </row>
    <row r="28" s="84" customFormat="1" ht="27" customHeight="1" spans="1:37">
      <c r="A28" s="84">
        <v>21</v>
      </c>
      <c r="B28" s="115" t="s">
        <v>36</v>
      </c>
      <c r="C28" s="115" t="s">
        <v>59</v>
      </c>
      <c r="D28" s="116" t="s">
        <v>100</v>
      </c>
      <c r="E28" s="115" t="s">
        <v>101</v>
      </c>
      <c r="F28" s="115" t="s">
        <v>40</v>
      </c>
      <c r="G28" s="117">
        <v>73500</v>
      </c>
      <c r="H28" s="118">
        <v>73478</v>
      </c>
      <c r="I28" s="118">
        <v>73478</v>
      </c>
      <c r="J28" s="117">
        <v>73478</v>
      </c>
      <c r="K28" s="117">
        <f t="shared" si="11"/>
        <v>0</v>
      </c>
      <c r="L28" s="118">
        <v>22000</v>
      </c>
      <c r="M28" s="118">
        <v>21754.2</v>
      </c>
      <c r="N28" s="118">
        <v>245.800000000003</v>
      </c>
      <c r="O28" s="118">
        <v>22130.2</v>
      </c>
      <c r="P28" s="118"/>
      <c r="Q28" s="118"/>
      <c r="R28" s="118"/>
      <c r="S28" s="118"/>
      <c r="T28" s="118"/>
      <c r="U28" s="118"/>
      <c r="V28" s="118"/>
      <c r="W28" s="118"/>
      <c r="X28" s="118">
        <f t="shared" si="4"/>
        <v>66130.2</v>
      </c>
      <c r="Y28" s="118">
        <f t="shared" si="5"/>
        <v>7347.8</v>
      </c>
      <c r="Z28" s="118">
        <f t="shared" si="6"/>
        <v>0</v>
      </c>
      <c r="AA28" s="118">
        <f>+I28*0.1</f>
        <v>7347.8</v>
      </c>
      <c r="AB28" s="118">
        <v>11350</v>
      </c>
      <c r="AC28" s="118">
        <v>11350</v>
      </c>
      <c r="AD28" s="120">
        <f t="shared" si="7"/>
        <v>0.9</v>
      </c>
      <c r="AE28" s="117">
        <f t="shared" si="14"/>
        <v>0</v>
      </c>
      <c r="AF28" s="123"/>
      <c r="AG28" s="123"/>
      <c r="AH28" s="142" t="s">
        <v>102</v>
      </c>
      <c r="AI28" s="84">
        <f t="shared" si="13"/>
        <v>0</v>
      </c>
    </row>
    <row r="29" s="84" customFormat="1" ht="27" customHeight="1" spans="1:37">
      <c r="A29" s="84">
        <v>22</v>
      </c>
      <c r="B29" s="115" t="s">
        <v>36</v>
      </c>
      <c r="C29" s="115" t="s">
        <v>59</v>
      </c>
      <c r="D29" s="116" t="s">
        <v>103</v>
      </c>
      <c r="E29" s="115" t="s">
        <v>104</v>
      </c>
      <c r="F29" s="115" t="s">
        <v>40</v>
      </c>
      <c r="G29" s="117">
        <v>59700</v>
      </c>
      <c r="H29" s="118">
        <v>59700</v>
      </c>
      <c r="I29" s="118">
        <v>59700</v>
      </c>
      <c r="J29" s="117">
        <v>59700</v>
      </c>
      <c r="K29" s="117">
        <f t="shared" si="11"/>
        <v>0</v>
      </c>
      <c r="L29" s="118">
        <v>17910</v>
      </c>
      <c r="M29" s="118">
        <v>17910</v>
      </c>
      <c r="N29" s="118">
        <v>241</v>
      </c>
      <c r="O29" s="118">
        <v>19460</v>
      </c>
      <c r="P29" s="118"/>
      <c r="Q29" s="118"/>
      <c r="R29" s="118"/>
      <c r="S29" s="118"/>
      <c r="T29" s="118"/>
      <c r="U29" s="118"/>
      <c r="V29" s="118"/>
      <c r="W29" s="118">
        <v>5970</v>
      </c>
      <c r="X29" s="118">
        <f t="shared" si="4"/>
        <v>61491</v>
      </c>
      <c r="Y29" s="118">
        <f t="shared" si="5"/>
        <v>-1791</v>
      </c>
      <c r="Z29" s="118">
        <f t="shared" si="6"/>
        <v>-1791</v>
      </c>
      <c r="AA29" s="118">
        <v>0</v>
      </c>
      <c r="AB29" s="118">
        <v>12150</v>
      </c>
      <c r="AC29" s="118">
        <v>9100</v>
      </c>
      <c r="AD29" s="120">
        <f t="shared" si="7"/>
        <v>1.03</v>
      </c>
      <c r="AE29" s="140">
        <f t="shared" si="14"/>
        <v>3050</v>
      </c>
      <c r="AF29" s="113"/>
      <c r="AG29" s="139"/>
      <c r="AH29" s="121" t="s">
        <v>105</v>
      </c>
      <c r="AI29" s="84">
        <f t="shared" si="13"/>
        <v>0</v>
      </c>
    </row>
    <row r="30" s="84" customFormat="1" ht="27" customHeight="1" spans="1:37">
      <c r="A30" s="84">
        <v>24</v>
      </c>
      <c r="B30" s="115" t="s">
        <v>36</v>
      </c>
      <c r="C30" s="115" t="s">
        <v>59</v>
      </c>
      <c r="D30" s="116" t="s">
        <v>106</v>
      </c>
      <c r="E30" s="115" t="s">
        <v>107</v>
      </c>
      <c r="F30" s="115" t="s">
        <v>40</v>
      </c>
      <c r="G30" s="117">
        <v>3480016</v>
      </c>
      <c r="H30" s="118">
        <v>3600893.13</v>
      </c>
      <c r="I30" s="118">
        <v>3480016</v>
      </c>
      <c r="J30" s="117">
        <v>3480016</v>
      </c>
      <c r="K30" s="117">
        <f t="shared" si="11"/>
        <v>0</v>
      </c>
      <c r="L30" s="118">
        <v>1080000</v>
      </c>
      <c r="M30" s="118">
        <v>750000</v>
      </c>
      <c r="N30" s="118">
        <v>1366531.74</v>
      </c>
      <c r="O30" s="118">
        <v>240000</v>
      </c>
      <c r="P30" s="118"/>
      <c r="Q30" s="118"/>
      <c r="R30" s="118"/>
      <c r="S30" s="118"/>
      <c r="T30" s="118"/>
      <c r="U30" s="118"/>
      <c r="V30" s="118"/>
      <c r="W30" s="118"/>
      <c r="X30" s="118">
        <f t="shared" si="4"/>
        <v>3436531.74</v>
      </c>
      <c r="Y30" s="118">
        <f t="shared" si="5"/>
        <v>43484.2599999998</v>
      </c>
      <c r="Z30" s="119">
        <f t="shared" si="6"/>
        <v>-2.25554686039686e-10</v>
      </c>
      <c r="AA30" s="118">
        <f>+I30*0.1-304517.34</f>
        <v>43484.26</v>
      </c>
      <c r="AB30" s="118">
        <v>540044</v>
      </c>
      <c r="AC30" s="118">
        <v>540044</v>
      </c>
      <c r="AD30" s="120">
        <f t="shared" si="7"/>
        <v>0.987504580438711</v>
      </c>
      <c r="AE30" s="117">
        <f t="shared" si="14"/>
        <v>0</v>
      </c>
      <c r="AF30" s="113"/>
      <c r="AG30" s="113"/>
      <c r="AH30" s="143" t="s">
        <v>108</v>
      </c>
      <c r="AI30" s="84">
        <f t="shared" si="13"/>
        <v>0</v>
      </c>
    </row>
    <row r="31" s="84" customFormat="1" ht="27" customHeight="1" spans="1:37">
      <c r="A31" s="84">
        <v>25</v>
      </c>
      <c r="B31" s="115" t="s">
        <v>36</v>
      </c>
      <c r="C31" s="115" t="s">
        <v>59</v>
      </c>
      <c r="D31" s="116" t="s">
        <v>109</v>
      </c>
      <c r="E31" s="115" t="s">
        <v>110</v>
      </c>
      <c r="F31" s="115" t="s">
        <v>40</v>
      </c>
      <c r="G31" s="117">
        <v>408679</v>
      </c>
      <c r="H31" s="118">
        <v>408679</v>
      </c>
      <c r="I31" s="118">
        <v>408679</v>
      </c>
      <c r="J31" s="117">
        <v>408679</v>
      </c>
      <c r="K31" s="117">
        <f t="shared" si="11"/>
        <v>0</v>
      </c>
      <c r="L31" s="118">
        <v>122603.7</v>
      </c>
      <c r="M31" s="118">
        <v>80000</v>
      </c>
      <c r="N31" s="118">
        <v>60000</v>
      </c>
      <c r="O31" s="118">
        <v>40000</v>
      </c>
      <c r="P31" s="118">
        <v>67297.81</v>
      </c>
      <c r="Q31" s="118">
        <v>403.79</v>
      </c>
      <c r="R31" s="118"/>
      <c r="S31" s="118"/>
      <c r="T31" s="118"/>
      <c r="U31" s="118"/>
      <c r="V31" s="118"/>
      <c r="W31" s="118"/>
      <c r="X31" s="118">
        <f t="shared" si="4"/>
        <v>370305.3</v>
      </c>
      <c r="Y31" s="118">
        <f t="shared" si="5"/>
        <v>38373.7</v>
      </c>
      <c r="Z31" s="119">
        <f t="shared" si="6"/>
        <v>0</v>
      </c>
      <c r="AA31" s="118">
        <f>+I31*0.1-2494.2</f>
        <v>38373.7</v>
      </c>
      <c r="AB31" s="118">
        <v>67600</v>
      </c>
      <c r="AC31" s="118">
        <v>67600</v>
      </c>
      <c r="AD31" s="120">
        <f t="shared" si="7"/>
        <v>0.906103078455218</v>
      </c>
      <c r="AE31" s="117">
        <f t="shared" si="14"/>
        <v>0</v>
      </c>
      <c r="AF31" s="113"/>
      <c r="AG31" s="113"/>
      <c r="AH31" s="143" t="s">
        <v>108</v>
      </c>
      <c r="AI31" s="84">
        <f t="shared" si="13"/>
        <v>0</v>
      </c>
    </row>
    <row r="32" s="84" customFormat="1" ht="27" customHeight="1" spans="1:37">
      <c r="A32" s="84">
        <v>26</v>
      </c>
      <c r="B32" s="115" t="s">
        <v>36</v>
      </c>
      <c r="C32" s="115" t="s">
        <v>59</v>
      </c>
      <c r="D32" s="116" t="s">
        <v>111</v>
      </c>
      <c r="E32" s="115" t="s">
        <v>112</v>
      </c>
      <c r="F32" s="115" t="s">
        <v>40</v>
      </c>
      <c r="G32" s="117">
        <v>576602</v>
      </c>
      <c r="H32" s="118">
        <v>576602</v>
      </c>
      <c r="I32" s="118">
        <v>576602</v>
      </c>
      <c r="J32" s="117">
        <v>576602</v>
      </c>
      <c r="K32" s="117">
        <f t="shared" si="11"/>
        <v>0</v>
      </c>
      <c r="L32" s="118">
        <v>172900</v>
      </c>
      <c r="M32" s="118">
        <v>77740.83</v>
      </c>
      <c r="N32" s="118">
        <v>95159.17</v>
      </c>
      <c r="O32" s="118">
        <v>70000</v>
      </c>
      <c r="P32" s="118">
        <v>103000</v>
      </c>
      <c r="Q32" s="118">
        <v>864.6</v>
      </c>
      <c r="R32" s="118">
        <v>56800</v>
      </c>
      <c r="S32" s="118">
        <v>-4.4</v>
      </c>
      <c r="T32" s="118"/>
      <c r="U32" s="118"/>
      <c r="V32" s="118"/>
      <c r="W32" s="118"/>
      <c r="X32" s="118">
        <f t="shared" si="4"/>
        <v>576460.2</v>
      </c>
      <c r="Y32" s="118">
        <f t="shared" si="5"/>
        <v>141.800000000047</v>
      </c>
      <c r="Z32" s="119">
        <f t="shared" si="6"/>
        <v>4.35704805568093e-11</v>
      </c>
      <c r="AA32" s="118">
        <f>+I32*0.1-57518.4</f>
        <v>141.800000000003</v>
      </c>
      <c r="AB32" s="118">
        <v>58000</v>
      </c>
      <c r="AC32" s="118">
        <v>58000</v>
      </c>
      <c r="AD32" s="120">
        <f t="shared" si="7"/>
        <v>0.999754076468691</v>
      </c>
      <c r="AE32" s="117">
        <f t="shared" si="14"/>
        <v>0</v>
      </c>
      <c r="AF32" s="139"/>
      <c r="AG32" s="139"/>
      <c r="AH32" s="143" t="s">
        <v>108</v>
      </c>
      <c r="AI32" s="84">
        <f t="shared" si="13"/>
        <v>0</v>
      </c>
    </row>
    <row r="33" s="84" customFormat="1" ht="27" customHeight="1" spans="1:35">
      <c r="A33" s="84">
        <v>27</v>
      </c>
      <c r="B33" s="115" t="s">
        <v>36</v>
      </c>
      <c r="C33" s="115" t="s">
        <v>59</v>
      </c>
      <c r="D33" s="116" t="s">
        <v>113</v>
      </c>
      <c r="E33" s="115" t="s">
        <v>114</v>
      </c>
      <c r="F33" s="115" t="s">
        <v>40</v>
      </c>
      <c r="G33" s="117">
        <v>2000000</v>
      </c>
      <c r="H33" s="118">
        <v>1668594</v>
      </c>
      <c r="I33" s="118">
        <v>1863834</v>
      </c>
      <c r="J33" s="117">
        <v>1863834</v>
      </c>
      <c r="K33" s="117">
        <f t="shared" si="11"/>
        <v>0</v>
      </c>
      <c r="L33" s="118">
        <v>1342181.8</v>
      </c>
      <c r="M33" s="144">
        <v>52700</v>
      </c>
      <c r="N33" s="118">
        <v>58500</v>
      </c>
      <c r="O33" s="118">
        <v>8000</v>
      </c>
      <c r="P33" s="118">
        <v>56516</v>
      </c>
      <c r="Q33" s="118">
        <v>1.6</v>
      </c>
      <c r="R33" s="118">
        <v>16000</v>
      </c>
      <c r="S33" s="118"/>
      <c r="T33" s="118"/>
      <c r="U33" s="118">
        <v>166859.4</v>
      </c>
      <c r="V33" s="118"/>
      <c r="W33" s="118"/>
      <c r="X33" s="118">
        <f t="shared" si="4"/>
        <v>1700758.8</v>
      </c>
      <c r="Y33" s="118">
        <f t="shared" si="5"/>
        <v>163075.2</v>
      </c>
      <c r="Z33" s="119">
        <f ca="1" t="shared" si="6"/>
        <v>0</v>
      </c>
      <c r="AA33" s="118">
        <f ca="1">+K33-Z33</f>
        <v>163075.2</v>
      </c>
      <c r="AB33" s="118">
        <v>266000</v>
      </c>
      <c r="AC33" s="118">
        <v>266000</v>
      </c>
      <c r="AD33" s="120">
        <f t="shared" si="7"/>
        <v>0.912505512830005</v>
      </c>
      <c r="AE33" s="117">
        <f t="shared" si="14"/>
        <v>0</v>
      </c>
      <c r="AF33" s="139"/>
      <c r="AG33" s="113"/>
      <c r="AH33" s="121" t="s">
        <v>93</v>
      </c>
      <c r="AI33" s="84">
        <f t="shared" si="13"/>
        <v>0</v>
      </c>
    </row>
    <row r="34" s="84" customFormat="1" ht="27" customHeight="1" spans="1:35">
      <c r="A34" s="84">
        <v>28</v>
      </c>
      <c r="B34" s="115" t="s">
        <v>36</v>
      </c>
      <c r="C34" s="115" t="s">
        <v>59</v>
      </c>
      <c r="D34" s="116" t="s">
        <v>115</v>
      </c>
      <c r="E34" s="115" t="s">
        <v>116</v>
      </c>
      <c r="F34" s="115" t="s">
        <v>40</v>
      </c>
      <c r="G34" s="117">
        <v>88404</v>
      </c>
      <c r="H34" s="118">
        <v>88404</v>
      </c>
      <c r="I34" s="118">
        <v>88404</v>
      </c>
      <c r="J34" s="117">
        <v>88404</v>
      </c>
      <c r="K34" s="117">
        <f t="shared" si="11"/>
        <v>0</v>
      </c>
      <c r="L34" s="118">
        <v>77169.73</v>
      </c>
      <c r="M34" s="118">
        <v>8840.4</v>
      </c>
      <c r="N34" s="118"/>
      <c r="O34" s="118"/>
      <c r="P34" s="118"/>
      <c r="Q34" s="118"/>
      <c r="R34" s="118"/>
      <c r="S34" s="118"/>
      <c r="T34" s="118"/>
      <c r="U34" s="118"/>
      <c r="V34" s="118"/>
      <c r="W34" s="118"/>
      <c r="X34" s="118">
        <f t="shared" si="4"/>
        <v>86010.13</v>
      </c>
      <c r="Y34" s="118">
        <f t="shared" si="5"/>
        <v>2393.87000000001</v>
      </c>
      <c r="Z34" s="119">
        <f t="shared" si="6"/>
        <v>1.00044417195022e-11</v>
      </c>
      <c r="AA34" s="118">
        <f>+I34*0.1-6446.53</f>
        <v>2393.87</v>
      </c>
      <c r="AB34" s="118">
        <v>13900</v>
      </c>
      <c r="AC34" s="118">
        <v>13900</v>
      </c>
      <c r="AD34" s="120">
        <f t="shared" si="7"/>
        <v>0.972921247907334</v>
      </c>
      <c r="AE34" s="117">
        <f t="shared" si="14"/>
        <v>0</v>
      </c>
      <c r="AF34" s="113"/>
      <c r="AG34" s="113"/>
      <c r="AH34" s="143" t="s">
        <v>108</v>
      </c>
      <c r="AI34" s="84">
        <f t="shared" si="13"/>
        <v>0</v>
      </c>
    </row>
    <row r="35" s="84" customFormat="1" ht="27" customHeight="1" spans="1:35">
      <c r="A35" s="84">
        <v>29</v>
      </c>
      <c r="B35" s="115" t="s">
        <v>36</v>
      </c>
      <c r="C35" s="115" t="s">
        <v>59</v>
      </c>
      <c r="D35" s="116" t="s">
        <v>117</v>
      </c>
      <c r="E35" s="115" t="s">
        <v>118</v>
      </c>
      <c r="F35" s="115" t="s">
        <v>40</v>
      </c>
      <c r="G35" s="117">
        <v>180000</v>
      </c>
      <c r="H35" s="118">
        <v>179486</v>
      </c>
      <c r="I35" s="118">
        <v>179486</v>
      </c>
      <c r="J35" s="117">
        <v>179486</v>
      </c>
      <c r="K35" s="117">
        <f t="shared" si="11"/>
        <v>0</v>
      </c>
      <c r="L35" s="118">
        <v>281.99</v>
      </c>
      <c r="M35" s="118">
        <v>3284.29</v>
      </c>
      <c r="N35" s="118">
        <v>47300</v>
      </c>
      <c r="O35" s="118">
        <v>2979.52</v>
      </c>
      <c r="P35" s="118">
        <v>50800</v>
      </c>
      <c r="Q35" s="118">
        <v>3000</v>
      </c>
      <c r="R35" s="118">
        <v>53845.8</v>
      </c>
      <c r="S35" s="118"/>
      <c r="T35" s="118"/>
      <c r="U35" s="118"/>
      <c r="V35" s="118"/>
      <c r="W35" s="145">
        <v>17948.6</v>
      </c>
      <c r="X35" s="118">
        <f t="shared" si="4"/>
        <v>179440.2</v>
      </c>
      <c r="Y35" s="118">
        <f t="shared" si="5"/>
        <v>45.8000000000175</v>
      </c>
      <c r="Z35" s="119">
        <f t="shared" si="6"/>
        <v>45.8000000000175</v>
      </c>
      <c r="AA35" s="118">
        <v>0</v>
      </c>
      <c r="AB35" s="118">
        <v>27000</v>
      </c>
      <c r="AC35" s="118">
        <v>27000</v>
      </c>
      <c r="AD35" s="120">
        <f t="shared" si="7"/>
        <v>0.999744826894577</v>
      </c>
      <c r="AE35" s="117">
        <f t="shared" si="14"/>
        <v>0</v>
      </c>
      <c r="AF35" s="113"/>
      <c r="AG35" s="113"/>
      <c r="AH35" s="121" t="s">
        <v>119</v>
      </c>
      <c r="AI35" s="84">
        <f t="shared" si="13"/>
        <v>0</v>
      </c>
    </row>
    <row r="36" s="84" customFormat="1" ht="27" customHeight="1" spans="1:35">
      <c r="A36" s="84">
        <v>30</v>
      </c>
      <c r="B36" s="115" t="s">
        <v>36</v>
      </c>
      <c r="C36" s="115" t="s">
        <v>59</v>
      </c>
      <c r="D36" s="116" t="s">
        <v>120</v>
      </c>
      <c r="E36" s="115" t="s">
        <v>121</v>
      </c>
      <c r="F36" s="115" t="s">
        <v>40</v>
      </c>
      <c r="G36" s="117">
        <v>1375475</v>
      </c>
      <c r="H36" s="118">
        <v>1375475</v>
      </c>
      <c r="I36" s="118">
        <v>1375475</v>
      </c>
      <c r="J36" s="117">
        <v>1375475</v>
      </c>
      <c r="K36" s="117">
        <f t="shared" si="11"/>
        <v>0</v>
      </c>
      <c r="L36" s="118">
        <v>1239273.1</v>
      </c>
      <c r="M36" s="118">
        <v>109.45</v>
      </c>
      <c r="N36" s="118">
        <v>132000</v>
      </c>
      <c r="O36" s="118">
        <v>4090.55</v>
      </c>
      <c r="P36" s="118"/>
      <c r="Q36" s="118"/>
      <c r="R36" s="118"/>
      <c r="S36" s="118"/>
      <c r="T36" s="118"/>
      <c r="U36" s="118"/>
      <c r="V36" s="118"/>
      <c r="W36" s="118"/>
      <c r="X36" s="118">
        <f t="shared" si="4"/>
        <v>1375473.1</v>
      </c>
      <c r="Y36" s="118">
        <f t="shared" si="5"/>
        <v>1.89999999990687</v>
      </c>
      <c r="Z36" s="119">
        <f t="shared" si="6"/>
        <v>-8.73121575040159e-11</v>
      </c>
      <c r="AA36" s="118">
        <f>+I36*0.1-137545.6</f>
        <v>1.89999999999418</v>
      </c>
      <c r="AB36" s="118">
        <v>140000</v>
      </c>
      <c r="AC36" s="118">
        <v>140000</v>
      </c>
      <c r="AD36" s="120">
        <f t="shared" si="7"/>
        <v>0.999998618659009</v>
      </c>
      <c r="AE36" s="117">
        <f t="shared" si="14"/>
        <v>0</v>
      </c>
      <c r="AF36" s="123"/>
      <c r="AG36" s="123"/>
      <c r="AH36" s="141" t="s">
        <v>122</v>
      </c>
      <c r="AI36" s="84">
        <f t="shared" si="13"/>
        <v>0</v>
      </c>
    </row>
    <row r="37" s="84" customFormat="1" ht="27" customHeight="1" spans="1:35">
      <c r="A37" s="84">
        <v>31</v>
      </c>
      <c r="B37" s="115" t="s">
        <v>36</v>
      </c>
      <c r="C37" s="115" t="s">
        <v>59</v>
      </c>
      <c r="D37" s="116" t="s">
        <v>123</v>
      </c>
      <c r="E37" s="115" t="s">
        <v>124</v>
      </c>
      <c r="F37" s="115" t="s">
        <v>125</v>
      </c>
      <c r="G37" s="117">
        <v>200000</v>
      </c>
      <c r="H37" s="118">
        <v>200000</v>
      </c>
      <c r="I37" s="118"/>
      <c r="J37" s="117">
        <v>0</v>
      </c>
      <c r="K37" s="117">
        <f t="shared" si="11"/>
        <v>0</v>
      </c>
      <c r="L37" s="118"/>
      <c r="M37" s="118"/>
      <c r="N37" s="118"/>
      <c r="O37" s="118"/>
      <c r="P37" s="118"/>
      <c r="Q37" s="118"/>
      <c r="R37" s="118"/>
      <c r="S37" s="118"/>
      <c r="T37" s="118"/>
      <c r="U37" s="118"/>
      <c r="V37" s="118"/>
      <c r="W37" s="118"/>
      <c r="X37" s="118">
        <f t="shared" si="4"/>
        <v>0</v>
      </c>
      <c r="Y37" s="118">
        <f t="shared" si="5"/>
        <v>0</v>
      </c>
      <c r="Z37" s="118">
        <f t="shared" si="6"/>
        <v>0</v>
      </c>
      <c r="AA37" s="118">
        <f>+I37*0.1</f>
        <v>0</v>
      </c>
      <c r="AB37" s="118">
        <v>0</v>
      </c>
      <c r="AC37" s="118">
        <v>0</v>
      </c>
      <c r="AD37" s="118"/>
      <c r="AE37" s="117">
        <f t="shared" si="14"/>
        <v>0</v>
      </c>
      <c r="AF37" s="123"/>
      <c r="AG37" s="123"/>
      <c r="AH37" s="141"/>
      <c r="AI37" s="84">
        <f t="shared" si="13"/>
        <v>0</v>
      </c>
    </row>
    <row r="38" s="84" customFormat="1" ht="27" customHeight="1" spans="1:35">
      <c r="A38" s="84">
        <v>32</v>
      </c>
      <c r="B38" s="129" t="s">
        <v>126</v>
      </c>
      <c r="C38" s="129" t="s">
        <v>59</v>
      </c>
      <c r="D38" s="129" t="s">
        <v>127</v>
      </c>
      <c r="E38" s="129" t="s">
        <v>128</v>
      </c>
      <c r="F38" s="129"/>
      <c r="G38" s="130">
        <v>346000</v>
      </c>
      <c r="H38" s="131"/>
      <c r="I38" s="131"/>
      <c r="J38" s="130"/>
      <c r="K38" s="130">
        <f t="shared" si="11"/>
        <v>0</v>
      </c>
      <c r="L38" s="131"/>
      <c r="M38" s="131"/>
      <c r="N38" s="131"/>
      <c r="O38" s="131"/>
      <c r="P38" s="131"/>
      <c r="Q38" s="131"/>
      <c r="R38" s="131"/>
      <c r="S38" s="131"/>
      <c r="T38" s="131"/>
      <c r="U38" s="131"/>
      <c r="V38" s="131"/>
      <c r="W38" s="131"/>
      <c r="X38" s="118">
        <f t="shared" si="4"/>
        <v>0</v>
      </c>
      <c r="Y38" s="131"/>
      <c r="Z38" s="131"/>
      <c r="AA38" s="131"/>
      <c r="AB38" s="131"/>
      <c r="AC38" s="131"/>
      <c r="AD38" s="131"/>
      <c r="AE38" s="130"/>
      <c r="AF38" s="123"/>
      <c r="AG38" s="123"/>
      <c r="AH38" s="141"/>
    </row>
    <row r="39" s="84" customFormat="1" ht="27" customHeight="1" spans="1:35">
      <c r="A39" s="114">
        <v>33</v>
      </c>
      <c r="B39" s="115" t="s">
        <v>126</v>
      </c>
      <c r="C39" s="115" t="s">
        <v>59</v>
      </c>
      <c r="D39" s="116" t="s">
        <v>129</v>
      </c>
      <c r="E39" s="115" t="s">
        <v>130</v>
      </c>
      <c r="F39" s="115"/>
      <c r="G39" s="117">
        <v>460000</v>
      </c>
      <c r="H39" s="118"/>
      <c r="I39" s="118"/>
      <c r="J39" s="117"/>
      <c r="K39" s="117">
        <f t="shared" si="11"/>
        <v>0</v>
      </c>
      <c r="L39" s="118"/>
      <c r="M39" s="118"/>
      <c r="N39" s="118"/>
      <c r="O39" s="118"/>
      <c r="P39" s="118"/>
      <c r="Q39" s="118"/>
      <c r="R39" s="118"/>
      <c r="S39" s="118"/>
      <c r="T39" s="118"/>
      <c r="U39" s="118"/>
      <c r="V39" s="118"/>
      <c r="W39" s="118"/>
      <c r="X39" s="118">
        <f t="shared" si="4"/>
        <v>0</v>
      </c>
      <c r="Y39" s="118"/>
      <c r="Z39" s="118">
        <f>+Y39-AA39</f>
        <v>0</v>
      </c>
      <c r="AA39" s="118">
        <f>+I39*0.1</f>
        <v>0</v>
      </c>
      <c r="AB39" s="118"/>
      <c r="AC39" s="118"/>
      <c r="AD39" s="118"/>
      <c r="AE39" s="117"/>
      <c r="AF39" s="123"/>
      <c r="AG39" s="123"/>
      <c r="AH39" s="141"/>
    </row>
    <row r="40" s="84" customFormat="1" ht="27" customHeight="1" spans="1:35">
      <c r="A40" s="114">
        <v>34</v>
      </c>
      <c r="B40" s="115"/>
      <c r="C40" s="115"/>
      <c r="D40" s="116" t="s">
        <v>131</v>
      </c>
      <c r="E40" s="115" t="s">
        <v>132</v>
      </c>
      <c r="F40" s="115"/>
      <c r="G40" s="117">
        <v>608000</v>
      </c>
      <c r="H40" s="118"/>
      <c r="I40" s="118"/>
      <c r="J40" s="117"/>
      <c r="K40" s="117">
        <f t="shared" si="11"/>
        <v>0</v>
      </c>
      <c r="L40" s="118"/>
      <c r="M40" s="118"/>
      <c r="N40" s="118"/>
      <c r="O40" s="118"/>
      <c r="P40" s="118"/>
      <c r="Q40" s="118"/>
      <c r="R40" s="118"/>
      <c r="S40" s="118"/>
      <c r="T40" s="118"/>
      <c r="U40" s="118"/>
      <c r="V40" s="118"/>
      <c r="W40" s="118"/>
      <c r="X40" s="118">
        <f t="shared" si="4"/>
        <v>0</v>
      </c>
      <c r="Y40" s="118"/>
      <c r="Z40" s="118"/>
      <c r="AA40" s="118"/>
      <c r="AB40" s="118"/>
      <c r="AC40" s="118"/>
      <c r="AD40" s="118"/>
      <c r="AE40" s="117"/>
      <c r="AF40" s="123"/>
      <c r="AG40" s="123"/>
      <c r="AH40" s="141"/>
    </row>
    <row r="41" s="86" customFormat="1" ht="14.25" spans="1:35">
      <c r="B41" s="146"/>
      <c r="C41" s="146"/>
      <c r="D41" s="147"/>
      <c r="E41" s="146"/>
      <c r="F41" s="146"/>
      <c r="G41" s="92"/>
      <c r="H41" s="148"/>
      <c r="I41" s="148"/>
      <c r="J41" s="148"/>
      <c r="K41" s="148"/>
      <c r="L41" s="148"/>
      <c r="M41" s="148"/>
      <c r="N41" s="148"/>
      <c r="O41" s="148"/>
      <c r="P41" s="148"/>
      <c r="Q41" s="148"/>
      <c r="R41" s="148"/>
      <c r="S41" s="148"/>
      <c r="T41" s="148"/>
      <c r="U41" s="148"/>
      <c r="V41" s="149"/>
      <c r="W41" s="149"/>
      <c r="X41" s="148"/>
      <c r="Y41" s="148"/>
      <c r="Z41" s="148"/>
      <c r="AA41" s="148"/>
      <c r="AB41" s="148"/>
      <c r="AC41" s="148"/>
      <c r="AD41" s="148"/>
      <c r="AE41" s="148"/>
      <c r="AF41" s="150"/>
      <c r="AG41" s="150"/>
      <c r="AH41" s="151"/>
      <c r="AI41" s="84">
        <f t="shared" ref="AI41:AI58" si="15">+AB41-AC41-AE41</f>
        <v>0</v>
      </c>
    </row>
    <row r="42" s="86" customFormat="1" ht="49" customHeight="1" spans="1:35">
      <c r="A42" s="152"/>
      <c r="B42" s="153"/>
      <c r="C42" s="153"/>
      <c r="D42" s="154" t="s">
        <v>133</v>
      </c>
      <c r="E42" s="153"/>
      <c r="F42" s="153"/>
      <c r="G42" s="155"/>
      <c r="H42" s="155"/>
      <c r="I42" s="155">
        <f>SUM(I43:I92)</f>
        <v>4697349</v>
      </c>
      <c r="J42" s="155">
        <f>SUM(J43:J92)</f>
        <v>4697349</v>
      </c>
      <c r="K42" s="155"/>
      <c r="L42" s="155"/>
      <c r="M42" s="155"/>
      <c r="N42" s="155"/>
      <c r="O42" s="155"/>
      <c r="P42" s="155"/>
      <c r="Q42" s="155"/>
      <c r="R42" s="155"/>
      <c r="S42" s="155"/>
      <c r="T42" s="155"/>
      <c r="U42" s="155"/>
      <c r="V42" s="156"/>
      <c r="W42" s="156"/>
      <c r="X42" s="155">
        <f>SUM(X43:X92)</f>
        <v>4777299.8</v>
      </c>
      <c r="Y42" s="118">
        <f>+I42-X42</f>
        <v>-79950.7999999998</v>
      </c>
      <c r="Z42" s="155"/>
      <c r="AA42" s="155"/>
      <c r="AB42" s="155"/>
      <c r="AC42" s="155"/>
      <c r="AD42" s="155"/>
      <c r="AE42" s="155"/>
      <c r="AF42" s="150"/>
      <c r="AG42" s="150"/>
      <c r="AH42" s="147"/>
      <c r="AI42" s="84">
        <f t="shared" si="15"/>
        <v>0</v>
      </c>
    </row>
    <row r="43" s="86" customFormat="1" ht="49" customHeight="1" spans="1:35">
      <c r="A43" s="157" t="s">
        <v>78</v>
      </c>
      <c r="B43" s="158"/>
      <c r="C43" s="158" t="s">
        <v>134</v>
      </c>
      <c r="D43" s="159" t="s">
        <v>135</v>
      </c>
      <c r="E43" s="158" t="s">
        <v>136</v>
      </c>
      <c r="F43" s="158" t="s">
        <v>40</v>
      </c>
      <c r="G43" s="160">
        <v>556832</v>
      </c>
      <c r="H43" s="161">
        <v>556832</v>
      </c>
      <c r="I43" s="161">
        <v>556832</v>
      </c>
      <c r="J43" s="161">
        <v>556832</v>
      </c>
      <c r="K43" s="161"/>
      <c r="L43" s="161"/>
      <c r="M43" s="161"/>
      <c r="N43" s="161"/>
      <c r="O43" s="161"/>
      <c r="P43" s="161"/>
      <c r="Q43" s="161"/>
      <c r="R43" s="161"/>
      <c r="S43" s="161"/>
      <c r="T43" s="161"/>
      <c r="U43" s="161"/>
      <c r="V43" s="145"/>
      <c r="W43" s="145"/>
      <c r="X43" s="161">
        <v>556832.8</v>
      </c>
      <c r="Y43" s="161">
        <v>-0.8</v>
      </c>
      <c r="Z43" s="161"/>
      <c r="AA43" s="161"/>
      <c r="AB43" s="161">
        <v>83998</v>
      </c>
      <c r="AC43" s="161">
        <v>83998</v>
      </c>
      <c r="AD43" s="161"/>
      <c r="AE43" s="162">
        <v>0</v>
      </c>
      <c r="AF43" s="163"/>
      <c r="AG43" s="163"/>
      <c r="AH43" s="164" t="s">
        <v>137</v>
      </c>
      <c r="AI43" s="84">
        <f t="shared" si="15"/>
        <v>0</v>
      </c>
    </row>
    <row r="44" s="84" customFormat="1" ht="51" customHeight="1" spans="1:35">
      <c r="A44" s="157" t="s">
        <v>78</v>
      </c>
      <c r="B44" s="165"/>
      <c r="C44" s="165" t="s">
        <v>134</v>
      </c>
      <c r="D44" s="166" t="s">
        <v>138</v>
      </c>
      <c r="E44" s="165" t="s">
        <v>139</v>
      </c>
      <c r="F44" s="165" t="s">
        <v>40</v>
      </c>
      <c r="G44" s="156">
        <v>337982</v>
      </c>
      <c r="H44" s="167">
        <v>337982</v>
      </c>
      <c r="I44" s="145">
        <v>337982</v>
      </c>
      <c r="J44" s="156">
        <v>337982</v>
      </c>
      <c r="K44" s="156"/>
      <c r="L44" s="145"/>
      <c r="M44" s="145"/>
      <c r="N44" s="145"/>
      <c r="O44" s="145"/>
      <c r="P44" s="145"/>
      <c r="Q44" s="145"/>
      <c r="R44" s="145"/>
      <c r="S44" s="145"/>
      <c r="T44" s="145"/>
      <c r="U44" s="145"/>
      <c r="V44" s="145"/>
      <c r="W44" s="145"/>
      <c r="X44" s="156">
        <v>337982</v>
      </c>
      <c r="Y44" s="118">
        <f>+I44-X44</f>
        <v>0</v>
      </c>
      <c r="Z44" s="145"/>
      <c r="AA44" s="145"/>
      <c r="AB44" s="167">
        <v>51000</v>
      </c>
      <c r="AC44" s="167">
        <v>51000</v>
      </c>
      <c r="AD44" s="167"/>
      <c r="AE44" s="156">
        <f>AB44-AC44</f>
        <v>0</v>
      </c>
      <c r="AF44" s="113"/>
      <c r="AG44" s="113"/>
      <c r="AH44" s="141"/>
      <c r="AI44" s="84">
        <f t="shared" si="15"/>
        <v>0</v>
      </c>
    </row>
    <row r="45" s="86" customFormat="1" ht="49" customHeight="1" spans="1:35">
      <c r="A45" s="168" t="s">
        <v>78</v>
      </c>
      <c r="B45" s="169"/>
      <c r="C45" s="169" t="s">
        <v>134</v>
      </c>
      <c r="D45" s="170" t="s">
        <v>140</v>
      </c>
      <c r="E45" s="169" t="s">
        <v>141</v>
      </c>
      <c r="F45" s="169" t="s">
        <v>40</v>
      </c>
      <c r="G45" s="171">
        <v>126000</v>
      </c>
      <c r="H45" s="162">
        <v>125778</v>
      </c>
      <c r="I45" s="162">
        <v>125778</v>
      </c>
      <c r="J45" s="162">
        <v>125778</v>
      </c>
      <c r="K45" s="162"/>
      <c r="L45" s="162"/>
      <c r="M45" s="162"/>
      <c r="N45" s="162"/>
      <c r="O45" s="162"/>
      <c r="P45" s="162"/>
      <c r="Q45" s="162"/>
      <c r="R45" s="162"/>
      <c r="S45" s="162"/>
      <c r="T45" s="162"/>
      <c r="U45" s="162"/>
      <c r="V45" s="145"/>
      <c r="W45" s="145"/>
      <c r="X45" s="162">
        <v>125778</v>
      </c>
      <c r="Y45" s="162">
        <v>0</v>
      </c>
      <c r="Z45" s="162"/>
      <c r="AA45" s="162"/>
      <c r="AB45" s="162">
        <v>6300</v>
      </c>
      <c r="AC45" s="162">
        <v>6300</v>
      </c>
      <c r="AD45" s="162"/>
      <c r="AE45" s="162">
        <v>0</v>
      </c>
      <c r="AF45" s="150"/>
      <c r="AG45" s="150"/>
      <c r="AH45" s="147"/>
      <c r="AI45" s="84">
        <f t="shared" si="15"/>
        <v>0</v>
      </c>
    </row>
    <row r="46" s="86" customFormat="1" ht="49" customHeight="1" spans="1:35">
      <c r="A46" s="168" t="s">
        <v>78</v>
      </c>
      <c r="B46" s="169"/>
      <c r="C46" s="169" t="s">
        <v>134</v>
      </c>
      <c r="D46" s="170" t="s">
        <v>142</v>
      </c>
      <c r="E46" s="169" t="s">
        <v>143</v>
      </c>
      <c r="F46" s="169" t="s">
        <v>40</v>
      </c>
      <c r="G46" s="171">
        <v>66800</v>
      </c>
      <c r="H46" s="162">
        <v>65635</v>
      </c>
      <c r="I46" s="162">
        <v>65635</v>
      </c>
      <c r="J46" s="162">
        <v>65635</v>
      </c>
      <c r="K46" s="162"/>
      <c r="L46" s="162"/>
      <c r="M46" s="162"/>
      <c r="N46" s="162"/>
      <c r="O46" s="162"/>
      <c r="P46" s="162"/>
      <c r="Q46" s="162"/>
      <c r="R46" s="162"/>
      <c r="S46" s="162"/>
      <c r="T46" s="162"/>
      <c r="U46" s="162"/>
      <c r="V46" s="145"/>
      <c r="W46" s="145"/>
      <c r="X46" s="162">
        <v>65635</v>
      </c>
      <c r="Y46" s="162">
        <v>0</v>
      </c>
      <c r="Z46" s="162"/>
      <c r="AA46" s="162"/>
      <c r="AB46" s="162">
        <v>3340</v>
      </c>
      <c r="AC46" s="162">
        <v>3340</v>
      </c>
      <c r="AD46" s="162"/>
      <c r="AE46" s="162">
        <v>0</v>
      </c>
      <c r="AF46" s="150"/>
      <c r="AG46" s="150"/>
      <c r="AH46" s="147"/>
      <c r="AI46" s="84">
        <f t="shared" si="15"/>
        <v>0</v>
      </c>
    </row>
    <row r="47" s="86" customFormat="1" ht="49" customHeight="1" spans="1:35">
      <c r="A47" s="168" t="s">
        <v>78</v>
      </c>
      <c r="B47" s="169"/>
      <c r="C47" s="169" t="s">
        <v>134</v>
      </c>
      <c r="D47" s="170" t="s">
        <v>144</v>
      </c>
      <c r="E47" s="169" t="s">
        <v>145</v>
      </c>
      <c r="F47" s="169" t="s">
        <v>40</v>
      </c>
      <c r="G47" s="171">
        <v>309800</v>
      </c>
      <c r="H47" s="162">
        <v>309125</v>
      </c>
      <c r="I47" s="162">
        <v>309125</v>
      </c>
      <c r="J47" s="162">
        <v>309125</v>
      </c>
      <c r="K47" s="162"/>
      <c r="L47" s="162"/>
      <c r="M47" s="162"/>
      <c r="N47" s="162"/>
      <c r="O47" s="162"/>
      <c r="P47" s="162"/>
      <c r="Q47" s="162"/>
      <c r="R47" s="162"/>
      <c r="S47" s="162"/>
      <c r="T47" s="162"/>
      <c r="U47" s="162"/>
      <c r="V47" s="145"/>
      <c r="W47" s="145"/>
      <c r="X47" s="162">
        <v>309125</v>
      </c>
      <c r="Y47" s="162">
        <v>0</v>
      </c>
      <c r="Z47" s="162"/>
      <c r="AA47" s="162"/>
      <c r="AB47" s="162">
        <v>15490</v>
      </c>
      <c r="AC47" s="162">
        <v>15490</v>
      </c>
      <c r="AD47" s="162"/>
      <c r="AE47" s="162">
        <v>0</v>
      </c>
      <c r="AF47" s="150"/>
      <c r="AG47" s="150"/>
      <c r="AH47" s="147"/>
      <c r="AI47" s="84">
        <f t="shared" si="15"/>
        <v>0</v>
      </c>
    </row>
    <row r="48" s="86" customFormat="1" ht="49" customHeight="1" spans="1:35">
      <c r="A48" s="168" t="s">
        <v>78</v>
      </c>
      <c r="B48" s="169"/>
      <c r="C48" s="169" t="s">
        <v>134</v>
      </c>
      <c r="D48" s="170" t="s">
        <v>146</v>
      </c>
      <c r="E48" s="169" t="s">
        <v>147</v>
      </c>
      <c r="F48" s="169" t="s">
        <v>40</v>
      </c>
      <c r="G48" s="171">
        <v>120000</v>
      </c>
      <c r="H48" s="162">
        <v>119738</v>
      </c>
      <c r="I48" s="162">
        <v>119738</v>
      </c>
      <c r="J48" s="162">
        <v>119738</v>
      </c>
      <c r="K48" s="162"/>
      <c r="L48" s="162"/>
      <c r="M48" s="162"/>
      <c r="N48" s="162"/>
      <c r="O48" s="162"/>
      <c r="P48" s="162"/>
      <c r="Q48" s="162"/>
      <c r="R48" s="162"/>
      <c r="S48" s="162"/>
      <c r="T48" s="162"/>
      <c r="U48" s="162"/>
      <c r="V48" s="145"/>
      <c r="W48" s="145"/>
      <c r="X48" s="162">
        <v>119738</v>
      </c>
      <c r="Y48" s="162">
        <v>0</v>
      </c>
      <c r="Z48" s="162"/>
      <c r="AA48" s="162"/>
      <c r="AB48" s="162">
        <v>6000</v>
      </c>
      <c r="AC48" s="162">
        <v>6000</v>
      </c>
      <c r="AD48" s="162"/>
      <c r="AE48" s="162">
        <v>0</v>
      </c>
      <c r="AF48" s="150"/>
      <c r="AG48" s="150"/>
      <c r="AH48" s="147"/>
      <c r="AI48" s="84">
        <f t="shared" si="15"/>
        <v>0</v>
      </c>
    </row>
    <row r="49" s="86" customFormat="1" ht="49" customHeight="1" spans="1:35">
      <c r="A49" s="168" t="s">
        <v>78</v>
      </c>
      <c r="B49" s="169"/>
      <c r="C49" s="169" t="s">
        <v>134</v>
      </c>
      <c r="D49" s="170" t="s">
        <v>148</v>
      </c>
      <c r="E49" s="169" t="s">
        <v>149</v>
      </c>
      <c r="F49" s="169" t="s">
        <v>40</v>
      </c>
      <c r="G49" s="171">
        <v>156000</v>
      </c>
      <c r="H49" s="162">
        <v>156000</v>
      </c>
      <c r="I49" s="162">
        <v>156000</v>
      </c>
      <c r="J49" s="162">
        <v>156000</v>
      </c>
      <c r="K49" s="162"/>
      <c r="L49" s="162"/>
      <c r="M49" s="162"/>
      <c r="N49" s="162"/>
      <c r="O49" s="162"/>
      <c r="P49" s="162"/>
      <c r="Q49" s="162"/>
      <c r="R49" s="162"/>
      <c r="S49" s="162"/>
      <c r="T49" s="162"/>
      <c r="U49" s="162"/>
      <c r="V49" s="145"/>
      <c r="W49" s="145"/>
      <c r="X49" s="162">
        <v>156000</v>
      </c>
      <c r="Y49" s="162">
        <v>0</v>
      </c>
      <c r="Z49" s="162"/>
      <c r="AA49" s="162"/>
      <c r="AB49" s="162">
        <v>16000</v>
      </c>
      <c r="AC49" s="162">
        <v>16000</v>
      </c>
      <c r="AD49" s="162"/>
      <c r="AE49" s="162">
        <v>0</v>
      </c>
      <c r="AF49" s="150"/>
      <c r="AG49" s="150"/>
      <c r="AH49" s="147"/>
      <c r="AI49" s="84">
        <f t="shared" si="15"/>
        <v>0</v>
      </c>
    </row>
    <row r="50" s="86" customFormat="1" ht="49" customHeight="1" spans="1:35">
      <c r="A50" s="168" t="s">
        <v>78</v>
      </c>
      <c r="B50" s="169"/>
      <c r="C50" s="169" t="s">
        <v>134</v>
      </c>
      <c r="D50" s="170" t="s">
        <v>150</v>
      </c>
      <c r="E50" s="169" t="s">
        <v>151</v>
      </c>
      <c r="F50" s="169" t="s">
        <v>40</v>
      </c>
      <c r="G50" s="171">
        <v>280000</v>
      </c>
      <c r="H50" s="162">
        <v>280000</v>
      </c>
      <c r="I50" s="162">
        <v>280000</v>
      </c>
      <c r="J50" s="162">
        <v>280000</v>
      </c>
      <c r="K50" s="162"/>
      <c r="L50" s="162"/>
      <c r="M50" s="162"/>
      <c r="N50" s="162"/>
      <c r="O50" s="162"/>
      <c r="P50" s="162"/>
      <c r="Q50" s="162"/>
      <c r="R50" s="162"/>
      <c r="S50" s="162"/>
      <c r="T50" s="162"/>
      <c r="U50" s="162"/>
      <c r="V50" s="145"/>
      <c r="W50" s="145"/>
      <c r="X50" s="162">
        <v>280000</v>
      </c>
      <c r="Y50" s="162">
        <v>0</v>
      </c>
      <c r="Z50" s="162"/>
      <c r="AA50" s="162"/>
      <c r="AB50" s="162">
        <v>27500</v>
      </c>
      <c r="AC50" s="162">
        <v>27500</v>
      </c>
      <c r="AD50" s="162"/>
      <c r="AE50" s="162">
        <v>0</v>
      </c>
      <c r="AF50" s="150"/>
      <c r="AG50" s="150"/>
      <c r="AH50" s="147"/>
      <c r="AI50" s="84">
        <f t="shared" si="15"/>
        <v>0</v>
      </c>
    </row>
    <row r="51" s="86" customFormat="1" ht="49" customHeight="1" spans="1:35">
      <c r="A51" s="168" t="s">
        <v>78</v>
      </c>
      <c r="B51" s="169"/>
      <c r="C51" s="169" t="s">
        <v>134</v>
      </c>
      <c r="D51" s="170" t="s">
        <v>152</v>
      </c>
      <c r="E51" s="169" t="s">
        <v>153</v>
      </c>
      <c r="F51" s="169" t="s">
        <v>40</v>
      </c>
      <c r="G51" s="171">
        <v>691800</v>
      </c>
      <c r="H51" s="162">
        <v>677378</v>
      </c>
      <c r="I51" s="162">
        <v>677378</v>
      </c>
      <c r="J51" s="162">
        <v>677378</v>
      </c>
      <c r="K51" s="162"/>
      <c r="L51" s="162"/>
      <c r="M51" s="162"/>
      <c r="N51" s="162"/>
      <c r="O51" s="162"/>
      <c r="P51" s="162"/>
      <c r="Q51" s="162"/>
      <c r="R51" s="162"/>
      <c r="S51" s="162"/>
      <c r="T51" s="162"/>
      <c r="U51" s="162"/>
      <c r="V51" s="145"/>
      <c r="W51" s="145"/>
      <c r="X51" s="162">
        <v>677378</v>
      </c>
      <c r="Y51" s="162">
        <v>0</v>
      </c>
      <c r="Z51" s="162"/>
      <c r="AA51" s="162"/>
      <c r="AB51" s="162">
        <v>0</v>
      </c>
      <c r="AC51" s="162">
        <v>0</v>
      </c>
      <c r="AD51" s="162"/>
      <c r="AE51" s="162">
        <v>0</v>
      </c>
      <c r="AF51" s="150"/>
      <c r="AG51" s="150"/>
      <c r="AH51" s="147"/>
      <c r="AI51" s="84">
        <f t="shared" si="15"/>
        <v>0</v>
      </c>
    </row>
    <row r="52" s="86" customFormat="1" ht="49" customHeight="1" spans="1:35">
      <c r="A52" s="168" t="s">
        <v>78</v>
      </c>
      <c r="B52" s="169"/>
      <c r="C52" s="169" t="s">
        <v>134</v>
      </c>
      <c r="D52" s="170" t="s">
        <v>154</v>
      </c>
      <c r="E52" s="169" t="s">
        <v>155</v>
      </c>
      <c r="F52" s="169" t="s">
        <v>40</v>
      </c>
      <c r="G52" s="171">
        <v>609000</v>
      </c>
      <c r="H52" s="162">
        <v>609000</v>
      </c>
      <c r="I52" s="162">
        <v>609000</v>
      </c>
      <c r="J52" s="162">
        <v>609000</v>
      </c>
      <c r="K52" s="162"/>
      <c r="L52" s="162"/>
      <c r="M52" s="162"/>
      <c r="N52" s="162"/>
      <c r="O52" s="162"/>
      <c r="P52" s="162"/>
      <c r="Q52" s="162"/>
      <c r="R52" s="162"/>
      <c r="S52" s="162"/>
      <c r="T52" s="162"/>
      <c r="U52" s="162"/>
      <c r="V52" s="145"/>
      <c r="W52" s="145"/>
      <c r="X52" s="162">
        <v>609000</v>
      </c>
      <c r="Y52" s="162" t="e">
        <f>+I52-#REF!</f>
        <v>#REF!</v>
      </c>
      <c r="Z52" s="162"/>
      <c r="AA52" s="162"/>
      <c r="AB52" s="162">
        <v>0</v>
      </c>
      <c r="AC52" s="162">
        <v>0</v>
      </c>
      <c r="AD52" s="162"/>
      <c r="AE52" s="162">
        <v>0</v>
      </c>
      <c r="AF52" s="150"/>
      <c r="AG52" s="150"/>
      <c r="AH52" s="147"/>
      <c r="AI52" s="84">
        <f t="shared" si="15"/>
        <v>0</v>
      </c>
    </row>
    <row r="53" s="86" customFormat="1" ht="49" customHeight="1" spans="1:35">
      <c r="A53" s="168" t="s">
        <v>78</v>
      </c>
      <c r="B53" s="169"/>
      <c r="C53" s="169" t="s">
        <v>134</v>
      </c>
      <c r="D53" s="170" t="s">
        <v>156</v>
      </c>
      <c r="E53" s="169" t="s">
        <v>157</v>
      </c>
      <c r="F53" s="169" t="s">
        <v>40</v>
      </c>
      <c r="G53" s="171">
        <v>133000</v>
      </c>
      <c r="H53" s="162">
        <v>133000</v>
      </c>
      <c r="I53" s="162">
        <v>133000</v>
      </c>
      <c r="J53" s="162">
        <v>133000</v>
      </c>
      <c r="K53" s="162"/>
      <c r="L53" s="162"/>
      <c r="M53" s="162"/>
      <c r="N53" s="162"/>
      <c r="O53" s="162"/>
      <c r="P53" s="162"/>
      <c r="Q53" s="162"/>
      <c r="R53" s="162"/>
      <c r="S53" s="162"/>
      <c r="T53" s="162"/>
      <c r="U53" s="162"/>
      <c r="V53" s="145"/>
      <c r="W53" s="145"/>
      <c r="X53" s="162">
        <v>133000</v>
      </c>
      <c r="Y53" s="162" t="e">
        <f>+I53-#REF!</f>
        <v>#REF!</v>
      </c>
      <c r="Z53" s="162"/>
      <c r="AA53" s="162"/>
      <c r="AB53" s="162">
        <v>0</v>
      </c>
      <c r="AC53" s="162">
        <v>0</v>
      </c>
      <c r="AD53" s="162"/>
      <c r="AE53" s="162">
        <v>0</v>
      </c>
      <c r="AF53" s="150"/>
      <c r="AG53" s="150"/>
      <c r="AH53" s="147"/>
      <c r="AI53" s="84">
        <f t="shared" si="15"/>
        <v>0</v>
      </c>
    </row>
    <row r="54" s="86" customFormat="1" ht="49" customHeight="1" spans="1:35">
      <c r="A54" s="168" t="s">
        <v>78</v>
      </c>
      <c r="B54" s="169"/>
      <c r="C54" s="169" t="s">
        <v>134</v>
      </c>
      <c r="D54" s="170" t="s">
        <v>158</v>
      </c>
      <c r="E54" s="169" t="s">
        <v>159</v>
      </c>
      <c r="F54" s="169" t="s">
        <v>40</v>
      </c>
      <c r="G54" s="171">
        <v>401275</v>
      </c>
      <c r="H54" s="162">
        <v>401275</v>
      </c>
      <c r="I54" s="162">
        <v>401275</v>
      </c>
      <c r="J54" s="162">
        <v>401275</v>
      </c>
      <c r="K54" s="162"/>
      <c r="L54" s="162"/>
      <c r="M54" s="162"/>
      <c r="N54" s="162"/>
      <c r="O54" s="162"/>
      <c r="P54" s="162"/>
      <c r="Q54" s="162"/>
      <c r="R54" s="162"/>
      <c r="S54" s="162"/>
      <c r="T54" s="162"/>
      <c r="U54" s="162"/>
      <c r="V54" s="145"/>
      <c r="W54" s="145"/>
      <c r="X54" s="162">
        <v>401275</v>
      </c>
      <c r="Y54" s="162">
        <v>0</v>
      </c>
      <c r="Z54" s="162"/>
      <c r="AA54" s="162"/>
      <c r="AB54" s="162">
        <v>0</v>
      </c>
      <c r="AC54" s="162">
        <v>0</v>
      </c>
      <c r="AD54" s="162"/>
      <c r="AE54" s="162">
        <v>0</v>
      </c>
      <c r="AF54" s="150"/>
      <c r="AG54" s="150"/>
      <c r="AH54" s="147"/>
      <c r="AI54" s="84">
        <f t="shared" si="15"/>
        <v>0</v>
      </c>
    </row>
    <row r="55" s="86" customFormat="1" ht="49" customHeight="1" spans="1:35">
      <c r="A55" s="168" t="s">
        <v>78</v>
      </c>
      <c r="B55" s="169"/>
      <c r="C55" s="169" t="s">
        <v>134</v>
      </c>
      <c r="D55" s="170" t="s">
        <v>160</v>
      </c>
      <c r="E55" s="169" t="s">
        <v>161</v>
      </c>
      <c r="F55" s="169" t="s">
        <v>40</v>
      </c>
      <c r="G55" s="171">
        <v>319500</v>
      </c>
      <c r="H55" s="162">
        <v>319500</v>
      </c>
      <c r="I55" s="162">
        <v>319500</v>
      </c>
      <c r="J55" s="162">
        <v>319500</v>
      </c>
      <c r="K55" s="162"/>
      <c r="L55" s="162"/>
      <c r="M55" s="162"/>
      <c r="N55" s="162"/>
      <c r="O55" s="162"/>
      <c r="P55" s="162"/>
      <c r="Q55" s="162"/>
      <c r="R55" s="162"/>
      <c r="S55" s="162"/>
      <c r="T55" s="162"/>
      <c r="U55" s="162"/>
      <c r="V55" s="145"/>
      <c r="W55" s="145"/>
      <c r="X55" s="162">
        <v>319450</v>
      </c>
      <c r="Y55" s="162">
        <v>0</v>
      </c>
      <c r="Z55" s="162"/>
      <c r="AA55" s="162"/>
      <c r="AB55" s="162">
        <v>15975</v>
      </c>
      <c r="AC55" s="162">
        <v>15975</v>
      </c>
      <c r="AD55" s="162"/>
      <c r="AE55" s="162">
        <v>0</v>
      </c>
      <c r="AF55" s="150"/>
      <c r="AG55" s="150"/>
      <c r="AH55" s="147" t="s">
        <v>162</v>
      </c>
      <c r="AI55" s="84">
        <f t="shared" si="15"/>
        <v>0</v>
      </c>
    </row>
    <row r="56" s="86" customFormat="1" ht="49" customHeight="1" spans="1:35">
      <c r="A56" s="168" t="s">
        <v>78</v>
      </c>
      <c r="B56" s="169"/>
      <c r="C56" s="169" t="s">
        <v>134</v>
      </c>
      <c r="D56" s="170" t="s">
        <v>163</v>
      </c>
      <c r="E56" s="169" t="s">
        <v>164</v>
      </c>
      <c r="F56" s="169" t="s">
        <v>40</v>
      </c>
      <c r="G56" s="171">
        <v>160000</v>
      </c>
      <c r="H56" s="162">
        <v>154384</v>
      </c>
      <c r="I56" s="162">
        <v>154384</v>
      </c>
      <c r="J56" s="162">
        <v>154384</v>
      </c>
      <c r="K56" s="162"/>
      <c r="L56" s="162"/>
      <c r="M56" s="162"/>
      <c r="N56" s="162"/>
      <c r="O56" s="162"/>
      <c r="P56" s="162"/>
      <c r="Q56" s="162"/>
      <c r="R56" s="162"/>
      <c r="S56" s="162"/>
      <c r="T56" s="162"/>
      <c r="U56" s="162"/>
      <c r="V56" s="145"/>
      <c r="W56" s="145"/>
      <c r="X56" s="162">
        <v>154384</v>
      </c>
      <c r="Y56" s="162">
        <v>0</v>
      </c>
      <c r="Z56" s="162"/>
      <c r="AA56" s="162"/>
      <c r="AB56" s="162">
        <v>10600</v>
      </c>
      <c r="AC56" s="162">
        <v>10600</v>
      </c>
      <c r="AD56" s="162"/>
      <c r="AE56" s="162">
        <v>0</v>
      </c>
      <c r="AF56" s="150"/>
      <c r="AG56" s="150"/>
      <c r="AH56" s="147"/>
      <c r="AI56" s="84">
        <f t="shared" si="15"/>
        <v>0</v>
      </c>
    </row>
    <row r="57" s="86" customFormat="1" ht="49" customHeight="1" spans="1:35">
      <c r="A57" s="168" t="s">
        <v>78</v>
      </c>
      <c r="B57" s="169"/>
      <c r="C57" s="169" t="s">
        <v>134</v>
      </c>
      <c r="D57" s="170" t="s">
        <v>165</v>
      </c>
      <c r="E57" s="169" t="s">
        <v>166</v>
      </c>
      <c r="F57" s="169" t="s">
        <v>40</v>
      </c>
      <c r="G57" s="171">
        <v>185000</v>
      </c>
      <c r="H57" s="162">
        <v>182936</v>
      </c>
      <c r="I57" s="162">
        <v>182936</v>
      </c>
      <c r="J57" s="162">
        <v>182936</v>
      </c>
      <c r="K57" s="162"/>
      <c r="L57" s="162"/>
      <c r="M57" s="162"/>
      <c r="N57" s="162"/>
      <c r="O57" s="162"/>
      <c r="P57" s="162"/>
      <c r="Q57" s="162"/>
      <c r="R57" s="162"/>
      <c r="S57" s="162"/>
      <c r="T57" s="162"/>
      <c r="U57" s="162"/>
      <c r="V57" s="145"/>
      <c r="W57" s="145"/>
      <c r="X57" s="162">
        <v>182936</v>
      </c>
      <c r="Y57" s="162">
        <v>0</v>
      </c>
      <c r="Z57" s="162"/>
      <c r="AA57" s="162"/>
      <c r="AB57" s="162">
        <v>28500</v>
      </c>
      <c r="AC57" s="162">
        <v>28500</v>
      </c>
      <c r="AD57" s="162"/>
      <c r="AE57" s="162">
        <v>0</v>
      </c>
      <c r="AF57" s="150"/>
      <c r="AG57" s="150"/>
      <c r="AH57" s="147"/>
      <c r="AI57" s="84">
        <f t="shared" si="15"/>
        <v>0</v>
      </c>
    </row>
    <row r="58" s="86" customFormat="1" ht="49" customHeight="1" spans="1:35">
      <c r="A58" s="168" t="s">
        <v>78</v>
      </c>
      <c r="B58" s="169"/>
      <c r="C58" s="169" t="s">
        <v>134</v>
      </c>
      <c r="D58" s="170" t="s">
        <v>167</v>
      </c>
      <c r="E58" s="169" t="s">
        <v>168</v>
      </c>
      <c r="F58" s="169" t="s">
        <v>40</v>
      </c>
      <c r="G58" s="171">
        <v>270000</v>
      </c>
      <c r="H58" s="162">
        <v>268786</v>
      </c>
      <c r="I58" s="162">
        <v>268786</v>
      </c>
      <c r="J58" s="162">
        <v>268786</v>
      </c>
      <c r="K58" s="162"/>
      <c r="L58" s="162"/>
      <c r="M58" s="162"/>
      <c r="N58" s="162"/>
      <c r="O58" s="162"/>
      <c r="P58" s="162"/>
      <c r="Q58" s="162"/>
      <c r="R58" s="162"/>
      <c r="S58" s="162"/>
      <c r="T58" s="162"/>
      <c r="U58" s="162"/>
      <c r="V58" s="145"/>
      <c r="W58" s="145"/>
      <c r="X58" s="162">
        <v>268786</v>
      </c>
      <c r="Y58" s="162">
        <v>0</v>
      </c>
      <c r="Z58" s="162"/>
      <c r="AA58" s="162"/>
      <c r="AB58" s="162">
        <v>27500</v>
      </c>
      <c r="AC58" s="162">
        <v>27500</v>
      </c>
      <c r="AD58" s="162"/>
      <c r="AE58" s="162">
        <v>0</v>
      </c>
      <c r="AF58" s="150"/>
      <c r="AG58" s="150"/>
      <c r="AH58" s="147"/>
      <c r="AI58" s="84">
        <f t="shared" si="15"/>
        <v>0</v>
      </c>
    </row>
    <row r="59" s="86" customFormat="1" ht="49" customHeight="1" spans="1:35">
      <c r="D59" s="172"/>
      <c r="G59" s="173"/>
      <c r="H59" s="150"/>
      <c r="I59" s="150"/>
      <c r="J59" s="150"/>
      <c r="K59" s="150"/>
      <c r="L59" s="150"/>
      <c r="M59" s="150"/>
      <c r="N59" s="150"/>
      <c r="O59" s="150"/>
      <c r="P59" s="150"/>
      <c r="Q59" s="150"/>
      <c r="R59" s="150"/>
      <c r="S59" s="150"/>
      <c r="T59" s="150"/>
      <c r="U59" s="150"/>
      <c r="V59" s="123"/>
      <c r="W59" s="123"/>
      <c r="X59" s="150"/>
      <c r="Y59" s="150"/>
      <c r="Z59" s="150"/>
      <c r="AA59" s="150"/>
      <c r="AB59" s="150"/>
      <c r="AC59" s="150"/>
      <c r="AD59" s="150"/>
      <c r="AE59" s="150"/>
      <c r="AF59" s="150"/>
      <c r="AG59" s="150"/>
      <c r="AH59" s="147"/>
    </row>
    <row r="60" s="86" customFormat="1" ht="49" customHeight="1" spans="1:35">
      <c r="D60" s="172"/>
      <c r="G60" s="173"/>
      <c r="H60" s="150"/>
      <c r="I60" s="150"/>
      <c r="J60" s="150"/>
      <c r="K60" s="150"/>
      <c r="L60" s="150"/>
      <c r="M60" s="150"/>
      <c r="N60" s="150"/>
      <c r="O60" s="150"/>
      <c r="P60" s="150"/>
      <c r="Q60" s="150"/>
      <c r="R60" s="150"/>
      <c r="S60" s="150"/>
      <c r="T60" s="150"/>
      <c r="U60" s="150"/>
      <c r="V60" s="123"/>
      <c r="W60" s="123"/>
      <c r="X60" s="150"/>
      <c r="Y60" s="150"/>
      <c r="Z60" s="150"/>
      <c r="AA60" s="150"/>
      <c r="AB60" s="150"/>
      <c r="AC60" s="150"/>
      <c r="AD60" s="150"/>
      <c r="AE60" s="150"/>
      <c r="AF60" s="150"/>
      <c r="AG60" s="150"/>
      <c r="AH60" s="147"/>
    </row>
    <row r="61" s="86" customFormat="1" ht="49" customHeight="1" spans="1:35">
      <c r="A61" s="86">
        <v>13</v>
      </c>
      <c r="B61" s="169"/>
      <c r="C61" s="169" t="s">
        <v>134</v>
      </c>
      <c r="D61" s="170" t="s">
        <v>169</v>
      </c>
      <c r="E61" s="169" t="s">
        <v>170</v>
      </c>
      <c r="F61" s="169" t="s">
        <v>40</v>
      </c>
      <c r="G61" s="171">
        <v>5000</v>
      </c>
      <c r="H61" s="162">
        <v>5000</v>
      </c>
      <c r="I61" s="162">
        <v>0</v>
      </c>
      <c r="J61" s="162">
        <v>0</v>
      </c>
      <c r="K61" s="162"/>
      <c r="L61" s="162"/>
      <c r="M61" s="162"/>
      <c r="N61" s="162"/>
      <c r="O61" s="162"/>
      <c r="P61" s="162"/>
      <c r="Q61" s="162"/>
      <c r="R61" s="162"/>
      <c r="S61" s="162"/>
      <c r="T61" s="162"/>
      <c r="U61" s="162"/>
      <c r="V61" s="145"/>
      <c r="W61" s="145"/>
      <c r="X61" s="162">
        <v>0</v>
      </c>
      <c r="Y61" s="162">
        <v>0</v>
      </c>
      <c r="Z61" s="162"/>
      <c r="AA61" s="162"/>
      <c r="AB61" s="162">
        <v>0</v>
      </c>
      <c r="AC61" s="162">
        <v>0</v>
      </c>
      <c r="AD61" s="162"/>
      <c r="AE61" s="162">
        <v>0</v>
      </c>
      <c r="AF61" s="150"/>
      <c r="AG61" s="150"/>
      <c r="AH61" s="147" t="s">
        <v>171</v>
      </c>
    </row>
    <row r="62" s="86" customFormat="1" ht="49" customHeight="1" spans="1:35">
      <c r="A62" s="86">
        <v>15</v>
      </c>
      <c r="B62" s="169"/>
      <c r="C62" s="169" t="s">
        <v>134</v>
      </c>
      <c r="D62" s="170" t="s">
        <v>172</v>
      </c>
      <c r="E62" s="169" t="s">
        <v>173</v>
      </c>
      <c r="F62" s="169" t="s">
        <v>40</v>
      </c>
      <c r="G62" s="171">
        <v>140000</v>
      </c>
      <c r="H62" s="162">
        <v>0</v>
      </c>
      <c r="I62" s="162">
        <v>0</v>
      </c>
      <c r="J62" s="162">
        <v>0</v>
      </c>
      <c r="K62" s="162"/>
      <c r="L62" s="162"/>
      <c r="M62" s="162"/>
      <c r="N62" s="162"/>
      <c r="O62" s="162"/>
      <c r="P62" s="162"/>
      <c r="Q62" s="162"/>
      <c r="R62" s="162"/>
      <c r="S62" s="162"/>
      <c r="T62" s="162"/>
      <c r="U62" s="162"/>
      <c r="V62" s="145"/>
      <c r="W62" s="145"/>
      <c r="X62" s="162">
        <v>80000</v>
      </c>
      <c r="Y62" s="162">
        <v>-80000</v>
      </c>
      <c r="Z62" s="162"/>
      <c r="AA62" s="162"/>
      <c r="AB62" s="162">
        <v>0</v>
      </c>
      <c r="AC62" s="162">
        <v>0</v>
      </c>
      <c r="AD62" s="162"/>
      <c r="AE62" s="162">
        <v>0</v>
      </c>
      <c r="AF62" s="150"/>
      <c r="AG62" s="150"/>
      <c r="AH62" s="147" t="s">
        <v>174</v>
      </c>
    </row>
    <row r="63" ht="49" customHeight="1"/>
  </sheetData>
  <sheetProtection formatCells="0" formatColumns="0" formatRows="0" insertRows="0" insertColumns="0" insertHyperlinks="0" deleteColumns="0" deleteRows="0" sort="0" autoFilter="0" pivotTables="0"/>
  <autoFilter xmlns:etc="http://www.wps.cn/officeDocument/2017/etCustomData" ref="A4:AK58" etc:filterBottomFollowUsedRange="0">
    <extLst/>
  </autoFilter>
  <mergeCells count="42">
    <mergeCell ref="Z3:AA3"/>
    <mergeCell ref="AF3:AG3"/>
    <mergeCell ref="A3:A4"/>
    <mergeCell ref="A20:A23"/>
    <mergeCell ref="B3:B4"/>
    <mergeCell ref="B20:B23"/>
    <mergeCell ref="C3:C4"/>
    <mergeCell ref="C20:C23"/>
    <mergeCell ref="D3:D4"/>
    <mergeCell ref="D20:D23"/>
    <mergeCell ref="E3:E4"/>
    <mergeCell ref="E20:E23"/>
    <mergeCell ref="F3:F4"/>
    <mergeCell ref="G3:G4"/>
    <mergeCell ref="G20:G23"/>
    <mergeCell ref="H3:H4"/>
    <mergeCell ref="H20:H23"/>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AB3:AB4"/>
    <mergeCell ref="AB20:AB23"/>
    <mergeCell ref="AC3:AC4"/>
    <mergeCell ref="AC20:AC23"/>
    <mergeCell ref="AD3:AD4"/>
    <mergeCell ref="AE3:AE4"/>
    <mergeCell ref="AE20:AE23"/>
    <mergeCell ref="AH20:AH23"/>
  </mergeCell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21"/>
  <sheetViews>
    <sheetView tabSelected="1" zoomScale="75" zoomScaleNormal="75" topLeftCell="A2" workbookViewId="0">
      <selection activeCell="L9" sqref="L9"/>
    </sheetView>
  </sheetViews>
  <sheetFormatPr defaultColWidth="9" defaultRowHeight="47" customHeight="1"/>
  <cols>
    <col min="1" max="1" width="9.16666666666667" style="29" customWidth="1"/>
    <col min="2" max="2" width="42.1666666666667" style="26" customWidth="1"/>
    <col min="3" max="3" width="18.3333333333333" style="26" customWidth="1"/>
    <col min="4" max="4" width="24.3333333333333" style="26" customWidth="1"/>
    <col min="5" max="5" width="14.5" style="26" customWidth="1"/>
    <col min="6" max="6" width="21.8333333333333" style="30" customWidth="1"/>
    <col min="7" max="7" width="20.6666666666667" style="30" customWidth="1"/>
    <col min="8" max="8" width="20.8333333333333" style="30" customWidth="1"/>
    <col min="9" max="9" width="21.5" style="30" customWidth="1"/>
    <col min="10" max="10" width="21.5" style="30" customWidth="1" outlineLevel="1"/>
    <col min="11" max="11" width="21.6666666666667" style="30" customWidth="1" outlineLevel="1"/>
    <col min="12" max="13" width="19.1666666666667" style="30" customWidth="1" outlineLevel="1"/>
    <col min="14" max="14" width="17.5" style="30" customWidth="1"/>
    <col min="15" max="15" width="19" style="30" customWidth="1" collapsed="1"/>
    <col min="16" max="18" width="14.6666666666667" style="30" hidden="1" customWidth="1" outlineLevel="1"/>
    <col min="19" max="19" width="16.8333333333333" style="31" hidden="1" customWidth="1"/>
    <col min="20" max="20" width="18.1666666666667" style="31" customWidth="1"/>
    <col min="21" max="21" width="18.3333333333333" style="31" customWidth="1"/>
    <col min="22" max="22" width="56.5" style="29" customWidth="1"/>
    <col min="23" max="23" width="21.5" style="30" hidden="1" customWidth="1"/>
    <col min="24" max="24" width="15.1666666666667" style="26" customWidth="1"/>
    <col min="25" max="25" width="15.875" style="26"/>
    <col min="26" max="26" width="17.375" style="26"/>
    <col min="27" max="16384" width="9" style="26"/>
  </cols>
  <sheetData>
    <row r="1" s="24" customFormat="1" customHeight="1" spans="1:24">
      <c r="A1" s="32"/>
      <c r="F1" s="33">
        <f t="shared" ref="F1:K1" si="0">SUBTOTAL(9,F4:F20)</f>
        <v>8589615.25</v>
      </c>
      <c r="G1" s="33">
        <f t="shared" si="0"/>
        <v>9853073.67</v>
      </c>
      <c r="H1" s="33">
        <f t="shared" si="0"/>
        <v>10403873.67</v>
      </c>
      <c r="I1" s="33">
        <f t="shared" si="0"/>
        <v>10453073.67</v>
      </c>
      <c r="J1" s="33">
        <f t="shared" si="0"/>
        <v>0</v>
      </c>
      <c r="K1" s="33">
        <f t="shared" si="0"/>
        <v>49200</v>
      </c>
      <c r="L1" s="33"/>
      <c r="M1" s="33">
        <f>SUBTOTAL(9,M4:M20)</f>
        <v>49200</v>
      </c>
      <c r="N1" s="33">
        <f>SUBTOTAL(9,N4:N20)</f>
        <v>49200</v>
      </c>
      <c r="O1" s="33">
        <f>SUBTOTAL(9,O4:O20)</f>
        <v>49700.17</v>
      </c>
      <c r="P1" s="33"/>
      <c r="Q1" s="33"/>
      <c r="R1" s="33"/>
      <c r="S1" s="34">
        <f>SUBTOTAL(9,S4:S15)</f>
        <v>0</v>
      </c>
      <c r="T1" s="34">
        <f>SUBTOTAL(9,T4:T15)</f>
        <v>0</v>
      </c>
      <c r="U1" s="34">
        <f>SUBTOTAL(9,U4:U20)</f>
        <v>0</v>
      </c>
      <c r="V1" s="35">
        <f>+U1+T1</f>
        <v>0</v>
      </c>
      <c r="W1" s="33">
        <f>SUBTOTAL(9,W4:W20)</f>
        <v>0</v>
      </c>
    </row>
    <row r="2" s="25" customFormat="1" customHeight="1" spans="1:24">
      <c r="A2" s="36" t="s">
        <v>0</v>
      </c>
      <c r="B2" s="37" t="s">
        <v>3</v>
      </c>
      <c r="C2" s="37" t="s">
        <v>175</v>
      </c>
      <c r="D2" s="37" t="s">
        <v>4</v>
      </c>
      <c r="E2" s="37" t="s">
        <v>5</v>
      </c>
      <c r="F2" s="38" t="s">
        <v>176</v>
      </c>
      <c r="G2" s="38" t="s">
        <v>8</v>
      </c>
      <c r="H2" s="38" t="s">
        <v>23</v>
      </c>
      <c r="I2" s="38" t="s">
        <v>9</v>
      </c>
      <c r="J2" s="38" t="s">
        <v>177</v>
      </c>
      <c r="K2" s="38" t="s">
        <v>178</v>
      </c>
      <c r="L2" s="39" t="s">
        <v>25</v>
      </c>
      <c r="M2" s="40"/>
      <c r="N2" s="38" t="s">
        <v>179</v>
      </c>
      <c r="O2" s="38" t="s">
        <v>180</v>
      </c>
      <c r="P2" s="41" t="s">
        <v>181</v>
      </c>
      <c r="Q2" s="41" t="s">
        <v>182</v>
      </c>
      <c r="R2" s="41" t="s">
        <v>183</v>
      </c>
      <c r="S2" s="38" t="s">
        <v>184</v>
      </c>
      <c r="T2" s="42" t="s">
        <v>185</v>
      </c>
      <c r="U2" s="42"/>
      <c r="V2" s="37" t="s">
        <v>31</v>
      </c>
      <c r="W2" s="38" t="s">
        <v>186</v>
      </c>
    </row>
    <row r="3" s="25" customFormat="1" customHeight="1" spans="1:24">
      <c r="A3" s="43"/>
      <c r="B3" s="44"/>
      <c r="C3" s="44"/>
      <c r="D3" s="44"/>
      <c r="E3" s="44"/>
      <c r="F3" s="45"/>
      <c r="G3" s="45"/>
      <c r="H3" s="45"/>
      <c r="I3" s="45"/>
      <c r="J3" s="45"/>
      <c r="K3" s="45"/>
      <c r="L3" s="42" t="s">
        <v>32</v>
      </c>
      <c r="M3" s="42" t="s">
        <v>33</v>
      </c>
      <c r="N3" s="45"/>
      <c r="O3" s="45"/>
      <c r="P3" s="41"/>
      <c r="Q3" s="41"/>
      <c r="R3" s="41"/>
      <c r="S3" s="45"/>
      <c r="T3" s="42" t="s">
        <v>187</v>
      </c>
      <c r="U3" s="42" t="s">
        <v>188</v>
      </c>
      <c r="V3" s="44"/>
      <c r="W3" s="45"/>
    </row>
    <row r="4" customHeight="1" spans="1:24">
      <c r="A4" s="46">
        <v>1</v>
      </c>
      <c r="B4" s="47" t="s">
        <v>189</v>
      </c>
      <c r="C4" s="47" t="s">
        <v>190</v>
      </c>
      <c r="D4" s="47" t="s">
        <v>191</v>
      </c>
      <c r="E4" s="47" t="s">
        <v>40</v>
      </c>
      <c r="F4" s="48">
        <v>817506.16</v>
      </c>
      <c r="G4" s="49">
        <v>0</v>
      </c>
      <c r="H4" s="49">
        <f>240000+100000+260000</f>
        <v>600000</v>
      </c>
      <c r="I4" s="49">
        <f>340000+138000+122000</f>
        <v>600000</v>
      </c>
      <c r="J4" s="49">
        <v>0</v>
      </c>
      <c r="K4" s="49">
        <v>0</v>
      </c>
      <c r="L4" s="49"/>
      <c r="M4" s="49">
        <f>+G4*0.03</f>
        <v>0</v>
      </c>
      <c r="N4" s="49">
        <f>+I4-H4</f>
        <v>0</v>
      </c>
      <c r="O4" s="48">
        <f>SUM(P4:R4)</f>
        <v>22500.17</v>
      </c>
      <c r="P4" s="50">
        <v>22500.17</v>
      </c>
      <c r="Q4" s="50"/>
      <c r="R4" s="50"/>
      <c r="S4" s="51"/>
      <c r="T4" s="51"/>
      <c r="U4" s="51"/>
      <c r="V4" s="46" t="s">
        <v>192</v>
      </c>
      <c r="W4" s="49">
        <v>0</v>
      </c>
    </row>
    <row r="5" s="26" customFormat="1" customHeight="1" spans="1:24">
      <c r="A5" s="46">
        <v>2</v>
      </c>
      <c r="B5" s="47" t="s">
        <v>193</v>
      </c>
      <c r="C5" s="47"/>
      <c r="D5" s="47" t="s">
        <v>194</v>
      </c>
      <c r="E5" s="47" t="s">
        <v>40</v>
      </c>
      <c r="F5" s="49">
        <v>60000</v>
      </c>
      <c r="G5" s="49">
        <v>0</v>
      </c>
      <c r="H5" s="49">
        <v>0</v>
      </c>
      <c r="I5" s="49">
        <v>0</v>
      </c>
      <c r="J5" s="49">
        <v>0</v>
      </c>
      <c r="K5" s="49">
        <f>+G5-H5</f>
        <v>0</v>
      </c>
      <c r="L5" s="49"/>
      <c r="M5" s="49">
        <f>+G5*0.03</f>
        <v>0</v>
      </c>
      <c r="N5" s="49">
        <f>+I5-H5</f>
        <v>0</v>
      </c>
      <c r="O5" s="49">
        <f>SUM(P5:R5)</f>
        <v>0</v>
      </c>
      <c r="P5" s="50"/>
      <c r="Q5" s="50"/>
      <c r="R5" s="50"/>
      <c r="S5" s="51">
        <v>0</v>
      </c>
      <c r="T5" s="51"/>
      <c r="U5" s="51"/>
      <c r="V5" s="52" t="s">
        <v>195</v>
      </c>
      <c r="W5" s="49">
        <v>0</v>
      </c>
    </row>
    <row r="6" s="26" customFormat="1" customHeight="1" spans="1:24">
      <c r="A6" s="46">
        <v>3</v>
      </c>
      <c r="B6" s="47" t="s">
        <v>196</v>
      </c>
      <c r="C6" s="47"/>
      <c r="D6" s="47" t="s">
        <v>197</v>
      </c>
      <c r="E6" s="47" t="s">
        <v>40</v>
      </c>
      <c r="F6" s="49">
        <v>565000</v>
      </c>
      <c r="G6" s="49">
        <v>0</v>
      </c>
      <c r="H6" s="49">
        <v>0</v>
      </c>
      <c r="I6" s="49">
        <v>0</v>
      </c>
      <c r="J6" s="49">
        <v>0</v>
      </c>
      <c r="K6" s="49">
        <f>+G6-H6</f>
        <v>0</v>
      </c>
      <c r="L6" s="49"/>
      <c r="M6" s="49">
        <f>+G6*0.03</f>
        <v>0</v>
      </c>
      <c r="N6" s="49">
        <f>+I6-H6</f>
        <v>0</v>
      </c>
      <c r="O6" s="49">
        <f>SUM(P6:R6)</f>
        <v>0</v>
      </c>
      <c r="P6" s="50"/>
      <c r="Q6" s="50"/>
      <c r="R6" s="50"/>
      <c r="S6" s="51">
        <v>0</v>
      </c>
      <c r="T6" s="51"/>
      <c r="U6" s="51"/>
      <c r="V6" s="52" t="s">
        <v>195</v>
      </c>
      <c r="W6" s="49">
        <v>0</v>
      </c>
    </row>
    <row r="7" ht="42" customHeight="1" spans="1:24">
      <c r="A7" s="46">
        <v>5</v>
      </c>
      <c r="B7" s="47" t="s">
        <v>198</v>
      </c>
      <c r="C7" s="47" t="s">
        <v>199</v>
      </c>
      <c r="D7" s="47" t="s">
        <v>200</v>
      </c>
      <c r="E7" s="47" t="s">
        <v>40</v>
      </c>
      <c r="F7" s="48">
        <v>741200</v>
      </c>
      <c r="G7" s="49">
        <v>684004.21</v>
      </c>
      <c r="H7" s="49">
        <f>498200+165404.21</f>
        <v>663604.21</v>
      </c>
      <c r="I7" s="49">
        <f>498200+165404.21+20400</f>
        <v>684004.21</v>
      </c>
      <c r="J7" s="49">
        <f>+G7-I7</f>
        <v>0</v>
      </c>
      <c r="K7" s="49">
        <f>+G7-H7</f>
        <v>20400</v>
      </c>
      <c r="L7" s="49">
        <f>+K7-M7</f>
        <v>0</v>
      </c>
      <c r="M7" s="49">
        <v>20400</v>
      </c>
      <c r="N7" s="49">
        <f>+I7-H7</f>
        <v>20400</v>
      </c>
      <c r="O7" s="48">
        <f>SUM(P7:R7)</f>
        <v>27200</v>
      </c>
      <c r="P7" s="50">
        <v>27200</v>
      </c>
      <c r="Q7" s="50"/>
      <c r="R7" s="50"/>
      <c r="S7" s="51">
        <v>0</v>
      </c>
      <c r="T7" s="51"/>
      <c r="U7" s="51"/>
      <c r="V7" s="53" t="s">
        <v>201</v>
      </c>
      <c r="W7" s="49">
        <v>0</v>
      </c>
    </row>
    <row r="8" customHeight="1" spans="1:24">
      <c r="A8" s="54">
        <v>9</v>
      </c>
      <c r="B8" s="47" t="s">
        <v>202</v>
      </c>
      <c r="C8" s="47" t="s">
        <v>203</v>
      </c>
      <c r="D8" s="47" t="s">
        <v>204</v>
      </c>
      <c r="E8" s="47" t="s">
        <v>40</v>
      </c>
      <c r="F8" s="48">
        <v>1045723.1</v>
      </c>
      <c r="G8" s="48">
        <v>894978.2</v>
      </c>
      <c r="H8" s="49">
        <f>671500+194678.2</f>
        <v>866178.2</v>
      </c>
      <c r="I8" s="49">
        <v>894978.2</v>
      </c>
      <c r="J8" s="49">
        <f>+G8-I8</f>
        <v>0</v>
      </c>
      <c r="K8" s="49">
        <f>+G8-H8</f>
        <v>28800</v>
      </c>
      <c r="L8" s="49">
        <f>+K8-M8</f>
        <v>0</v>
      </c>
      <c r="M8" s="49">
        <v>28800</v>
      </c>
      <c r="N8" s="49">
        <f>+I8-H8</f>
        <v>28800</v>
      </c>
      <c r="O8" s="48">
        <f>SUM(P8:R8)</f>
        <v>0</v>
      </c>
      <c r="P8" s="50">
        <v>0</v>
      </c>
      <c r="Q8" s="50">
        <v>0</v>
      </c>
      <c r="R8" s="50">
        <v>0</v>
      </c>
      <c r="S8" s="51"/>
      <c r="T8" s="51"/>
      <c r="U8" s="55"/>
      <c r="V8" s="53" t="s">
        <v>205</v>
      </c>
      <c r="W8" s="56"/>
    </row>
    <row r="9" s="27" customFormat="1" customHeight="1" spans="1:24">
      <c r="A9" s="57"/>
      <c r="B9" s="58"/>
      <c r="C9" s="58"/>
      <c r="D9" s="58"/>
      <c r="E9" s="58"/>
      <c r="F9" s="59"/>
      <c r="G9" s="59"/>
      <c r="H9" s="59"/>
      <c r="I9" s="59"/>
      <c r="J9" s="59"/>
      <c r="K9" s="59"/>
      <c r="L9" s="59"/>
      <c r="M9" s="59"/>
      <c r="N9" s="59"/>
      <c r="O9" s="59"/>
      <c r="P9" s="59"/>
      <c r="Q9" s="59"/>
      <c r="R9" s="59"/>
      <c r="S9" s="60"/>
      <c r="T9" s="60"/>
      <c r="U9" s="60"/>
      <c r="V9" s="61"/>
      <c r="W9" s="59"/>
    </row>
    <row r="10" customHeight="1" spans="1:24">
      <c r="A10" s="62"/>
      <c r="B10" s="63" t="s">
        <v>206</v>
      </c>
      <c r="C10" s="63"/>
      <c r="D10" s="63"/>
      <c r="E10" s="63"/>
      <c r="F10" s="64"/>
      <c r="G10" s="64">
        <f>SUM(G12:G17)</f>
        <v>3419940.63</v>
      </c>
      <c r="H10" s="64">
        <f>SUM(H12:H17)</f>
        <v>3419940.63</v>
      </c>
      <c r="I10" s="64">
        <f>SUM(I12:I17)</f>
        <v>3419940.63</v>
      </c>
      <c r="J10" s="64"/>
      <c r="K10" s="64"/>
      <c r="L10" s="64"/>
      <c r="M10" s="64"/>
      <c r="N10" s="64"/>
      <c r="O10" s="64"/>
    </row>
    <row r="11" s="25" customFormat="1" customHeight="1" spans="1:24">
      <c r="A11" s="65" t="s">
        <v>0</v>
      </c>
      <c r="B11" s="65" t="s">
        <v>3</v>
      </c>
      <c r="C11" s="65" t="s">
        <v>175</v>
      </c>
      <c r="D11" s="65" t="s">
        <v>4</v>
      </c>
      <c r="E11" s="65" t="s">
        <v>5</v>
      </c>
      <c r="F11" s="41" t="s">
        <v>176</v>
      </c>
      <c r="G11" s="41" t="s">
        <v>207</v>
      </c>
      <c r="H11" s="41" t="s">
        <v>208</v>
      </c>
      <c r="I11" s="41" t="s">
        <v>209</v>
      </c>
      <c r="J11" s="41" t="s">
        <v>177</v>
      </c>
      <c r="K11" s="41" t="s">
        <v>178</v>
      </c>
      <c r="L11" s="41"/>
      <c r="M11" s="41"/>
      <c r="N11" s="41" t="s">
        <v>179</v>
      </c>
      <c r="O11" s="41" t="s">
        <v>180</v>
      </c>
      <c r="P11" s="66"/>
      <c r="Q11" s="66"/>
      <c r="R11" s="66"/>
      <c r="S11" s="67"/>
      <c r="T11" s="67"/>
      <c r="U11" s="67"/>
      <c r="V11" s="29"/>
      <c r="W11" s="66"/>
      <c r="X11" s="66"/>
    </row>
    <row r="12" customHeight="1" spans="1:24">
      <c r="A12" s="68" t="s">
        <v>210</v>
      </c>
      <c r="B12" s="47" t="s">
        <v>211</v>
      </c>
      <c r="C12" s="47" t="s">
        <v>212</v>
      </c>
      <c r="D12" s="47" t="s">
        <v>213</v>
      </c>
      <c r="E12" s="47" t="s">
        <v>40</v>
      </c>
      <c r="F12" s="48">
        <v>1112668.06</v>
      </c>
      <c r="G12" s="48">
        <v>1106482.74</v>
      </c>
      <c r="H12" s="48">
        <v>1106482.74</v>
      </c>
      <c r="I12" s="48">
        <v>1106482.74</v>
      </c>
      <c r="J12" s="49">
        <v>0</v>
      </c>
      <c r="K12" s="49">
        <v>0</v>
      </c>
      <c r="L12" s="49"/>
      <c r="M12" s="49"/>
      <c r="N12" s="49">
        <v>0</v>
      </c>
      <c r="O12" s="49">
        <v>0</v>
      </c>
      <c r="P12" s="66"/>
      <c r="Q12" s="66"/>
      <c r="R12" s="66"/>
      <c r="S12" s="67"/>
      <c r="T12" s="67"/>
      <c r="U12" s="67"/>
      <c r="W12" s="66"/>
    </row>
    <row r="13" customHeight="1" spans="1:24">
      <c r="A13" s="68" t="s">
        <v>210</v>
      </c>
      <c r="B13" s="47" t="s">
        <v>214</v>
      </c>
      <c r="C13" s="47"/>
      <c r="D13" s="47" t="s">
        <v>214</v>
      </c>
      <c r="E13" s="47" t="s">
        <v>40</v>
      </c>
      <c r="F13" s="48">
        <v>130000</v>
      </c>
      <c r="G13" s="48">
        <v>128821.13</v>
      </c>
      <c r="H13" s="48">
        <v>128821.13</v>
      </c>
      <c r="I13" s="48">
        <v>128821.13</v>
      </c>
      <c r="J13" s="49">
        <f>+G13-I13</f>
        <v>0</v>
      </c>
      <c r="K13" s="49">
        <f>+G13-H13</f>
        <v>0</v>
      </c>
      <c r="L13" s="49"/>
      <c r="M13" s="49"/>
      <c r="N13" s="49">
        <v>0</v>
      </c>
      <c r="O13" s="49">
        <v>0</v>
      </c>
      <c r="P13" s="66"/>
      <c r="Q13" s="66"/>
      <c r="R13" s="66"/>
      <c r="S13" s="67"/>
      <c r="T13" s="67"/>
      <c r="U13" s="67"/>
      <c r="W13" s="66"/>
    </row>
    <row r="14" customHeight="1" spans="1:24">
      <c r="A14" s="68" t="s">
        <v>210</v>
      </c>
      <c r="B14" s="47" t="s">
        <v>215</v>
      </c>
      <c r="C14" s="47"/>
      <c r="D14" s="47" t="s">
        <v>215</v>
      </c>
      <c r="E14" s="47" t="s">
        <v>40</v>
      </c>
      <c r="F14" s="48">
        <v>326449.01</v>
      </c>
      <c r="G14" s="48">
        <v>326449.01</v>
      </c>
      <c r="H14" s="48">
        <v>326449.01</v>
      </c>
      <c r="I14" s="48">
        <v>326449.01</v>
      </c>
      <c r="J14" s="49">
        <f t="shared" ref="J14:J21" si="1">+G14-I14</f>
        <v>0</v>
      </c>
      <c r="K14" s="49">
        <f t="shared" ref="K14:K21" si="2">+G14-H14</f>
        <v>0</v>
      </c>
      <c r="L14" s="49"/>
      <c r="M14" s="49"/>
      <c r="N14" s="49">
        <v>0</v>
      </c>
      <c r="O14" s="49">
        <v>0</v>
      </c>
      <c r="P14" s="66"/>
      <c r="Q14" s="66"/>
      <c r="R14" s="66"/>
      <c r="S14" s="67"/>
      <c r="T14" s="67"/>
      <c r="U14" s="67"/>
      <c r="W14" s="66"/>
    </row>
    <row r="15" customHeight="1" spans="1:24">
      <c r="A15" s="68" t="s">
        <v>210</v>
      </c>
      <c r="B15" s="47" t="s">
        <v>216</v>
      </c>
      <c r="C15" s="47"/>
      <c r="D15" s="47" t="s">
        <v>216</v>
      </c>
      <c r="E15" s="47" t="s">
        <v>40</v>
      </c>
      <c r="F15" s="48">
        <v>779350</v>
      </c>
      <c r="G15" s="48">
        <v>773648.21</v>
      </c>
      <c r="H15" s="48">
        <v>773648.21</v>
      </c>
      <c r="I15" s="48">
        <v>773648.21</v>
      </c>
      <c r="J15" s="49">
        <f t="shared" si="1"/>
        <v>0</v>
      </c>
      <c r="K15" s="49">
        <f t="shared" si="2"/>
        <v>0</v>
      </c>
      <c r="L15" s="49"/>
      <c r="M15" s="49"/>
      <c r="N15" s="49">
        <v>0</v>
      </c>
      <c r="O15" s="49">
        <v>0</v>
      </c>
      <c r="P15" s="66"/>
      <c r="Q15" s="66"/>
      <c r="R15" s="66"/>
      <c r="S15" s="67"/>
      <c r="T15" s="67"/>
      <c r="U15" s="67"/>
      <c r="W15" s="66"/>
    </row>
    <row r="16" customHeight="1" spans="1:24">
      <c r="A16" s="68" t="s">
        <v>210</v>
      </c>
      <c r="B16" s="47" t="s">
        <v>217</v>
      </c>
      <c r="C16" s="47"/>
      <c r="D16" s="47" t="s">
        <v>218</v>
      </c>
      <c r="E16" s="47" t="s">
        <v>40</v>
      </c>
      <c r="F16" s="48">
        <v>457166.36</v>
      </c>
      <c r="G16" s="48">
        <v>454880.52</v>
      </c>
      <c r="H16" s="48">
        <v>454880.52</v>
      </c>
      <c r="I16" s="48">
        <v>454880.52</v>
      </c>
      <c r="J16" s="49">
        <f t="shared" si="1"/>
        <v>0</v>
      </c>
      <c r="K16" s="49">
        <f t="shared" si="2"/>
        <v>0</v>
      </c>
      <c r="L16" s="49"/>
      <c r="M16" s="49"/>
      <c r="N16" s="49">
        <v>0</v>
      </c>
      <c r="O16" s="49">
        <v>0</v>
      </c>
      <c r="P16" s="66"/>
      <c r="Q16" s="66"/>
      <c r="R16" s="66"/>
      <c r="S16" s="67"/>
      <c r="T16" s="67"/>
      <c r="U16" s="67"/>
      <c r="W16" s="66"/>
    </row>
    <row r="17" customHeight="1" spans="1:23">
      <c r="A17" s="68" t="s">
        <v>210</v>
      </c>
      <c r="B17" s="47" t="s">
        <v>219</v>
      </c>
      <c r="C17" s="47" t="s">
        <v>220</v>
      </c>
      <c r="D17" s="47" t="s">
        <v>221</v>
      </c>
      <c r="E17" s="47" t="s">
        <v>40</v>
      </c>
      <c r="F17" s="48">
        <v>632823</v>
      </c>
      <c r="G17" s="48">
        <v>629659.02</v>
      </c>
      <c r="H17" s="48">
        <v>629659.02</v>
      </c>
      <c r="I17" s="48">
        <v>629659.02</v>
      </c>
      <c r="J17" s="49">
        <f t="shared" si="1"/>
        <v>0</v>
      </c>
      <c r="K17" s="49">
        <f t="shared" si="2"/>
        <v>0</v>
      </c>
      <c r="L17" s="49"/>
      <c r="M17" s="49"/>
      <c r="N17" s="49">
        <v>0</v>
      </c>
      <c r="O17" s="49">
        <v>0</v>
      </c>
      <c r="P17" s="66"/>
      <c r="Q17" s="66"/>
      <c r="R17" s="66"/>
      <c r="S17" s="67"/>
      <c r="T17" s="67"/>
      <c r="U17" s="67"/>
      <c r="W17" s="66"/>
    </row>
    <row r="18" s="28" customFormat="1" ht="42" customHeight="1" spans="1:23">
      <c r="A18" s="69">
        <v>6</v>
      </c>
      <c r="B18" s="70" t="s">
        <v>222</v>
      </c>
      <c r="C18" s="70" t="s">
        <v>223</v>
      </c>
      <c r="D18" s="70" t="s">
        <v>224</v>
      </c>
      <c r="E18" s="70" t="s">
        <v>40</v>
      </c>
      <c r="F18" s="71">
        <v>784912.78</v>
      </c>
      <c r="G18" s="72">
        <v>595095</v>
      </c>
      <c r="H18" s="72">
        <f>555000+19256.6+20838.4</f>
        <v>595095</v>
      </c>
      <c r="I18" s="72">
        <f>555000+40095</f>
        <v>595095</v>
      </c>
      <c r="J18" s="49">
        <f t="shared" si="1"/>
        <v>0</v>
      </c>
      <c r="K18" s="49">
        <f t="shared" si="2"/>
        <v>0</v>
      </c>
      <c r="L18" s="72">
        <f>+K18-M18</f>
        <v>0</v>
      </c>
      <c r="M18" s="72">
        <v>0</v>
      </c>
      <c r="N18" s="72">
        <f>+I18-H18</f>
        <v>0</v>
      </c>
      <c r="O18" s="71">
        <f>SUM(P18:R18)</f>
        <v>0</v>
      </c>
      <c r="P18" s="72"/>
      <c r="Q18" s="72"/>
      <c r="R18" s="72"/>
      <c r="S18" s="73">
        <v>0</v>
      </c>
      <c r="T18" s="74"/>
      <c r="U18" s="74"/>
      <c r="V18" s="75"/>
      <c r="W18" s="76">
        <f>O18</f>
        <v>0</v>
      </c>
    </row>
    <row r="19" s="28" customFormat="1" ht="42" customHeight="1" spans="1:23">
      <c r="A19" s="69">
        <v>7</v>
      </c>
      <c r="B19" s="70" t="s">
        <v>225</v>
      </c>
      <c r="C19" s="70" t="s">
        <v>226</v>
      </c>
      <c r="D19" s="70" t="s">
        <v>227</v>
      </c>
      <c r="E19" s="70" t="s">
        <v>40</v>
      </c>
      <c r="F19" s="71">
        <v>961889.89</v>
      </c>
      <c r="G19" s="72">
        <v>732171</v>
      </c>
      <c r="H19" s="72">
        <f>620000+86634.1+25536.9</f>
        <v>732171</v>
      </c>
      <c r="I19" s="72">
        <f>620000+112171</f>
        <v>732171</v>
      </c>
      <c r="J19" s="49">
        <f t="shared" si="1"/>
        <v>0</v>
      </c>
      <c r="K19" s="49">
        <f t="shared" si="2"/>
        <v>0</v>
      </c>
      <c r="L19" s="72">
        <f>+K19-M19</f>
        <v>0</v>
      </c>
      <c r="M19" s="72">
        <v>0</v>
      </c>
      <c r="N19" s="72">
        <f>+I19-H19</f>
        <v>0</v>
      </c>
      <c r="O19" s="71">
        <f>SUM(P19:R19)</f>
        <v>0</v>
      </c>
      <c r="P19" s="72"/>
      <c r="Q19" s="72"/>
      <c r="R19" s="72"/>
      <c r="S19" s="73">
        <v>0</v>
      </c>
      <c r="T19" s="74"/>
      <c r="U19" s="74"/>
      <c r="V19" s="77"/>
      <c r="W19" s="76">
        <f>O19</f>
        <v>0</v>
      </c>
    </row>
    <row r="20" s="28" customFormat="1" ht="42" customHeight="1" spans="1:23">
      <c r="A20" s="69">
        <v>8</v>
      </c>
      <c r="B20" s="70" t="s">
        <v>228</v>
      </c>
      <c r="C20" s="70" t="s">
        <v>229</v>
      </c>
      <c r="D20" s="70" t="s">
        <v>230</v>
      </c>
      <c r="E20" s="70" t="s">
        <v>40</v>
      </c>
      <c r="F20" s="71">
        <v>174926.89</v>
      </c>
      <c r="G20" s="72">
        <v>106944</v>
      </c>
      <c r="H20" s="72">
        <f>98000+4299.92+4644.08</f>
        <v>106944</v>
      </c>
      <c r="I20" s="72">
        <f>98000+8944</f>
        <v>106944</v>
      </c>
      <c r="J20" s="49">
        <f t="shared" si="1"/>
        <v>0</v>
      </c>
      <c r="K20" s="49">
        <f t="shared" si="2"/>
        <v>0</v>
      </c>
      <c r="L20" s="72">
        <f>+K20-M20</f>
        <v>0</v>
      </c>
      <c r="M20" s="72">
        <v>0</v>
      </c>
      <c r="N20" s="72">
        <f>+I20-H20</f>
        <v>0</v>
      </c>
      <c r="O20" s="71">
        <f>SUM(P20:R20)</f>
        <v>0</v>
      </c>
      <c r="P20" s="72"/>
      <c r="Q20" s="72"/>
      <c r="R20" s="72"/>
      <c r="S20" s="73">
        <v>0</v>
      </c>
      <c r="T20" s="74"/>
      <c r="U20" s="74"/>
      <c r="V20" s="77"/>
      <c r="W20" s="76">
        <f>O20</f>
        <v>0</v>
      </c>
    </row>
    <row r="21" ht="42" customHeight="1" spans="1:23">
      <c r="A21" s="46">
        <v>4</v>
      </c>
      <c r="B21" s="47" t="s">
        <v>231</v>
      </c>
      <c r="C21" s="47" t="s">
        <v>232</v>
      </c>
      <c r="D21" s="47" t="s">
        <v>233</v>
      </c>
      <c r="E21" s="47" t="s">
        <v>40</v>
      </c>
      <c r="F21" s="48">
        <v>830025</v>
      </c>
      <c r="G21" s="49">
        <v>825874.48</v>
      </c>
      <c r="H21" s="49">
        <f>270438.48+533400+22036</f>
        <v>825874.48</v>
      </c>
      <c r="I21" s="49">
        <v>825874.48</v>
      </c>
      <c r="J21" s="49">
        <f t="shared" si="1"/>
        <v>0</v>
      </c>
      <c r="K21" s="49">
        <f t="shared" si="2"/>
        <v>0</v>
      </c>
      <c r="L21" s="49">
        <f>+K21-M21</f>
        <v>0</v>
      </c>
      <c r="M21" s="49">
        <v>0</v>
      </c>
      <c r="N21" s="49">
        <f>+I21-H21</f>
        <v>0</v>
      </c>
      <c r="O21" s="48">
        <f>SUM(P21:R21)</f>
        <v>0</v>
      </c>
      <c r="P21" s="50"/>
      <c r="Q21" s="50"/>
      <c r="R21" s="50"/>
      <c r="S21" s="78"/>
      <c r="T21" s="79"/>
      <c r="U21" s="60"/>
      <c r="V21" s="80"/>
      <c r="W21" s="81">
        <v>0</v>
      </c>
    </row>
  </sheetData>
  <sheetProtection formatCells="0" formatColumns="0" formatRows="0" insertRows="0" insertColumns="0" insertHyperlinks="0" deleteColumns="0" deleteRows="0" sort="0" autoFilter="0" pivotTables="0"/>
  <autoFilter xmlns:etc="http://www.wps.cn/officeDocument/2017/etCustomData" ref="A3:X8" etc:filterBottomFollowUsedRange="0">
    <extLst/>
  </autoFilter>
  <mergeCells count="19">
    <mergeCell ref="L2:M2"/>
    <mergeCell ref="T2:U2"/>
    <mergeCell ref="A2:A3"/>
    <mergeCell ref="B2:B3"/>
    <mergeCell ref="C2:C3"/>
    <mergeCell ref="D2:D3"/>
    <mergeCell ref="E2:E3"/>
    <mergeCell ref="F2:F3"/>
    <mergeCell ref="G2:G3"/>
    <mergeCell ref="H2:H3"/>
    <mergeCell ref="I2:I3"/>
    <mergeCell ref="J2:J3"/>
    <mergeCell ref="K2:K3"/>
    <mergeCell ref="N2:N3"/>
    <mergeCell ref="O2:O3"/>
    <mergeCell ref="S2:S3"/>
    <mergeCell ref="V2:V3"/>
    <mergeCell ref="V18:V20"/>
    <mergeCell ref="W2:W3"/>
  </mergeCells>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799981688894314"/>
  </sheetPr>
  <dimension ref="A1:S13"/>
  <sheetViews>
    <sheetView zoomScale="96" zoomScaleNormal="96" workbookViewId="0">
      <pane xSplit="2" ySplit="2" topLeftCell="C3" activePane="bottomRight" state="frozen"/>
      <selection/>
      <selection pane="topRight"/>
      <selection pane="bottomLeft"/>
      <selection pane="bottomRight" activeCell="M4" sqref="M4"/>
    </sheetView>
  </sheetViews>
  <sheetFormatPr defaultColWidth="9" defaultRowHeight="13.5"/>
  <cols>
    <col min="1" max="1" width="22.25" style="2" customWidth="1"/>
    <col min="2" max="2" width="34.5" style="2" customWidth="1"/>
    <col min="3" max="3" width="13.6666666666667" style="2" hidden="1" customWidth="1"/>
    <col min="4" max="4" width="17.7" style="2" customWidth="1"/>
    <col min="5" max="5" width="8.33333333333333" style="2" customWidth="1"/>
    <col min="6" max="6" width="20.1666666666667" style="2" hidden="1" customWidth="1"/>
    <col min="7" max="7" width="16.1666666666667" style="4" hidden="1" customWidth="1"/>
    <col min="8" max="8" width="17.1666666666667" style="4" customWidth="1"/>
    <col min="9" max="9" width="15.3333333333333" style="5" hidden="1" customWidth="1"/>
    <col min="10" max="10" width="16" style="5" customWidth="1"/>
    <col min="11" max="11" width="13.7916666666667" style="5" customWidth="1"/>
    <col min="12" max="13" width="17.1666666666667" style="5" customWidth="1"/>
    <col min="14" max="15" width="16.1666666666667" style="5" customWidth="1"/>
    <col min="16" max="16" width="15" style="5" customWidth="1"/>
    <col min="17" max="17" width="15.8333333333333" style="5" customWidth="1"/>
    <col min="18" max="18" width="61.8333333333333" style="6" customWidth="1"/>
    <col min="19" max="16384" width="9" style="2"/>
  </cols>
  <sheetData>
    <row r="1" ht="53" customHeight="1" spans="1:19">
      <c r="E1" s="7"/>
      <c r="G1" s="8">
        <f>SUBTOTAL(9,G2:G6)</f>
        <v>3099300</v>
      </c>
      <c r="H1" s="8">
        <f t="shared" ref="H1:Q1" si="0">SUBTOTAL(9,H2:H13)</f>
        <v>6896704</v>
      </c>
      <c r="I1" s="8">
        <f t="shared" si="0"/>
        <v>1666223</v>
      </c>
      <c r="J1" s="8">
        <f t="shared" si="0"/>
        <v>7196309.51</v>
      </c>
      <c r="K1" s="8">
        <f t="shared" si="0"/>
        <v>230088</v>
      </c>
      <c r="L1" s="8">
        <f t="shared" si="0"/>
        <v>4710386</v>
      </c>
      <c r="M1" s="8">
        <f t="shared" si="0"/>
        <v>2020230</v>
      </c>
      <c r="N1" s="8">
        <f t="shared" si="0"/>
        <v>-2355100.51</v>
      </c>
      <c r="O1" s="8">
        <f t="shared" si="0"/>
        <v>1852985</v>
      </c>
      <c r="P1" s="8">
        <f t="shared" si="0"/>
        <v>467832.75</v>
      </c>
      <c r="Q1" s="8">
        <f t="shared" si="0"/>
        <v>0</v>
      </c>
    </row>
    <row r="2" s="1" customFormat="1" ht="37" customHeight="1" spans="1:19">
      <c r="A2" s="9" t="s">
        <v>1</v>
      </c>
      <c r="B2" s="9" t="s">
        <v>3</v>
      </c>
      <c r="C2" s="9" t="s">
        <v>234</v>
      </c>
      <c r="D2" s="9" t="s">
        <v>4</v>
      </c>
      <c r="E2" s="9" t="s">
        <v>5</v>
      </c>
      <c r="F2" s="9" t="s">
        <v>2</v>
      </c>
      <c r="G2" s="10" t="s">
        <v>6</v>
      </c>
      <c r="H2" s="10" t="s">
        <v>8</v>
      </c>
      <c r="I2" s="10" t="s">
        <v>178</v>
      </c>
      <c r="J2" s="10" t="s">
        <v>9</v>
      </c>
      <c r="K2" s="10" t="s">
        <v>235</v>
      </c>
      <c r="L2" s="10" t="s">
        <v>23</v>
      </c>
      <c r="M2" s="11" t="s">
        <v>236</v>
      </c>
      <c r="N2" s="10" t="s">
        <v>177</v>
      </c>
      <c r="O2" s="10" t="s">
        <v>179</v>
      </c>
      <c r="P2" s="10" t="s">
        <v>237</v>
      </c>
      <c r="Q2" s="10" t="s">
        <v>238</v>
      </c>
      <c r="R2" s="12" t="s">
        <v>239</v>
      </c>
    </row>
    <row r="3" s="2" customFormat="1" ht="37" customHeight="1" spans="1:19">
      <c r="A3" s="13" t="s">
        <v>240</v>
      </c>
      <c r="B3" s="13" t="s">
        <v>241</v>
      </c>
      <c r="C3" s="13" t="s">
        <v>242</v>
      </c>
      <c r="D3" s="13" t="s">
        <v>243</v>
      </c>
      <c r="E3" s="13" t="s">
        <v>40</v>
      </c>
      <c r="F3" s="13" t="s">
        <v>134</v>
      </c>
      <c r="G3" s="14">
        <v>1323500</v>
      </c>
      <c r="H3" s="14">
        <v>2119495</v>
      </c>
      <c r="I3" s="15">
        <v>0</v>
      </c>
      <c r="J3" s="15">
        <v>2355100.51</v>
      </c>
      <c r="K3" s="15">
        <v>148060</v>
      </c>
      <c r="L3" s="15">
        <v>1864190</v>
      </c>
      <c r="M3" s="15">
        <f>+H3-K3-L3</f>
        <v>107245</v>
      </c>
      <c r="N3" s="15">
        <v>-2355100.51</v>
      </c>
      <c r="O3" s="15">
        <v>0</v>
      </c>
      <c r="P3" s="15">
        <v>107245</v>
      </c>
      <c r="Q3" s="15"/>
      <c r="R3" s="16" t="s">
        <v>244</v>
      </c>
    </row>
    <row r="4" s="2" customFormat="1" ht="37" customHeight="1" spans="1:19">
      <c r="A4" s="13" t="s">
        <v>240</v>
      </c>
      <c r="B4" s="13" t="s">
        <v>245</v>
      </c>
      <c r="C4" s="13" t="s">
        <v>246</v>
      </c>
      <c r="D4" s="13" t="s">
        <v>247</v>
      </c>
      <c r="E4" s="13" t="s">
        <v>40</v>
      </c>
      <c r="F4" s="13" t="s">
        <v>134</v>
      </c>
      <c r="G4" s="14">
        <v>1162800</v>
      </c>
      <c r="H4" s="14">
        <v>1162800</v>
      </c>
      <c r="I4" s="15">
        <v>75768</v>
      </c>
      <c r="J4" s="15">
        <v>1162800</v>
      </c>
      <c r="K4" s="15">
        <v>17628</v>
      </c>
      <c r="L4" s="15">
        <v>1087032</v>
      </c>
      <c r="M4" s="15">
        <f>+J4-K4-L4</f>
        <v>58140</v>
      </c>
      <c r="N4" s="15">
        <v>0</v>
      </c>
      <c r="O4" s="15">
        <f>+M4</f>
        <v>58140</v>
      </c>
      <c r="P4" s="15">
        <v>58140</v>
      </c>
      <c r="Q4" s="17"/>
      <c r="R4" s="16" t="s">
        <v>248</v>
      </c>
    </row>
    <row r="5" s="2" customFormat="1" ht="37" customHeight="1" spans="1:19">
      <c r="A5" s="13" t="s">
        <v>240</v>
      </c>
      <c r="B5" s="13" t="s">
        <v>249</v>
      </c>
      <c r="C5" s="13" t="s">
        <v>250</v>
      </c>
      <c r="D5" s="13" t="s">
        <v>251</v>
      </c>
      <c r="E5" s="13" t="s">
        <v>40</v>
      </c>
      <c r="F5" s="13" t="s">
        <v>134</v>
      </c>
      <c r="G5" s="14">
        <v>548000</v>
      </c>
      <c r="H5" s="14">
        <v>548000</v>
      </c>
      <c r="I5" s="15">
        <v>31600</v>
      </c>
      <c r="J5" s="15">
        <v>548000</v>
      </c>
      <c r="K5" s="15"/>
      <c r="L5" s="15">
        <v>520600</v>
      </c>
      <c r="M5" s="15">
        <f>+J5-K5-L5</f>
        <v>27400</v>
      </c>
      <c r="N5" s="15">
        <v>0</v>
      </c>
      <c r="O5" s="15">
        <f>+J5-L5</f>
        <v>27400</v>
      </c>
      <c r="P5" s="15">
        <v>27400</v>
      </c>
      <c r="Q5" s="17"/>
      <c r="R5" s="16" t="s">
        <v>248</v>
      </c>
    </row>
    <row r="6" s="2" customFormat="1" ht="37" customHeight="1" spans="1:19">
      <c r="A6" s="13" t="s">
        <v>252</v>
      </c>
      <c r="B6" s="13" t="s">
        <v>253</v>
      </c>
      <c r="C6" s="13" t="s">
        <v>246</v>
      </c>
      <c r="D6" s="13" t="s">
        <v>254</v>
      </c>
      <c r="E6" s="13" t="s">
        <v>40</v>
      </c>
      <c r="F6" s="13" t="s">
        <v>134</v>
      </c>
      <c r="G6" s="14">
        <v>65000</v>
      </c>
      <c r="H6" s="14">
        <v>65000</v>
      </c>
      <c r="I6" s="15">
        <v>3250</v>
      </c>
      <c r="J6" s="15">
        <v>125000</v>
      </c>
      <c r="K6" s="15"/>
      <c r="L6" s="15">
        <v>61750</v>
      </c>
      <c r="M6" s="15">
        <f>+J6-K6-L6</f>
        <v>63250</v>
      </c>
      <c r="N6" s="15">
        <v>0</v>
      </c>
      <c r="O6" s="15">
        <f>+H6-L6</f>
        <v>3250</v>
      </c>
      <c r="P6" s="15">
        <v>3250</v>
      </c>
      <c r="Q6" s="17"/>
      <c r="R6" s="16" t="s">
        <v>255</v>
      </c>
    </row>
    <row r="7" s="2" customFormat="1" ht="37" customHeight="1" spans="1:19">
      <c r="A7" s="13" t="s">
        <v>240</v>
      </c>
      <c r="B7" s="13" t="s">
        <v>256</v>
      </c>
      <c r="C7" s="13" t="s">
        <v>257</v>
      </c>
      <c r="D7" s="13" t="s">
        <v>258</v>
      </c>
      <c r="E7" s="13" t="s">
        <v>40</v>
      </c>
      <c r="F7" s="13" t="s">
        <v>134</v>
      </c>
      <c r="G7" s="14">
        <v>874000</v>
      </c>
      <c r="H7" s="14">
        <v>976000</v>
      </c>
      <c r="I7" s="15">
        <v>956000</v>
      </c>
      <c r="J7" s="15">
        <v>976000</v>
      </c>
      <c r="K7" s="15">
        <v>64400</v>
      </c>
      <c r="L7" s="15">
        <v>862900</v>
      </c>
      <c r="M7" s="15">
        <f>+J7-K7-L7</f>
        <v>48700</v>
      </c>
      <c r="N7" s="15">
        <v>0</v>
      </c>
      <c r="O7" s="15">
        <v>48700</v>
      </c>
      <c r="P7" s="15">
        <f>+H7-K7-L7</f>
        <v>48700</v>
      </c>
      <c r="Q7" s="15"/>
      <c r="R7" s="16" t="s">
        <v>259</v>
      </c>
    </row>
    <row r="8" s="3" customFormat="1" ht="49" customHeight="1" spans="1:19">
      <c r="A8" s="18" t="s">
        <v>252</v>
      </c>
      <c r="B8" s="18" t="s">
        <v>260</v>
      </c>
      <c r="C8" s="18" t="s">
        <v>261</v>
      </c>
      <c r="D8" s="18" t="s">
        <v>262</v>
      </c>
      <c r="E8" s="18" t="s">
        <v>263</v>
      </c>
      <c r="F8" s="18" t="s">
        <v>134</v>
      </c>
      <c r="G8" s="19">
        <v>1700000</v>
      </c>
      <c r="H8" s="19">
        <v>1118400</v>
      </c>
      <c r="I8" s="20">
        <v>0</v>
      </c>
      <c r="J8" s="20">
        <v>1118400</v>
      </c>
      <c r="K8" s="20"/>
      <c r="L8" s="20">
        <v>141510</v>
      </c>
      <c r="M8" s="20">
        <f t="shared" ref="M8:M13" si="1">+J8-K8-L8</f>
        <v>976890</v>
      </c>
      <c r="N8" s="20">
        <v>0</v>
      </c>
      <c r="O8" s="20">
        <f>+J8-L8</f>
        <v>976890</v>
      </c>
      <c r="P8" s="20">
        <f>+H8*0.05</f>
        <v>55920</v>
      </c>
      <c r="Q8" s="20"/>
      <c r="R8" s="21" t="s">
        <v>264</v>
      </c>
      <c r="S8" s="22"/>
    </row>
    <row r="9" s="3" customFormat="1" ht="37" customHeight="1" spans="1:19">
      <c r="A9" s="18" t="s">
        <v>240</v>
      </c>
      <c r="B9" s="18" t="s">
        <v>265</v>
      </c>
      <c r="C9" s="18" t="s">
        <v>266</v>
      </c>
      <c r="D9" s="18" t="s">
        <v>267</v>
      </c>
      <c r="E9" s="18" t="s">
        <v>40</v>
      </c>
      <c r="F9" s="18" t="s">
        <v>134</v>
      </c>
      <c r="G9" s="19">
        <f>738000+40473</f>
        <v>778473</v>
      </c>
      <c r="H9" s="19">
        <v>738009</v>
      </c>
      <c r="I9" s="20">
        <v>565605</v>
      </c>
      <c r="J9" s="20">
        <v>738009</v>
      </c>
      <c r="K9" s="20"/>
      <c r="L9" s="20">
        <v>172404</v>
      </c>
      <c r="M9" s="20">
        <f t="shared" si="1"/>
        <v>565605</v>
      </c>
      <c r="N9" s="20">
        <f>+H9-J9</f>
        <v>0</v>
      </c>
      <c r="O9" s="20">
        <f t="shared" ref="O7:O13" si="2">+J9-L9</f>
        <v>565605</v>
      </c>
      <c r="P9" s="20">
        <v>36900.45</v>
      </c>
      <c r="Q9" s="23"/>
      <c r="R9" s="21" t="s">
        <v>268</v>
      </c>
    </row>
    <row r="10" s="3" customFormat="1" ht="37" customHeight="1" spans="1:19">
      <c r="A10" s="18" t="s">
        <v>240</v>
      </c>
      <c r="B10" s="18" t="s">
        <v>269</v>
      </c>
      <c r="C10" s="18" t="s">
        <v>270</v>
      </c>
      <c r="D10" s="18" t="s">
        <v>271</v>
      </c>
      <c r="E10" s="18" t="s">
        <v>40</v>
      </c>
      <c r="F10" s="18" t="s">
        <v>134</v>
      </c>
      <c r="G10" s="19">
        <v>34000</v>
      </c>
      <c r="H10" s="19">
        <v>34000</v>
      </c>
      <c r="I10" s="20">
        <v>34000</v>
      </c>
      <c r="J10" s="20">
        <v>34000</v>
      </c>
      <c r="K10" s="20"/>
      <c r="L10" s="20"/>
      <c r="M10" s="20">
        <f t="shared" si="1"/>
        <v>34000</v>
      </c>
      <c r="N10" s="20">
        <v>0</v>
      </c>
      <c r="O10" s="20">
        <f t="shared" si="2"/>
        <v>34000</v>
      </c>
      <c r="P10" s="20">
        <v>1700</v>
      </c>
      <c r="Q10" s="23"/>
      <c r="R10" s="21" t="s">
        <v>272</v>
      </c>
    </row>
    <row r="11" s="3" customFormat="1" ht="37" customHeight="1" spans="1:19">
      <c r="A11" s="18" t="s">
        <v>240</v>
      </c>
      <c r="B11" s="18" t="s">
        <v>273</v>
      </c>
      <c r="C11" s="18" t="s">
        <v>274</v>
      </c>
      <c r="D11" s="18" t="s">
        <v>275</v>
      </c>
      <c r="E11" s="18" t="s">
        <v>276</v>
      </c>
      <c r="F11" s="18" t="s">
        <v>134</v>
      </c>
      <c r="G11" s="19">
        <v>74000</v>
      </c>
      <c r="H11" s="19">
        <v>0</v>
      </c>
      <c r="I11" s="20">
        <v>0</v>
      </c>
      <c r="J11" s="20">
        <v>0</v>
      </c>
      <c r="K11" s="20"/>
      <c r="L11" s="20"/>
      <c r="M11" s="20">
        <f t="shared" si="1"/>
        <v>0</v>
      </c>
      <c r="N11" s="20">
        <v>0</v>
      </c>
      <c r="O11" s="20">
        <f t="shared" si="2"/>
        <v>0</v>
      </c>
      <c r="P11" s="20">
        <v>3700</v>
      </c>
      <c r="Q11" s="23"/>
      <c r="R11" s="21" t="s">
        <v>277</v>
      </c>
    </row>
    <row r="12" s="3" customFormat="1" ht="37" customHeight="1" spans="1:19">
      <c r="A12" s="18" t="s">
        <v>252</v>
      </c>
      <c r="B12" s="18" t="s">
        <v>278</v>
      </c>
      <c r="C12" s="18" t="s">
        <v>279</v>
      </c>
      <c r="D12" s="18" t="s">
        <v>280</v>
      </c>
      <c r="E12" s="18" t="s">
        <v>281</v>
      </c>
      <c r="F12" s="18" t="s">
        <v>134</v>
      </c>
      <c r="G12" s="19">
        <v>1234000</v>
      </c>
      <c r="H12" s="19">
        <v>135000</v>
      </c>
      <c r="I12" s="20">
        <v>0</v>
      </c>
      <c r="J12" s="20">
        <v>135000</v>
      </c>
      <c r="K12" s="20"/>
      <c r="L12" s="20"/>
      <c r="M12" s="20">
        <f t="shared" si="1"/>
        <v>135000</v>
      </c>
      <c r="N12" s="20">
        <v>0</v>
      </c>
      <c r="O12" s="20">
        <f t="shared" si="2"/>
        <v>135000</v>
      </c>
      <c r="P12" s="20">
        <v>61700</v>
      </c>
      <c r="Q12" s="23"/>
      <c r="R12" s="21" t="s">
        <v>282</v>
      </c>
    </row>
    <row r="13" s="3" customFormat="1" ht="37" customHeight="1" spans="1:19">
      <c r="A13" s="18" t="s">
        <v>240</v>
      </c>
      <c r="B13" s="18" t="s">
        <v>283</v>
      </c>
      <c r="C13" s="18" t="s">
        <v>284</v>
      </c>
      <c r="D13" s="18" t="s">
        <v>285</v>
      </c>
      <c r="E13" s="18" t="s">
        <v>281</v>
      </c>
      <c r="F13" s="18" t="s">
        <v>134</v>
      </c>
      <c r="G13" s="19">
        <v>1263546</v>
      </c>
      <c r="H13" s="19">
        <v>0</v>
      </c>
      <c r="I13" s="20">
        <v>0</v>
      </c>
      <c r="J13" s="20">
        <v>4000</v>
      </c>
      <c r="K13" s="20"/>
      <c r="L13" s="20"/>
      <c r="M13" s="20">
        <f t="shared" si="1"/>
        <v>4000</v>
      </c>
      <c r="N13" s="20">
        <v>0</v>
      </c>
      <c r="O13" s="20">
        <f t="shared" si="2"/>
        <v>4000</v>
      </c>
      <c r="P13" s="20">
        <v>63177.3</v>
      </c>
      <c r="Q13" s="23"/>
      <c r="R13" s="21" t="s">
        <v>286</v>
      </c>
    </row>
  </sheetData>
  <sheetProtection formatCells="0" formatColumns="0" formatRows="0" insertRows="0" insertColumns="0" insertHyperlinks="0" deleteColumns="0" deleteRows="0" sort="0" autoFilter="0" pivotTables="0"/>
  <autoFilter xmlns:etc="http://www.wps.cn/officeDocument/2017/etCustomData" ref="B2:R13" etc:filterBottomFollowUsedRange="1">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���S�~�{�{ё��9eT�te:N�]<P��S�[��ё��CQ g�~�~�{ё��Nf����b:P�TCQZ>kZ>k�^�m�m��g�fbc�V*N��(lTX�~�{*N��(lTX+1Θ:g�N'lS�x�S)�|�~D�^\���eOSGS�~9e �y��vcbZ>kz�s9%�N+Tzё��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WWO_wpscloud_20260409124150-2e61b06350</Application>
  <HeadingPairs>
    <vt:vector size="2" baseType="variant">
      <vt:variant>
        <vt:lpstr>工作表</vt:lpstr>
      </vt:variant>
      <vt:variant>
        <vt:i4>3</vt:i4>
      </vt:variant>
    </vt:vector>
  </HeadingPairs>
  <TitlesOfParts>
    <vt:vector size="3" baseType="lpstr">
      <vt:lpstr>青海</vt:lpstr>
      <vt:lpstr>伊犁</vt:lpstr>
      <vt:lpstr>日照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黄婷</cp:lastModifiedBy>
  <dcterms:created xsi:type="dcterms:W3CDTF">2025-11-14T02:09:00Z</dcterms:created>
  <dcterms:modified xsi:type="dcterms:W3CDTF">2026-06-29T05:34:45Z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305BDE5978864CDA9EF3F6AD5E9C9E7B_13</vt:lpwstr>
  </property>
  <property fmtid="{D5CDD505-2E9C-101B-9397-08002B2CF9AE}" pid="3" name="KSOProductBuildVer">
    <vt:lpwstr>2052-12.1.0.26895</vt:lpwstr>
  </property>
  <property fmtid="{D5CDD505-2E9C-101B-9397-08002B2CF9AE}" pid="4" name="CalculationRule">
    <vt:i4>0</vt:i4>
  </property>
</Properties>
</file>