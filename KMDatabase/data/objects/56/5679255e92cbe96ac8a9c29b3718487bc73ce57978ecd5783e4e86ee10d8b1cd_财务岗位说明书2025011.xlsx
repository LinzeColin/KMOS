
<file path=[Content_Types].xml><?xml version="1.0" encoding="utf-8"?>
<Types xmlns="http://schemas.openxmlformats.org/package/2006/content-types">
  <Default Extension="png" ContentType="image/png"/>
  <Default Extension="jpeg" ContentType="image/jpeg"/>
  <Default Extension="JPG" ContentType="image/.jp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ellimages.xml" ContentType="application/vnd.wps-officedocument.cellimage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8800" windowHeight="12375" tabRatio="908" firstSheet="1" activeTab="5"/>
  </bookViews>
  <sheets>
    <sheet name="组织图" sheetId="4" r:id="rId1"/>
    <sheet name="财务部组织图" sheetId="5" r:id="rId2"/>
    <sheet name="财务部岗位清单" sheetId="6" r:id="rId3"/>
    <sheet name="岗位说明书-财务经理（余丽）" sheetId="7" r:id="rId4"/>
    <sheet name="岗位说明书-往来会计（潘佳敏）" sheetId="13" r:id="rId5"/>
    <sheet name="岗位说明书-总账会计（王金平）" sheetId="14" r:id="rId6"/>
    <sheet name="岗位说明书-出纳（杨婷）" sheetId="15" r:id="rId7"/>
    <sheet name="工作流程样式" sheetId="8" r:id="rId8"/>
    <sheet name="流程图工作符号说明" sheetId="11" state="hidden" r:id="rId9"/>
    <sheet name="工作推进计划" sheetId="9" r:id="rId10"/>
    <sheet name="库管岗位职责" sheetId="16" r:id="rId1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ellimages.xml><?xml version="1.0" encoding="utf-8"?>
<etc:cellImages xmlns:xdr="http://schemas.openxmlformats.org/drawingml/2006/spreadsheetDrawing" xmlns:r="http://schemas.openxmlformats.org/officeDocument/2006/relationships" xmlns:a="http://schemas.openxmlformats.org/drawingml/2006/main" xmlns:etc="http://www.wps.cn/officeDocument/2017/etCustomData">
  <etc:cellImage>
    <xdr:pic>
      <xdr:nvPicPr>
        <xdr:cNvPr id="2" name="ID_4F7350FEB75C4953906E7EF7330823CD"/>
        <xdr:cNvPicPr>
          <a:picLocks noChangeAspect="1"/>
        </xdr:cNvPicPr>
      </xdr:nvPicPr>
      <xdr:blipFill>
        <a:blip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133600" y="11273155"/>
          <a:ext cx="2513330" cy="1882140"/>
        </a:xfrm>
        <a:prstGeom prst="rect">
          <a:avLst/>
        </a:prstGeom>
      </xdr:spPr>
    </xdr:pic>
  </etc:cellImage>
  <etc:cellImage>
    <xdr:pic>
      <xdr:nvPicPr>
        <xdr:cNvPr id="68" name="ID_E6DC4C45B7D4454D98FA89B0EED4E192"/>
        <xdr:cNvPicPr>
          <a:picLocks noChangeAspect="1"/>
        </xdr:cNvPicPr>
      </xdr:nvPicPr>
      <xdr:blipFill>
        <a:blip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19125" y="17652365"/>
          <a:ext cx="1626870" cy="3587750"/>
        </a:xfrm>
        <a:prstGeom prst="rect">
          <a:avLst/>
        </a:prstGeom>
      </xdr:spPr>
    </xdr:pic>
  </etc:cellImage>
  <etc:cellImage>
    <xdr:pic>
      <xdr:nvPicPr>
        <xdr:cNvPr id="67" name="ID_F1A3F9A9E23D4A32B146B1F598D39269"/>
        <xdr:cNvPicPr>
          <a:picLocks noChangeAspect="1"/>
        </xdr:cNvPicPr>
      </xdr:nvPicPr>
      <xdr:blipFill>
        <a:blip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253990" y="17595215"/>
          <a:ext cx="2700020" cy="3599815"/>
        </a:xfrm>
        <a:prstGeom prst="rect">
          <a:avLst/>
        </a:prstGeom>
      </xdr:spPr>
    </xdr:pic>
  </etc:cellImage>
  <etc:cellImage>
    <xdr:pic>
      <xdr:nvPicPr>
        <xdr:cNvPr id="70" name="ID_748810A729AD4F9CB534B572E01F4FD3"/>
        <xdr:cNvPicPr>
          <a:picLocks noChangeAspect="1"/>
        </xdr:cNvPicPr>
      </xdr:nvPicPr>
      <xdr:blipFill>
        <a:blip r:embed="rId4"/>
        <a:stretch>
          <a:fillRect/>
        </a:stretch>
      </xdr:blipFill>
      <xdr:spPr>
        <a:xfrm>
          <a:off x="5534660" y="1854835"/>
          <a:ext cx="3587115" cy="8385175"/>
        </a:xfrm>
        <a:prstGeom prst="rect">
          <a:avLst/>
        </a:prstGeom>
        <a:noFill/>
        <a:ln w="9525">
          <a:noFill/>
        </a:ln>
      </xdr:spPr>
    </xdr:pic>
  </etc:cellImage>
</etc:cellImages>
</file>

<file path=xl/sharedStrings.xml><?xml version="1.0" encoding="utf-8"?>
<sst xmlns="http://schemas.openxmlformats.org/spreadsheetml/2006/main" count="545" uniqueCount="381">
  <si>
    <t>武汉开明高新科技有限公司</t>
  </si>
  <si>
    <t>组织机构图</t>
  </si>
  <si>
    <t>董事长</t>
  </si>
  <si>
    <t>综合部</t>
  </si>
  <si>
    <t>经营</t>
  </si>
  <si>
    <t>公司会议策划和组织及会议结论落实</t>
  </si>
  <si>
    <t>林全意</t>
  </si>
  <si>
    <t>林全意（兼）</t>
  </si>
  <si>
    <t>叶胜男</t>
  </si>
  <si>
    <t>公司流程管理</t>
  </si>
  <si>
    <t>张艳秋</t>
  </si>
  <si>
    <t>公司印章管理</t>
  </si>
  <si>
    <t>公司资质管理</t>
  </si>
  <si>
    <t>项目申报</t>
  </si>
  <si>
    <t>人力资源</t>
  </si>
  <si>
    <t>人力资源规划编制及实施管理；</t>
  </si>
  <si>
    <t>蒋霞</t>
  </si>
  <si>
    <t>组织机构及人员优化配置；</t>
  </si>
  <si>
    <t>1人</t>
  </si>
  <si>
    <t>人力资源制度流程建设；</t>
  </si>
  <si>
    <t>考勤福利及绩效统筹管理；</t>
  </si>
  <si>
    <t>劳动关系管理；</t>
  </si>
  <si>
    <t>人员培训与开发管理；</t>
  </si>
  <si>
    <t>行政</t>
  </si>
  <si>
    <t>食堂、宿舍管理；</t>
  </si>
  <si>
    <t>范桥</t>
  </si>
  <si>
    <t>保安、保洁管理</t>
  </si>
  <si>
    <t>6人</t>
  </si>
  <si>
    <t>固定资产管理</t>
  </si>
  <si>
    <t>办公用品管理 ；</t>
  </si>
  <si>
    <t>车辆管理</t>
  </si>
  <si>
    <t>财务部</t>
  </si>
  <si>
    <t>余丽</t>
  </si>
  <si>
    <t>往来会计</t>
  </si>
  <si>
    <t>应收账款的动态跟踪；</t>
  </si>
  <si>
    <t>潘佳敏</t>
  </si>
  <si>
    <t>往年呆滞应收账款催缴；</t>
  </si>
  <si>
    <t>催收人员工作的跟进；</t>
  </si>
  <si>
    <t>销售回款简单数据统计并分析；</t>
  </si>
  <si>
    <t>日常报销、付款初审及统计；</t>
  </si>
  <si>
    <t>总账会计</t>
  </si>
  <si>
    <t>负责公司的会计核算工作；</t>
  </si>
  <si>
    <t>王金平</t>
  </si>
  <si>
    <t>编制财务报表并申报网上各个平台；</t>
  </si>
  <si>
    <t>公司纳税申报及税务关系维护；</t>
  </si>
  <si>
    <t>财务凭证及资料的档案整理；</t>
  </si>
  <si>
    <t>开具、登记发票及控制税负；</t>
  </si>
  <si>
    <t>高企项目申报的财务数据归集和资料整理</t>
  </si>
  <si>
    <t>出纳</t>
  </si>
  <si>
    <t>资金日常收付款管理；</t>
  </si>
  <si>
    <t>杨婷</t>
  </si>
  <si>
    <t>资金报表的整理与填报；</t>
  </si>
  <si>
    <t>凭证整理与移交；</t>
  </si>
  <si>
    <t>款项跟踪汇报。</t>
  </si>
  <si>
    <t>生产部</t>
  </si>
  <si>
    <t>技术支持</t>
  </si>
  <si>
    <t>负责工程技术支持、工程设计技术支持等任务；协助工程设计图纸交底；</t>
  </si>
  <si>
    <t>聂响军</t>
  </si>
  <si>
    <t>李权智（兼）</t>
  </si>
  <si>
    <t>配合设计合同、设计协议的评审工作；</t>
  </si>
  <si>
    <t>5人</t>
  </si>
  <si>
    <t>部门人员管理及资格评定；</t>
  </si>
  <si>
    <t>相关领域新技术、新工艺应用推广、开发储备。</t>
  </si>
  <si>
    <t>生产工人</t>
  </si>
  <si>
    <t>项目计划制定和推进</t>
  </si>
  <si>
    <t>成本预算的制作和</t>
  </si>
  <si>
    <t>62人</t>
  </si>
  <si>
    <t>确保订单按时，保质完成；</t>
  </si>
  <si>
    <t>驻外人员</t>
  </si>
  <si>
    <t>仓库</t>
  </si>
  <si>
    <t>原材料的入库出库管理</t>
  </si>
  <si>
    <t>郭建霞</t>
  </si>
  <si>
    <t>工具的领用和回收</t>
  </si>
  <si>
    <t>采购</t>
  </si>
  <si>
    <t>原材料的采购</t>
  </si>
  <si>
    <t>工具的采购</t>
  </si>
  <si>
    <t>营销部</t>
  </si>
  <si>
    <t>商务</t>
  </si>
  <si>
    <t>售前投标、信息、资料支持；</t>
  </si>
  <si>
    <t>林柱生</t>
  </si>
  <si>
    <t>预算书及合同管理；</t>
  </si>
  <si>
    <t>收入确认及债权管理；</t>
  </si>
  <si>
    <t>表号：</t>
  </si>
  <si>
    <t>版本：</t>
  </si>
  <si>
    <t>武汉开明高新科技股份有限公司</t>
  </si>
  <si>
    <t>共   页</t>
  </si>
  <si>
    <t>财务部组织机构图</t>
  </si>
  <si>
    <t>第   页</t>
  </si>
  <si>
    <t>审核：</t>
  </si>
  <si>
    <t>日期：</t>
  </si>
  <si>
    <t>顺序号：</t>
  </si>
  <si>
    <t>版本：2025</t>
  </si>
  <si>
    <t>武汉开明高新技术有限公司</t>
  </si>
  <si>
    <t>共   1   页</t>
  </si>
  <si>
    <t>岗位清单</t>
  </si>
  <si>
    <t>第   1   页</t>
  </si>
  <si>
    <r>
      <rPr>
        <sz val="10"/>
        <rFont val="等线"/>
        <charset val="134"/>
        <scheme val="minor"/>
      </rPr>
      <t xml:space="preserve">部门 </t>
    </r>
  </si>
  <si>
    <t>编制</t>
  </si>
  <si>
    <t>李盛</t>
  </si>
  <si>
    <t>审核</t>
  </si>
  <si>
    <t>序号</t>
  </si>
  <si>
    <t>岗位名称</t>
  </si>
  <si>
    <t>岗位编制人数</t>
  </si>
  <si>
    <t>现岗位人数</t>
  </si>
  <si>
    <t>人员姓名</t>
  </si>
  <si>
    <t>所属科室（系）</t>
  </si>
  <si>
    <t>备注</t>
  </si>
  <si>
    <t>财务经理</t>
  </si>
  <si>
    <t>合计</t>
  </si>
  <si>
    <t>注：每个部门只需做一个总的岗位清单表。</t>
  </si>
  <si>
    <t>共      页</t>
  </si>
  <si>
    <t>岗位说明书</t>
  </si>
  <si>
    <t>第         页</t>
  </si>
  <si>
    <t>岗位名称：财务经理</t>
  </si>
  <si>
    <t>岗位编号：</t>
  </si>
  <si>
    <t>岗位类别：</t>
  </si>
  <si>
    <t>部门：财务部</t>
  </si>
  <si>
    <t>任职人：余丽</t>
  </si>
  <si>
    <t>任职人签字：</t>
  </si>
  <si>
    <t>部门负责人：金正时、余丽</t>
  </si>
  <si>
    <t>直接主管：林全意</t>
  </si>
  <si>
    <t>直接主管签字：</t>
  </si>
  <si>
    <t>任
职
资
格</t>
  </si>
  <si>
    <t>最低教育程度：本科</t>
  </si>
  <si>
    <t>经验和年限要求：10年以上工作经验</t>
  </si>
  <si>
    <t>专业知识：财会相关专业</t>
  </si>
  <si>
    <t>技能要求：有带财务团队管理经验，能独立完成全套账务，能独立进行财务分析能力</t>
  </si>
  <si>
    <t>综合素质要求：</t>
  </si>
  <si>
    <t xml:space="preserve">岗位目的（岗位存在的理由、权限和目标）：设置该岗位能够有效协调公司财务内部工作推进及外部的对接，能够有效的加强数据的规整及财务规范，使得数据来源更加真实有效，根据经营情况，对费用、业务及财务做经营分析汇报。
</t>
  </si>
  <si>
    <t>一、工作职责及工作标准</t>
  </si>
  <si>
    <t>职责1：财务体系建立并及时更新</t>
  </si>
  <si>
    <t>工作任务</t>
  </si>
  <si>
    <t>1、公司日常报销制度、差旅报销制度、审批流程管理办法、资金管理制度、发票管理制度等财务制度的初稿理定。</t>
  </si>
  <si>
    <t>2、根据公司实际情况，确保相关制度执行与落地；</t>
  </si>
  <si>
    <t>3、对相关管理制度组织部门内外部学习</t>
  </si>
  <si>
    <t>工作标准</t>
  </si>
  <si>
    <t>理定财务管理相关规定，落实相关文件相关要求</t>
  </si>
  <si>
    <t>职责2：内部工作的协调与财务人员的培训和培养</t>
  </si>
  <si>
    <t>工
作
任
务</t>
  </si>
  <si>
    <t>1、协调财务内部分工，能够按时按点及时完成整体财务工作</t>
  </si>
  <si>
    <t>2、根据财务内部人员实际情况，合理分配财务任务</t>
  </si>
  <si>
    <t>3、财务基础底表建立、数据支持、工作协助</t>
  </si>
  <si>
    <t>4、对财务人员的培训和培养，让整体财务水平达到要求</t>
  </si>
  <si>
    <t>工
作
标
准</t>
  </si>
  <si>
    <t>财务内部工作协调、对财务人员能力培训和培养，能够顺利开展日常工作</t>
  </si>
  <si>
    <t>职责3：销售、费用  经营分析</t>
  </si>
  <si>
    <t>1、销售数据的统计分析底表建立，销售日常工作的跟进与督导（账龄、开票、对账、律师等），对销售相关数据对比分析</t>
  </si>
  <si>
    <t>2、红圈系统维护，数据跟踪与汇总，并对相关数据进行分析</t>
  </si>
  <si>
    <t>3、对每月经营情况，做财务分析报表，并做经营分析</t>
  </si>
  <si>
    <t>对销售统计数据、每月经营数据，分别进行分析和汇报</t>
  </si>
  <si>
    <t>职责4：资金管理及筹划</t>
  </si>
  <si>
    <t>1、对公司收付款制度理定，并按要求执行</t>
  </si>
  <si>
    <t>2、贷款事项的跟踪，确保公司资金安全</t>
  </si>
  <si>
    <t>3、加强资金管理，落实每个环节的严谨性，确保每笔资金有其实际意义</t>
  </si>
  <si>
    <t>贷款跟踪，内部资金管理</t>
  </si>
  <si>
    <t>职责5：参与合同的审核、绩效政策的制定</t>
  </si>
  <si>
    <t>1、参与销售部日常合同审核、款项跟踪、日常销售报销审批、信息费审核、账龄及发票开出情况。</t>
  </si>
  <si>
    <t>2、根据销售情况，落实相关绩效政策的落地。</t>
  </si>
  <si>
    <t>参与销售合同审核，绩效政策的落实</t>
  </si>
  <si>
    <t>职责6：外部工作协同与衔接</t>
  </si>
  <si>
    <t>1、相关软件工作的衔接（金蝶、红圈、网银等）</t>
  </si>
  <si>
    <t>2、工商、税务、银行等部门接待</t>
  </si>
  <si>
    <t>3、公司部门间工作的协同</t>
  </si>
  <si>
    <t>公司部门间工作的协调与公司外政府部门的衔接与接待</t>
  </si>
  <si>
    <t xml:space="preserve">职责7：银行及中介融资对接 
</t>
  </si>
  <si>
    <t>融资事项顺利开展</t>
  </si>
  <si>
    <t>职责8：日常费用，付款、工资表 核复核</t>
  </si>
  <si>
    <t>1、日常费用、付款支出是否合规</t>
  </si>
  <si>
    <t>2、申请单据手续是否齐全</t>
  </si>
  <si>
    <t>3、工资数据复审，核对</t>
  </si>
  <si>
    <t>4、社保及个税核对</t>
  </si>
  <si>
    <t>严格按照流程及制度要求执行</t>
  </si>
  <si>
    <t>二、工作关系</t>
  </si>
  <si>
    <t>内部工作关系</t>
  </si>
  <si>
    <t>汇报</t>
  </si>
  <si>
    <t>总经理</t>
  </si>
  <si>
    <t>协调</t>
  </si>
  <si>
    <t>财务内部、公司内外部</t>
  </si>
  <si>
    <t>支持</t>
  </si>
  <si>
    <t>财务部各岗位</t>
  </si>
  <si>
    <t>外部工作关系</t>
  </si>
  <si>
    <t>银行贷款，税务申报、统计局申报、工商年报等</t>
  </si>
  <si>
    <t>三、其他</t>
  </si>
  <si>
    <t>工作场所</t>
  </si>
  <si>
    <t>办公室</t>
  </si>
  <si>
    <t>工作时间</t>
  </si>
  <si>
    <t>标准工作时间制度</t>
  </si>
  <si>
    <t>四、重点考核指标（3-5项）</t>
  </si>
  <si>
    <t>1、财务内部分工及协同，整体财务工作的推进；2、财务制度完善，财务档案规整；3、财务对比分析；4、资金管理，及资金筹划；5、合同审核与绩效考核的制定落实；6、外部工作的协同。7 、银行及中介融资对接8、日常费用，付款  工资数据  复核 。</t>
  </si>
  <si>
    <t>五、不符合岗位要求的事项</t>
  </si>
  <si>
    <t>岗位名称：往来会计</t>
  </si>
  <si>
    <t>任职人：潘佳敏</t>
  </si>
  <si>
    <t>部门负责人：余丽</t>
  </si>
  <si>
    <t>直接主管：</t>
  </si>
  <si>
    <t>最低教育程度：大专以上</t>
  </si>
  <si>
    <t>经验和年限要求：3年以上</t>
  </si>
  <si>
    <t>专业知识：财会相关</t>
  </si>
  <si>
    <t>技能要求：能够对Excel表格基本操作，日常报销流程熟悉，费用归集清晰</t>
  </si>
  <si>
    <t>综合素质要求：对公司整体工作有认同感，能够积极主动相互学习和工作</t>
  </si>
  <si>
    <t>岗位目的（岗位存在的理由、权限和目标）：
为了明确往来会计主要工作内容及所承担的责任，使往来会计工作规范、有序</t>
  </si>
  <si>
    <t>职责1：应收账款的动态跟踪</t>
  </si>
  <si>
    <t>1.确认合同款项。</t>
  </si>
  <si>
    <t>2.验收竣工后，根据对账。同时做票后的登记及统计工作</t>
  </si>
  <si>
    <t>3.根据合同回款时间向销售催收应收款及四类保证金。根据客户要求完成相关回款手续。月底制度回款分析表。</t>
  </si>
  <si>
    <t>4.登记合同款项、回款明细。</t>
  </si>
  <si>
    <t>5、对其他应收账款进行维护并台账登记</t>
  </si>
  <si>
    <t>跟踪客户情况，能及时提供客户相关需求（对账、回款明细等）</t>
  </si>
  <si>
    <t>职责2：往年呆滞应收账款催缴</t>
  </si>
  <si>
    <t>1.做对账单给客户确认回签，催收质量保证金。</t>
  </si>
  <si>
    <t>2.未能回签及时反馈给催收，根据销售要求是否要发律师函。</t>
  </si>
  <si>
    <t>3.需要起诉的，及时联系律师起诉。</t>
  </si>
  <si>
    <t>每天登记并跟踪应收账款的跟踪情况</t>
  </si>
  <si>
    <t>职责3：催收人员工作的跟进</t>
  </si>
  <si>
    <t>1.提供催收人员相关财务数据</t>
  </si>
  <si>
    <t>2、根据催收进度，做好相关台账及核算。</t>
  </si>
  <si>
    <t>能够提供相关数据，给与催收相关数据及和待遇核算</t>
  </si>
  <si>
    <t>职责4：销售简单数据统计并分析</t>
  </si>
  <si>
    <t>1.归集并统计销售相关数据（合同台账、回款台账等）</t>
  </si>
  <si>
    <t>2、根据台账做简要分析并提出适当要求和建议。</t>
  </si>
  <si>
    <t>能够提供相关数据，给与销售提供相关支持</t>
  </si>
  <si>
    <t>职责5：费用报销审核及统计</t>
  </si>
  <si>
    <t>1.审核差旅费、招待费、快递费等费用报销单据的真实性及准确性。</t>
  </si>
  <si>
    <t>2.制作月度销售费用统计报表。</t>
  </si>
  <si>
    <t>对费用的控制及监管，按月统计相关费用</t>
  </si>
  <si>
    <t>总账会计、出纳</t>
  </si>
  <si>
    <t>销售内勤</t>
  </si>
  <si>
    <t>律师</t>
  </si>
  <si>
    <t>四、重点考核指标（3项）</t>
  </si>
  <si>
    <t>1.应收账款是否更新及时及准确。</t>
  </si>
  <si>
    <t>2.销项发票是否与合同一致，购进发票是否属实且真实。</t>
  </si>
  <si>
    <t>3.回款实付与开票公司一致，金额一致。</t>
  </si>
  <si>
    <t>岗位名称：总账会计</t>
  </si>
  <si>
    <t>任职人：王金平</t>
  </si>
  <si>
    <t>经验和年限要求：5年以上</t>
  </si>
  <si>
    <t>技能要求：能够对Excel表格基本操作，日常报销流程熟悉，费用归集清晰，能够独立完成全套账务处理，了解高新企业申报</t>
  </si>
  <si>
    <t xml:space="preserve">岗位目的（岗位存在的理由、权限和目标）：该岗位负责公司全面账目工作及日常申报工作。
</t>
  </si>
  <si>
    <t>职责1：负责公司的会计核算工作</t>
  </si>
  <si>
    <t>1、按月负责4家公司收入、成本分摊、结账等核算工作；王先梅个体户和工会户的流水账登记。</t>
  </si>
  <si>
    <t>2、按月、季对公司各类税款进行核算、计提工作。</t>
  </si>
  <si>
    <t>3、按月对各类记账凭证进行审核。</t>
  </si>
  <si>
    <t>4、定期检查账务，做到账实相符。</t>
  </si>
  <si>
    <t>5、根据每月结账后的账务情况、清理员工借支和往来款，并发送给相应部门负责人跟踪落实。</t>
  </si>
  <si>
    <t>6、根据每月账务情况登记电子发票管理台账。</t>
  </si>
  <si>
    <t>7、根据每月账务情况登记已付款无发票台账。</t>
  </si>
  <si>
    <t>8、给生产部每月开具发票。</t>
  </si>
  <si>
    <t>每月10日前完成上月核算，并结账，同时账目无差错。</t>
  </si>
  <si>
    <t>职责2：编制财务报表并申报网上各个平台</t>
  </si>
  <si>
    <t>1、按月编制公司月度财务报表。</t>
  </si>
  <si>
    <t>2、按月编制公司月度费用报表。</t>
  </si>
  <si>
    <t>3、每月将财务报表填报到统计局。</t>
  </si>
  <si>
    <t>4、每月填写工业运行监测与服务平台统计数据。</t>
  </si>
  <si>
    <t>5、与审计咨询公司对接，整理资料出具公司所需要的审计报告。</t>
  </si>
  <si>
    <t>在规定时间节点，完善对外相关申报工作。</t>
  </si>
  <si>
    <t>职责3：公司纳税申报及税务关系维护</t>
  </si>
  <si>
    <t>1、按月完成6家公司增值税、附加税、房产税、企业所得税、个人所得税、土地使用税、社保等纳税申报及税款缴纳工作。</t>
  </si>
  <si>
    <t>2、每月进行进项发票勾选认证，做到进项不浪费，为公司节省费用。</t>
  </si>
  <si>
    <t>3、税务关系的维护与承接。</t>
  </si>
  <si>
    <t>每月15日前完成税费申报，对已开票发票未到位部分及时提醒。</t>
  </si>
  <si>
    <t>职责4：财务凭证及资料的档案整理</t>
  </si>
  <si>
    <t>按月打印好记账凭证，并根据原始凭证整理装订。</t>
  </si>
  <si>
    <t>凭证装订规范整齐</t>
  </si>
  <si>
    <t>协助项目申报员在规定的时间内整理完善所需财务资料。</t>
  </si>
  <si>
    <t>职责5、发票的开具及税负平衡</t>
  </si>
  <si>
    <t>开具及登记各主体的发票，控制各公司税负。</t>
  </si>
  <si>
    <t>及时按照要求开具发票并做好记录，统筹好税负。</t>
  </si>
  <si>
    <t xml:space="preserve">职责6：高企项目申报的财务数据归集和资料整理
</t>
  </si>
  <si>
    <t>1、计划公司每年、每月研发费用数据的归集，并按照计划完成研发费用的账务处理。</t>
  </si>
  <si>
    <t>2、配合高企申报专员整理项目申报所需的财务资料。</t>
  </si>
  <si>
    <t>3、每年申报公司火炬网的高新认定的企业年报。</t>
  </si>
  <si>
    <t>出纳、报销人员</t>
  </si>
  <si>
    <t>工商、税务</t>
  </si>
  <si>
    <t>四、重点考核指标（3-4项）</t>
  </si>
  <si>
    <t>1、每天及时录账，每周与银行一致，做到日清月结；2、凭证及时装订，财务档案规整；3、税费及公司相关网上申报；4、公司税负筹划及报表的出具。</t>
  </si>
  <si>
    <t>岗位名称：出纳</t>
  </si>
  <si>
    <t>任职人：杨婷</t>
  </si>
  <si>
    <t>经验和年限要求：2年以上</t>
  </si>
  <si>
    <t>技能要求：能够对Excel表格基本操作，日常报销流程熟悉，熟悉不同网银操作</t>
  </si>
  <si>
    <t xml:space="preserve">岗位目的（岗位存在的理由、权限和目标）：做好公司资金计划、资金收付款，能够有效归集报销凭证
</t>
  </si>
  <si>
    <t>职责1：资金日常收付款管理</t>
  </si>
  <si>
    <t>1、每月工资及工程部生活费发放</t>
  </si>
  <si>
    <t>2、收到承兑及时背书，同时登记汇票（快到期票据要及时提示付款和托收）</t>
  </si>
  <si>
    <t>3、每日借支、费用报销及其他费用付款，确保及时并准确无误</t>
  </si>
  <si>
    <t>4、每月确保贷款利息的划款，协助资金的调度</t>
  </si>
  <si>
    <t>资金能够及时支付，并做好资金合理调配</t>
  </si>
  <si>
    <t>职责2：资金报表的整理与填报</t>
  </si>
  <si>
    <t>1、每日银行存款余额的查询、承兑及现金的盘点，并编制资金报表</t>
  </si>
  <si>
    <t>2、回款记录表的及时更新，发给销售会计、销售内勤</t>
  </si>
  <si>
    <t>3、规划资金，注意公司各贷款账户需要还款的金额和时间</t>
  </si>
  <si>
    <t>日常基础资金台账的整理并更新</t>
  </si>
  <si>
    <t>职责3：凭证整理与移交</t>
  </si>
  <si>
    <t>1、对付款的凭证归集并报送总账会计</t>
  </si>
  <si>
    <t>2、结合付款能够分清报销资金用途，与申请人初步对接</t>
  </si>
  <si>
    <t>结合审批流程和付款情况，收集相关原始凭证</t>
  </si>
  <si>
    <t>职责4.：款项跟踪汇报</t>
  </si>
  <si>
    <t>1、对销售回款，及时群内通报</t>
  </si>
  <si>
    <t>2、每笔付款，在请示群汇报</t>
  </si>
  <si>
    <t>3、每日资金与总账会计衔接并核对</t>
  </si>
  <si>
    <t>资金日常按公司要求汇报与对接</t>
  </si>
  <si>
    <t>财务经理、总账会计</t>
  </si>
  <si>
    <t>总账会计、催收、生产内勤</t>
  </si>
  <si>
    <t>1、按流程付款，付款准确及时；2、 资金报表的制作及更新；3、凭证的整理与归集；4、款项跟踪与汇报</t>
  </si>
  <si>
    <t>版本/修订：</t>
  </si>
  <si>
    <t>湖北开明高新科技有限公司</t>
  </si>
  <si>
    <r>
      <rPr>
        <b/>
        <sz val="15"/>
        <rFont val="SimSun"/>
        <charset val="134"/>
      </rPr>
      <t>厂外项目零星采购流程图</t>
    </r>
  </si>
  <si>
    <t>权责部门</t>
  </si>
  <si>
    <r>
      <rPr>
        <sz val="12"/>
        <rFont val="Microsoft YaHei"/>
        <charset val="134"/>
      </rPr>
      <t>对应资料</t>
    </r>
  </si>
  <si>
    <t>项目班长
项目经理</t>
  </si>
  <si>
    <r>
      <rPr>
        <sz val="12"/>
        <rFont val="Microsoft YaHei"/>
        <charset val="134"/>
      </rPr>
      <t xml:space="preserve">盖公章和手机号的收据+付款
</t>
    </r>
    <r>
      <rPr>
        <sz val="6"/>
        <rFont val="Arial"/>
        <charset val="134"/>
      </rPr>
      <t xml:space="preserve">
</t>
    </r>
    <r>
      <rPr>
        <sz val="12"/>
        <rFont val="Microsoft YaHei"/>
        <charset val="134"/>
      </rPr>
      <t>截图+实物拍照+</t>
    </r>
    <r>
      <rPr>
        <sz val="12"/>
        <color rgb="FFFF0000"/>
        <rFont val="Microsoft YaHei"/>
        <charset val="134"/>
      </rPr>
      <t xml:space="preserve">发票（尽量
</t>
    </r>
    <r>
      <rPr>
        <sz val="6"/>
        <rFont val="Arial"/>
        <charset val="134"/>
      </rPr>
      <t xml:space="preserve">
</t>
    </r>
    <r>
      <rPr>
        <sz val="12"/>
        <color rgb="FFFF0000"/>
        <rFont val="Microsoft YaHei"/>
        <charset val="134"/>
      </rPr>
      <t xml:space="preserve">           取得）电子版</t>
    </r>
  </si>
  <si>
    <r>
      <rPr>
        <sz val="12"/>
        <rFont val="Microsoft YaHei"/>
        <charset val="134"/>
      </rPr>
      <t>仓库</t>
    </r>
  </si>
  <si>
    <r>
      <rPr>
        <sz val="12"/>
        <rFont val="Microsoft YaHei"/>
        <charset val="134"/>
      </rPr>
      <t>入库单</t>
    </r>
  </si>
  <si>
    <r>
      <rPr>
        <sz val="12"/>
        <rFont val="Microsoft YaHei"/>
        <charset val="134"/>
      </rPr>
      <t xml:space="preserve">红圈项目报销单+电子版明细
</t>
    </r>
    <r>
      <rPr>
        <sz val="6"/>
        <rFont val="Arial"/>
        <charset val="134"/>
      </rPr>
      <t xml:space="preserve">
</t>
    </r>
    <r>
      <rPr>
        <sz val="12"/>
        <rFont val="Microsoft YaHei"/>
        <charset val="134"/>
      </rPr>
      <t xml:space="preserve">                 上传</t>
    </r>
  </si>
  <si>
    <r>
      <rPr>
        <sz val="12"/>
        <rFont val="Microsoft YaHei"/>
        <charset val="134"/>
      </rPr>
      <t>生产部经理</t>
    </r>
  </si>
  <si>
    <r>
      <rPr>
        <sz val="12"/>
        <rFont val="Microsoft YaHei"/>
        <charset val="134"/>
      </rPr>
      <t>红圈项目报销单</t>
    </r>
  </si>
  <si>
    <t>财务</t>
  </si>
  <si>
    <r>
      <rPr>
        <sz val="12"/>
        <rFont val="Microsoft YaHei"/>
        <charset val="134"/>
      </rPr>
      <t xml:space="preserve">项目报销单+盖公章和手机号
</t>
    </r>
    <r>
      <rPr>
        <sz val="6"/>
        <rFont val="Arial"/>
        <charset val="134"/>
      </rPr>
      <t xml:space="preserve">
</t>
    </r>
    <r>
      <rPr>
        <sz val="12"/>
        <rFont val="Microsoft YaHei"/>
        <charset val="134"/>
      </rPr>
      <t>的收据+付款截图+</t>
    </r>
    <r>
      <rPr>
        <sz val="12"/>
        <color rgb="FFFF0000"/>
        <rFont val="Microsoft YaHei"/>
        <charset val="134"/>
      </rPr>
      <t xml:space="preserve">发票电子
</t>
    </r>
    <r>
      <rPr>
        <sz val="6"/>
        <rFont val="Arial"/>
        <charset val="134"/>
      </rPr>
      <t xml:space="preserve">
</t>
    </r>
    <r>
      <rPr>
        <sz val="12"/>
        <color rgb="FFFF0000"/>
        <rFont val="Microsoft YaHei"/>
        <charset val="134"/>
      </rPr>
      <t>版</t>
    </r>
  </si>
  <si>
    <r>
      <rPr>
        <sz val="12"/>
        <rFont val="Microsoft YaHei"/>
        <charset val="134"/>
      </rPr>
      <t xml:space="preserve">项目班长
</t>
    </r>
    <r>
      <rPr>
        <sz val="11"/>
        <rFont val="Arial"/>
        <charset val="134"/>
      </rPr>
      <t xml:space="preserve">
</t>
    </r>
    <r>
      <rPr>
        <sz val="12"/>
        <rFont val="Microsoft YaHei"/>
        <charset val="134"/>
      </rPr>
      <t>项目经理</t>
    </r>
  </si>
  <si>
    <r>
      <rPr>
        <sz val="12"/>
        <rFont val="Microsoft YaHei"/>
        <charset val="134"/>
      </rPr>
      <t xml:space="preserve">盖公章和手机号的收据原件+
</t>
    </r>
    <r>
      <rPr>
        <sz val="6"/>
        <rFont val="Arial"/>
        <charset val="134"/>
      </rPr>
      <t xml:space="preserve">
</t>
    </r>
    <r>
      <rPr>
        <sz val="12"/>
        <color rgb="FFFF0000"/>
        <rFont val="Microsoft YaHei"/>
        <charset val="134"/>
      </rPr>
      <t xml:space="preserve">     发票（尽量取得）原件</t>
    </r>
  </si>
  <si>
    <r>
      <rPr>
        <sz val="12"/>
        <rFont val="Microsoft YaHei"/>
        <charset val="134"/>
      </rPr>
      <t>项目报销单+纸质原件</t>
    </r>
  </si>
  <si>
    <r>
      <rPr>
        <sz val="12"/>
        <rFont val="Microsoft YaHei"/>
        <charset val="134"/>
      </rPr>
      <t>财务</t>
    </r>
  </si>
  <si>
    <r>
      <rPr>
        <b/>
        <sz val="15"/>
        <rFont val="SimSun"/>
        <charset val="134"/>
      </rPr>
      <t>收据、发票</t>
    </r>
  </si>
  <si>
    <r>
      <rPr>
        <b/>
        <sz val="15"/>
        <rFont val="SimSun"/>
        <charset val="134"/>
      </rPr>
      <t>付款截图</t>
    </r>
    <r>
      <rPr>
        <sz val="15"/>
        <rFont val="SimSun"/>
        <charset val="134"/>
      </rPr>
      <t xml:space="preserve">          </t>
    </r>
  </si>
  <si>
    <t>实物拍照</t>
  </si>
  <si>
    <r>
      <rPr>
        <b/>
        <sz val="11"/>
        <color theme="1"/>
        <rFont val="等线"/>
        <charset val="134"/>
        <scheme val="minor"/>
      </rPr>
      <t>相关记录 ①─</t>
    </r>
    <r>
      <rPr>
        <b/>
        <sz val="11"/>
        <color theme="1"/>
        <rFont val="宋体"/>
        <charset val="134"/>
      </rPr>
      <t xml:space="preserve">⑩ </t>
    </r>
  </si>
  <si>
    <t>工作推进计划</t>
  </si>
  <si>
    <t>项目</t>
  </si>
  <si>
    <t>计划完成时间</t>
  </si>
  <si>
    <t>协助部门</t>
  </si>
  <si>
    <t>责任人</t>
  </si>
  <si>
    <t>实际完成时间</t>
  </si>
  <si>
    <t>状态</t>
  </si>
  <si>
    <t>一</t>
  </si>
  <si>
    <t>公司财务基础工作整理完善</t>
  </si>
  <si>
    <t>财务岗位分工及岗位主要职责</t>
  </si>
  <si>
    <t>财务各岗位</t>
  </si>
  <si>
    <t>相关财务制度理定（至少三大项）</t>
  </si>
  <si>
    <t>投标、履约、安全和农民工保证金清理</t>
  </si>
  <si>
    <t>公司贷款事项沟通衔接</t>
  </si>
  <si>
    <t>杨婷、余丽</t>
  </si>
  <si>
    <t>二</t>
  </si>
  <si>
    <t>日常工作开展</t>
  </si>
  <si>
    <t>财务凭证规范、整理并及时录入，税务、客户开票、、高新等申报</t>
  </si>
  <si>
    <t>每月15日</t>
  </si>
  <si>
    <t>红圈审批流程的复核、付款</t>
  </si>
  <si>
    <t>按审批流程</t>
  </si>
  <si>
    <t>余丽、杨婷</t>
  </si>
  <si>
    <t>应收账款的统计与跟催</t>
  </si>
  <si>
    <t>收付款的办理，资金帐的登记</t>
  </si>
  <si>
    <t>每天</t>
  </si>
  <si>
    <t>库管员岗位职责</t>
  </si>
  <si>
    <t>填写日期：2025.8.20</t>
  </si>
  <si>
    <t>姓名</t>
  </si>
  <si>
    <t>职务</t>
  </si>
  <si>
    <t>主要职责</t>
  </si>
  <si>
    <t>工作内容</t>
  </si>
  <si>
    <t>库管员</t>
  </si>
  <si>
    <t>总库管</t>
  </si>
  <si>
    <t>公司整体仓库的物质的调配，分库管日常做账、清理、盘点等工作的督导。</t>
  </si>
  <si>
    <t>采购申请</t>
  </si>
  <si>
    <r>
      <rPr>
        <sz val="11"/>
        <rFont val="宋体"/>
        <charset val="134"/>
      </rPr>
      <t>使用人填写纸质申购单</t>
    </r>
    <r>
      <rPr>
        <sz val="11"/>
        <rFont val="Arial"/>
        <charset val="134"/>
      </rPr>
      <t>→</t>
    </r>
    <r>
      <rPr>
        <sz val="11"/>
        <rFont val="宋体"/>
        <charset val="134"/>
      </rPr>
      <t>库管确认库存后签字→部门主管签字。                                                  生产特殊物资跟据生产需要填报采购申请单数量，附上往期采购参价格、物资用途，做红圈系统采购申请单。</t>
    </r>
  </si>
  <si>
    <t>日常使用常规物资跟据生产需要和安全库存填报采购申请单数量，附仓库库存及往期采购参考价格，做红圈系统采购申请单。</t>
  </si>
  <si>
    <t>收料</t>
  </si>
  <si>
    <t>厂内采购物资清点数量、找相关使用人员共同查看质量，如达标使用要求，收入仓库并码放在规定货架上，集采入库金蝶系统生成入库单，红圈系统及厂内入库电子台账。</t>
  </si>
  <si>
    <t>厂外采购入库，询问清楚采购实际品名、数量，集采入库金蝶系统，红圈系统及厂外电子台账跟踪表。</t>
  </si>
  <si>
    <t>厂外施工回厂物资整理，清点数量，物料码放在规定的货架上，需检查维修物资交相关人员维修后再码放到规定的地方。做电子台账跟踪单及红圈收料调拨入库。                           无维修价值需报废的，做进报废台帐，按月统计后报领导签字，做金蝶和红圈盘亏出库。                                            厂外项目材料消耗做进金蝶和红圈。</t>
  </si>
  <si>
    <t>发料</t>
  </si>
  <si>
    <t>厂内跟据各项目领料登记出库单，做厂内各项目领料登记电子台账，做红圈各项目调拨出库单及消耗单。</t>
  </si>
  <si>
    <t>劳保领料登记出库单，做劳保领料登记电子台账，做红圈领料出库单。</t>
  </si>
  <si>
    <t>跟据生产部提供外出施工物资记录表发放各项目所需物资，发放时督促各领料人核查数量及保证使用的质量，做好记录，做电子台账跟踪表及红圈调拨出库单。</t>
  </si>
  <si>
    <t>盘点</t>
  </si>
  <si>
    <t>月末厂内厂外盘点表，将报废物资同库内可使用物资物资分开码放，跟据要求填写报废单。</t>
  </si>
  <si>
    <t>月末厂内厂外物资采购入库汇总表。</t>
  </si>
  <si>
    <t>月末厂内厂外物资销耗汇总表。</t>
  </si>
  <si>
    <t>每日气体盘点。</t>
  </si>
  <si>
    <t>物流</t>
  </si>
  <si>
    <t>发货前根据要货时间选择价格优惠的物流公司。                        每月初按项目区分报销上月的物流资金。</t>
  </si>
  <si>
    <t>食堂</t>
  </si>
  <si>
    <t>每月食堂未刷卡人员金额扣款统计发给蒋霞。                           每月食堂费用汇总表和周稳食堂费用报销。</t>
  </si>
  <si>
    <t>电费</t>
  </si>
  <si>
    <t>每月宿舍人员的用电扣款统计。</t>
  </si>
  <si>
    <t>安全卫生</t>
  </si>
  <si>
    <t>上班后打开仓库窗户通风。                              下班前关好仓库门窗及水电。                                仓库区域的日常清洁卫生。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</si>
</sst>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58">
    <font>
      <sz val="11"/>
      <color theme="1"/>
      <name val="等线"/>
      <charset val="134"/>
      <scheme val="minor"/>
    </font>
    <font>
      <sz val="9"/>
      <name val="宋体"/>
      <charset val="134"/>
    </font>
    <font>
      <sz val="12"/>
      <name val="宋体"/>
      <charset val="134"/>
    </font>
    <font>
      <sz val="11"/>
      <name val="宋体"/>
      <charset val="134"/>
    </font>
    <font>
      <b/>
      <sz val="20"/>
      <name val="微软雅黑"/>
      <charset val="134"/>
    </font>
    <font>
      <b/>
      <sz val="9"/>
      <name val="微软雅黑"/>
      <charset val="134"/>
    </font>
    <font>
      <b/>
      <sz val="12"/>
      <name val="宋体"/>
      <charset val="134"/>
    </font>
    <font>
      <b/>
      <sz val="16"/>
      <color theme="1"/>
      <name val="等线"/>
      <charset val="134"/>
      <scheme val="minor"/>
    </font>
    <font>
      <b/>
      <sz val="11"/>
      <color theme="1"/>
      <name val="等线"/>
      <charset val="134"/>
      <scheme val="minor"/>
    </font>
    <font>
      <sz val="10"/>
      <name val="宋体"/>
      <charset val="134"/>
    </font>
    <font>
      <sz val="11"/>
      <name val="等线"/>
      <charset val="134"/>
      <scheme val="minor"/>
    </font>
    <font>
      <sz val="11"/>
      <color rgb="FF000000"/>
      <name val="Arial"/>
      <charset val="204"/>
    </font>
    <font>
      <sz val="10"/>
      <name val="等线"/>
      <charset val="134"/>
      <scheme val="minor"/>
    </font>
    <font>
      <b/>
      <sz val="11"/>
      <name val="等线"/>
      <charset val="134"/>
      <scheme val="minor"/>
    </font>
    <font>
      <b/>
      <sz val="18"/>
      <color theme="1"/>
      <name val="黑体"/>
      <charset val="134"/>
    </font>
    <font>
      <b/>
      <sz val="15"/>
      <color rgb="FF000000"/>
      <name val="Arial"/>
      <charset val="134"/>
    </font>
    <font>
      <sz val="12"/>
      <color rgb="FF000000"/>
      <name val="Arial"/>
      <charset val="134"/>
    </font>
    <font>
      <sz val="12"/>
      <name val="Microsoft YaHei"/>
      <charset val="134"/>
    </font>
    <font>
      <sz val="12"/>
      <color rgb="FF000000"/>
      <name val="宋体"/>
      <charset val="134"/>
    </font>
    <font>
      <sz val="12"/>
      <color rgb="FFFF0000"/>
      <name val="Arial"/>
      <charset val="134"/>
    </font>
    <font>
      <b/>
      <sz val="15"/>
      <name val="SimSun"/>
      <charset val="134"/>
    </font>
    <font>
      <sz val="12"/>
      <name val="等线"/>
      <charset val="134"/>
      <scheme val="minor"/>
    </font>
    <font>
      <sz val="16"/>
      <name val="等线"/>
      <charset val="134"/>
      <scheme val="minor"/>
    </font>
    <font>
      <sz val="10.5"/>
      <name val="等线"/>
      <charset val="134"/>
      <scheme val="minor"/>
    </font>
    <font>
      <sz val="10.5"/>
      <name val="宋体"/>
      <charset val="134"/>
    </font>
    <font>
      <sz val="14"/>
      <name val="等线"/>
      <charset val="134"/>
      <scheme val="minor"/>
    </font>
    <font>
      <b/>
      <sz val="18"/>
      <name val="等线"/>
      <charset val="134"/>
      <scheme val="minor"/>
    </font>
    <font>
      <b/>
      <sz val="14"/>
      <name val="等线"/>
      <charset val="134"/>
      <scheme val="minor"/>
    </font>
    <font>
      <sz val="18"/>
      <name val="黑体"/>
      <charset val="134"/>
    </font>
    <font>
      <sz val="14"/>
      <name val="黑体"/>
      <charset val="134"/>
    </font>
    <font>
      <sz val="18"/>
      <color theme="1"/>
      <name val="黑体"/>
      <charset val="134"/>
    </font>
    <font>
      <sz val="12"/>
      <color theme="1"/>
      <name val="等线"/>
      <charset val="134"/>
      <scheme val="minor"/>
    </font>
    <font>
      <sz val="10"/>
      <color theme="1"/>
      <name val="等线"/>
      <charset val="134"/>
      <scheme val="minor"/>
    </font>
    <font>
      <sz val="10"/>
      <color rgb="FFFF0000"/>
      <name val="等线"/>
      <charset val="134"/>
      <scheme val="minor"/>
    </font>
    <font>
      <u/>
      <sz val="11"/>
      <color theme="10"/>
      <name val="等线"/>
      <charset val="134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  <font>
      <sz val="11"/>
      <name val="Arial"/>
      <charset val="134"/>
    </font>
    <font>
      <sz val="6"/>
      <name val="Arial"/>
      <charset val="134"/>
    </font>
    <font>
      <sz val="12"/>
      <color rgb="FFFF0000"/>
      <name val="Microsoft YaHei"/>
      <charset val="134"/>
    </font>
    <font>
      <b/>
      <sz val="11"/>
      <color theme="1"/>
      <name val="宋体"/>
      <charset val="134"/>
    </font>
    <font>
      <sz val="15"/>
      <name val="SimSun"/>
      <charset val="134"/>
    </font>
  </fonts>
  <fills count="35">
    <fill>
      <patternFill patternType="none"/>
    </fill>
    <fill>
      <patternFill patternType="gray125"/>
    </fill>
    <fill>
      <patternFill patternType="solid">
        <fgColor theme="8" tint="0.799951170384838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51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medium">
        <color auto="1"/>
      </left>
      <right/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/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/>
      <top style="thin">
        <color auto="1"/>
      </top>
      <bottom style="medium">
        <color auto="1"/>
      </bottom>
      <diagonal/>
    </border>
    <border>
      <left/>
      <right/>
      <top style="thin">
        <color auto="1"/>
      </top>
      <bottom style="medium">
        <color auto="1"/>
      </bottom>
      <diagonal/>
    </border>
    <border>
      <left/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/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/>
      <diagonal/>
    </border>
    <border>
      <left style="medium">
        <color auto="1"/>
      </left>
      <right style="thin">
        <color auto="1"/>
      </right>
      <top/>
      <bottom/>
      <diagonal/>
    </border>
    <border>
      <left style="medium">
        <color auto="1"/>
      </left>
      <right style="thin">
        <color auto="1"/>
      </right>
      <top/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ck">
        <color auto="1"/>
      </left>
      <right/>
      <top style="thick">
        <color auto="1"/>
      </top>
      <bottom style="thin">
        <color auto="1"/>
      </bottom>
      <diagonal/>
    </border>
    <border>
      <left/>
      <right/>
      <top style="thick">
        <color auto="1"/>
      </top>
      <bottom style="thin">
        <color auto="1"/>
      </bottom>
      <diagonal/>
    </border>
    <border>
      <left style="thick">
        <color auto="1"/>
      </left>
      <right/>
      <top style="thin">
        <color auto="1"/>
      </top>
      <bottom style="medium">
        <color auto="1"/>
      </bottom>
      <diagonal/>
    </border>
    <border>
      <left style="thick">
        <color auto="1"/>
      </left>
      <right/>
      <top/>
      <bottom/>
      <diagonal/>
    </border>
    <border>
      <left style="thick">
        <color auto="1"/>
      </left>
      <right/>
      <top/>
      <bottom style="thick">
        <color auto="1"/>
      </bottom>
      <diagonal/>
    </border>
    <border>
      <left/>
      <right/>
      <top/>
      <bottom style="thick">
        <color auto="1"/>
      </bottom>
      <diagonal/>
    </border>
    <border>
      <left style="thin">
        <color auto="1"/>
      </left>
      <right style="thick">
        <color auto="1"/>
      </right>
      <top style="thick">
        <color auto="1"/>
      </top>
      <bottom style="thin">
        <color auto="1"/>
      </bottom>
      <diagonal/>
    </border>
    <border>
      <left style="thin">
        <color auto="1"/>
      </left>
      <right style="thick">
        <color auto="1"/>
      </right>
      <top style="thin">
        <color auto="1"/>
      </top>
      <bottom style="medium">
        <color auto="1"/>
      </bottom>
      <diagonal/>
    </border>
    <border>
      <left/>
      <right style="thick">
        <color auto="1"/>
      </right>
      <top/>
      <bottom/>
      <diagonal/>
    </border>
    <border>
      <left/>
      <right style="thick">
        <color auto="1"/>
      </right>
      <top/>
      <bottom style="thick">
        <color auto="1"/>
      </bottom>
      <diagonal/>
    </border>
    <border>
      <left/>
      <right/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4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34" fillId="0" borderId="0" applyNumberFormat="0" applyFill="0" applyBorder="0" applyAlignment="0" applyProtection="0">
      <alignment vertical="center"/>
    </xf>
    <xf numFmtId="0" fontId="35" fillId="0" borderId="0" applyNumberFormat="0" applyFill="0" applyBorder="0" applyAlignment="0" applyProtection="0">
      <alignment vertical="center"/>
    </xf>
    <xf numFmtId="0" fontId="0" fillId="5" borderId="43" applyNumberFormat="0" applyFont="0" applyAlignment="0" applyProtection="0">
      <alignment vertical="center"/>
    </xf>
    <xf numFmtId="0" fontId="36" fillId="0" borderId="0" applyNumberFormat="0" applyFill="0" applyBorder="0" applyAlignment="0" applyProtection="0">
      <alignment vertical="center"/>
    </xf>
    <xf numFmtId="0" fontId="37" fillId="0" borderId="0" applyNumberFormat="0" applyFill="0" applyBorder="0" applyAlignment="0" applyProtection="0">
      <alignment vertical="center"/>
    </xf>
    <xf numFmtId="0" fontId="38" fillId="0" borderId="0" applyNumberFormat="0" applyFill="0" applyBorder="0" applyAlignment="0" applyProtection="0">
      <alignment vertical="center"/>
    </xf>
    <xf numFmtId="0" fontId="39" fillId="0" borderId="44" applyNumberFormat="0" applyFill="0" applyAlignment="0" applyProtection="0">
      <alignment vertical="center"/>
    </xf>
    <xf numFmtId="0" fontId="40" fillId="0" borderId="44" applyNumberFormat="0" applyFill="0" applyAlignment="0" applyProtection="0">
      <alignment vertical="center"/>
    </xf>
    <xf numFmtId="0" fontId="41" fillId="0" borderId="45" applyNumberFormat="0" applyFill="0" applyAlignment="0" applyProtection="0">
      <alignment vertical="center"/>
    </xf>
    <xf numFmtId="0" fontId="41" fillId="0" borderId="0" applyNumberFormat="0" applyFill="0" applyBorder="0" applyAlignment="0" applyProtection="0">
      <alignment vertical="center"/>
    </xf>
    <xf numFmtId="0" fontId="42" fillId="6" borderId="46" applyNumberFormat="0" applyAlignment="0" applyProtection="0">
      <alignment vertical="center"/>
    </xf>
    <xf numFmtId="0" fontId="43" fillId="7" borderId="47" applyNumberFormat="0" applyAlignment="0" applyProtection="0">
      <alignment vertical="center"/>
    </xf>
    <xf numFmtId="0" fontId="44" fillId="7" borderId="46" applyNumberFormat="0" applyAlignment="0" applyProtection="0">
      <alignment vertical="center"/>
    </xf>
    <xf numFmtId="0" fontId="45" fillId="8" borderId="48" applyNumberFormat="0" applyAlignment="0" applyProtection="0">
      <alignment vertical="center"/>
    </xf>
    <xf numFmtId="0" fontId="46" fillId="0" borderId="49" applyNumberFormat="0" applyFill="0" applyAlignment="0" applyProtection="0">
      <alignment vertical="center"/>
    </xf>
    <xf numFmtId="0" fontId="47" fillId="0" borderId="50" applyNumberFormat="0" applyFill="0" applyAlignment="0" applyProtection="0">
      <alignment vertical="center"/>
    </xf>
    <xf numFmtId="0" fontId="48" fillId="9" borderId="0" applyNumberFormat="0" applyBorder="0" applyAlignment="0" applyProtection="0">
      <alignment vertical="center"/>
    </xf>
    <xf numFmtId="0" fontId="49" fillId="10" borderId="0" applyNumberFormat="0" applyBorder="0" applyAlignment="0" applyProtection="0">
      <alignment vertical="center"/>
    </xf>
    <xf numFmtId="0" fontId="50" fillId="11" borderId="0" applyNumberFormat="0" applyBorder="0" applyAlignment="0" applyProtection="0">
      <alignment vertical="center"/>
    </xf>
    <xf numFmtId="0" fontId="51" fillId="12" borderId="0" applyNumberFormat="0" applyBorder="0" applyAlignment="0" applyProtection="0">
      <alignment vertical="center"/>
    </xf>
    <xf numFmtId="0" fontId="52" fillId="3" borderId="0" applyNumberFormat="0" applyBorder="0" applyAlignment="0" applyProtection="0">
      <alignment vertical="center"/>
    </xf>
    <xf numFmtId="0" fontId="52" fillId="13" borderId="0" applyNumberFormat="0" applyBorder="0" applyAlignment="0" applyProtection="0">
      <alignment vertical="center"/>
    </xf>
    <xf numFmtId="0" fontId="51" fillId="14" borderId="0" applyNumberFormat="0" applyBorder="0" applyAlignment="0" applyProtection="0">
      <alignment vertical="center"/>
    </xf>
    <xf numFmtId="0" fontId="51" fillId="15" borderId="0" applyNumberFormat="0" applyBorder="0" applyAlignment="0" applyProtection="0">
      <alignment vertical="center"/>
    </xf>
    <xf numFmtId="0" fontId="52" fillId="16" borderId="0" applyNumberFormat="0" applyBorder="0" applyAlignment="0" applyProtection="0">
      <alignment vertical="center"/>
    </xf>
    <xf numFmtId="0" fontId="52" fillId="17" borderId="0" applyNumberFormat="0" applyBorder="0" applyAlignment="0" applyProtection="0">
      <alignment vertical="center"/>
    </xf>
    <xf numFmtId="0" fontId="51" fillId="18" borderId="0" applyNumberFormat="0" applyBorder="0" applyAlignment="0" applyProtection="0">
      <alignment vertical="center"/>
    </xf>
    <xf numFmtId="0" fontId="51" fillId="19" borderId="0" applyNumberFormat="0" applyBorder="0" applyAlignment="0" applyProtection="0">
      <alignment vertical="center"/>
    </xf>
    <xf numFmtId="0" fontId="52" fillId="20" borderId="0" applyNumberFormat="0" applyBorder="0" applyAlignment="0" applyProtection="0">
      <alignment vertical="center"/>
    </xf>
    <xf numFmtId="0" fontId="52" fillId="21" borderId="0" applyNumberFormat="0" applyBorder="0" applyAlignment="0" applyProtection="0">
      <alignment vertical="center"/>
    </xf>
    <xf numFmtId="0" fontId="51" fillId="22" borderId="0" applyNumberFormat="0" applyBorder="0" applyAlignment="0" applyProtection="0">
      <alignment vertical="center"/>
    </xf>
    <xf numFmtId="0" fontId="51" fillId="23" borderId="0" applyNumberFormat="0" applyBorder="0" applyAlignment="0" applyProtection="0">
      <alignment vertical="center"/>
    </xf>
    <xf numFmtId="0" fontId="52" fillId="24" borderId="0" applyNumberFormat="0" applyBorder="0" applyAlignment="0" applyProtection="0">
      <alignment vertical="center"/>
    </xf>
    <xf numFmtId="0" fontId="52" fillId="25" borderId="0" applyNumberFormat="0" applyBorder="0" applyAlignment="0" applyProtection="0">
      <alignment vertical="center"/>
    </xf>
    <xf numFmtId="0" fontId="51" fillId="26" borderId="0" applyNumberFormat="0" applyBorder="0" applyAlignment="0" applyProtection="0">
      <alignment vertical="center"/>
    </xf>
    <xf numFmtId="0" fontId="51" fillId="27" borderId="0" applyNumberFormat="0" applyBorder="0" applyAlignment="0" applyProtection="0">
      <alignment vertical="center"/>
    </xf>
    <xf numFmtId="0" fontId="52" fillId="28" borderId="0" applyNumberFormat="0" applyBorder="0" applyAlignment="0" applyProtection="0">
      <alignment vertical="center"/>
    </xf>
    <xf numFmtId="0" fontId="52" fillId="29" borderId="0" applyNumberFormat="0" applyBorder="0" applyAlignment="0" applyProtection="0">
      <alignment vertical="center"/>
    </xf>
    <xf numFmtId="0" fontId="51" fillId="30" borderId="0" applyNumberFormat="0" applyBorder="0" applyAlignment="0" applyProtection="0">
      <alignment vertical="center"/>
    </xf>
    <xf numFmtId="0" fontId="51" fillId="31" borderId="0" applyNumberFormat="0" applyBorder="0" applyAlignment="0" applyProtection="0">
      <alignment vertical="center"/>
    </xf>
    <xf numFmtId="0" fontId="52" fillId="32" borderId="0" applyNumberFormat="0" applyBorder="0" applyAlignment="0" applyProtection="0">
      <alignment vertical="center"/>
    </xf>
    <xf numFmtId="0" fontId="52" fillId="33" borderId="0" applyNumberFormat="0" applyBorder="0" applyAlignment="0" applyProtection="0">
      <alignment vertical="center"/>
    </xf>
    <xf numFmtId="0" fontId="51" fillId="34" borderId="0" applyNumberFormat="0" applyBorder="0" applyAlignment="0" applyProtection="0">
      <alignment vertical="center"/>
    </xf>
    <xf numFmtId="0" fontId="0" fillId="0" borderId="0">
      <alignment vertical="center"/>
    </xf>
    <xf numFmtId="0" fontId="2" fillId="0" borderId="0"/>
    <xf numFmtId="0" fontId="0" fillId="0" borderId="0">
      <alignment vertical="center"/>
    </xf>
    <xf numFmtId="0" fontId="2" fillId="0" borderId="0"/>
    <xf numFmtId="0" fontId="2" fillId="0" borderId="0"/>
  </cellStyleXfs>
  <cellXfs count="221">
    <xf numFmtId="0" fontId="0" fillId="0" borderId="0" xfId="0">
      <alignment vertical="center"/>
    </xf>
    <xf numFmtId="0" fontId="1" fillId="0" borderId="0" xfId="0" applyFont="1" applyFill="1" applyBorder="1" applyAlignment="1">
      <alignment vertical="center"/>
    </xf>
    <xf numFmtId="0" fontId="1" fillId="0" borderId="0" xfId="0" applyFont="1" applyFill="1" applyBorder="1" applyAlignment="1">
      <alignment horizontal="right" vertical="center"/>
    </xf>
    <xf numFmtId="0" fontId="2" fillId="0" borderId="0" xfId="0" applyFont="1" applyFill="1" applyBorder="1" applyAlignment="1">
      <alignment vertical="center"/>
    </xf>
    <xf numFmtId="0" fontId="3" fillId="0" borderId="0" xfId="0" applyFont="1" applyFill="1" applyBorder="1" applyAlignment="1">
      <alignment vertical="center"/>
    </xf>
    <xf numFmtId="0" fontId="1" fillId="0" borderId="0" xfId="0" applyFont="1">
      <alignment vertical="center"/>
    </xf>
    <xf numFmtId="0" fontId="4" fillId="0" borderId="0" xfId="0" applyFont="1" applyFill="1" applyBorder="1" applyAlignment="1">
      <alignment horizontal="center" vertical="center"/>
    </xf>
    <xf numFmtId="0" fontId="4" fillId="0" borderId="1" xfId="0" applyFont="1" applyFill="1" applyBorder="1" applyAlignment="1">
      <alignment horizontal="right" vertical="center"/>
    </xf>
    <xf numFmtId="0" fontId="5" fillId="0" borderId="1" xfId="0" applyFont="1" applyFill="1" applyBorder="1" applyAlignment="1">
      <alignment horizontal="right" vertical="center"/>
    </xf>
    <xf numFmtId="0" fontId="6" fillId="2" borderId="2" xfId="0" applyFont="1" applyFill="1" applyBorder="1" applyAlignment="1">
      <alignment horizontal="center" vertical="center"/>
    </xf>
    <xf numFmtId="0" fontId="3" fillId="0" borderId="3" xfId="0" applyFont="1" applyFill="1" applyBorder="1" applyAlignment="1">
      <alignment horizontal="center" vertical="center" wrapText="1"/>
    </xf>
    <xf numFmtId="0" fontId="3" fillId="0" borderId="2" xfId="0" applyFont="1" applyFill="1" applyBorder="1" applyAlignment="1">
      <alignment horizontal="center" vertical="center" wrapText="1"/>
    </xf>
    <xf numFmtId="0" fontId="3" fillId="0" borderId="2" xfId="0" applyFont="1" applyFill="1" applyBorder="1" applyAlignment="1">
      <alignment horizontal="left" vertical="center" wrapText="1"/>
    </xf>
    <xf numFmtId="0" fontId="3" fillId="0" borderId="4" xfId="0" applyFont="1" applyFill="1" applyBorder="1" applyAlignment="1">
      <alignment horizontal="center" vertical="center" wrapText="1"/>
    </xf>
    <xf numFmtId="0" fontId="3" fillId="0" borderId="2" xfId="0" applyFont="1" applyFill="1" applyBorder="1" applyAlignment="1">
      <alignment horizontal="left" vertical="top" wrapText="1"/>
    </xf>
    <xf numFmtId="0" fontId="3" fillId="0" borderId="5" xfId="0" applyFont="1" applyFill="1" applyBorder="1" applyAlignment="1">
      <alignment horizontal="center" vertical="center" wrapText="1"/>
    </xf>
    <xf numFmtId="0" fontId="3" fillId="0" borderId="3" xfId="0" applyFont="1" applyFill="1" applyBorder="1" applyAlignment="1">
      <alignment horizontal="center" vertical="center"/>
    </xf>
    <xf numFmtId="0" fontId="3" fillId="0" borderId="4" xfId="0" applyFont="1" applyFill="1" applyBorder="1" applyAlignment="1">
      <alignment horizontal="center" vertical="center"/>
    </xf>
    <xf numFmtId="0" fontId="3" fillId="0" borderId="5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 vertical="center"/>
    </xf>
    <xf numFmtId="0" fontId="1" fillId="0" borderId="0" xfId="0" applyFont="1" applyFill="1" applyAlignment="1">
      <alignment horizontal="right" vertical="center"/>
    </xf>
    <xf numFmtId="0" fontId="2" fillId="0" borderId="0" xfId="0" applyFont="1">
      <alignment vertical="center"/>
    </xf>
    <xf numFmtId="0" fontId="3" fillId="0" borderId="0" xfId="0" applyFont="1" applyFill="1">
      <alignment vertical="center"/>
    </xf>
    <xf numFmtId="0" fontId="3" fillId="0" borderId="0" xfId="0" applyFont="1">
      <alignment vertical="center"/>
    </xf>
    <xf numFmtId="0" fontId="0" fillId="0" borderId="0" xfId="0" applyAlignment="1">
      <alignment horizontal="center" vertical="center"/>
    </xf>
    <xf numFmtId="0" fontId="7" fillId="0" borderId="0" xfId="0" applyFont="1" applyAlignment="1">
      <alignment horizontal="center" vertical="center"/>
    </xf>
    <xf numFmtId="0" fontId="0" fillId="0" borderId="2" xfId="0" applyFont="1" applyBorder="1" applyAlignment="1">
      <alignment horizontal="center" vertical="center"/>
    </xf>
    <xf numFmtId="0" fontId="8" fillId="3" borderId="2" xfId="0" applyFont="1" applyFill="1" applyBorder="1" applyAlignment="1">
      <alignment horizontal="center" vertical="center"/>
    </xf>
    <xf numFmtId="0" fontId="0" fillId="3" borderId="2" xfId="0" applyFill="1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2" xfId="0" applyFont="1" applyBorder="1" applyAlignment="1">
      <alignment vertical="center"/>
    </xf>
    <xf numFmtId="14" fontId="0" fillId="0" borderId="2" xfId="0" applyNumberFormat="1" applyBorder="1" applyAlignment="1">
      <alignment horizontal="center" vertical="center"/>
    </xf>
    <xf numFmtId="0" fontId="9" fillId="0" borderId="2" xfId="0" applyNumberFormat="1" applyFont="1" applyFill="1" applyBorder="1" applyAlignment="1" applyProtection="1">
      <alignment horizontal="center" vertical="center" wrapText="1"/>
    </xf>
    <xf numFmtId="0" fontId="10" fillId="4" borderId="0" xfId="0" applyFont="1" applyFill="1" applyAlignment="1">
      <alignment vertical="center"/>
    </xf>
    <xf numFmtId="0" fontId="10" fillId="0" borderId="0" xfId="0" applyFont="1" applyAlignment="1">
      <alignment vertical="center"/>
    </xf>
    <xf numFmtId="0" fontId="0" fillId="0" borderId="0" xfId="0" applyAlignment="1">
      <alignment vertical="center"/>
    </xf>
    <xf numFmtId="0" fontId="0" fillId="0" borderId="0" xfId="0" applyAlignment="1">
      <alignment horizontal="left" vertical="center"/>
    </xf>
    <xf numFmtId="0" fontId="11" fillId="0" borderId="0" xfId="0" applyFont="1" applyFill="1" applyBorder="1" applyAlignment="1">
      <alignment horizontal="left" vertical="top" wrapText="1"/>
    </xf>
    <xf numFmtId="0" fontId="10" fillId="4" borderId="0" xfId="0" applyFont="1" applyFill="1" applyAlignment="1">
      <alignment horizontal="center" vertical="center"/>
    </xf>
    <xf numFmtId="0" fontId="12" fillId="4" borderId="0" xfId="0" applyFont="1" applyFill="1" applyAlignment="1">
      <alignment horizontal="left" vertical="center"/>
    </xf>
    <xf numFmtId="0" fontId="13" fillId="4" borderId="0" xfId="0" applyFont="1" applyFill="1" applyAlignment="1">
      <alignment horizontal="center" vertical="center"/>
    </xf>
    <xf numFmtId="0" fontId="13" fillId="4" borderId="0" xfId="0" applyFont="1" applyFill="1" applyAlignment="1">
      <alignment horizontal="left" vertical="center"/>
    </xf>
    <xf numFmtId="0" fontId="14" fillId="0" borderId="2" xfId="0" applyFont="1" applyBorder="1" applyAlignment="1">
      <alignment horizontal="center" vertical="center"/>
    </xf>
    <xf numFmtId="0" fontId="15" fillId="0" borderId="2" xfId="0" applyNumberFormat="1" applyFont="1" applyFill="1" applyBorder="1" applyAlignment="1">
      <alignment horizontal="center" vertical="top" wrapText="1"/>
    </xf>
    <xf numFmtId="0" fontId="12" fillId="4" borderId="2" xfId="0" applyNumberFormat="1" applyFont="1" applyFill="1" applyBorder="1" applyAlignment="1">
      <alignment horizontal="center" vertical="center"/>
    </xf>
    <xf numFmtId="0" fontId="16" fillId="0" borderId="2" xfId="0" applyNumberFormat="1" applyFont="1" applyFill="1" applyBorder="1" applyAlignment="1">
      <alignment horizontal="center" vertical="center" wrapText="1"/>
    </xf>
    <xf numFmtId="0" fontId="12" fillId="4" borderId="2" xfId="0" applyNumberFormat="1" applyFont="1" applyFill="1" applyBorder="1" applyAlignment="1">
      <alignment horizontal="center" vertical="center" wrapText="1"/>
    </xf>
    <xf numFmtId="0" fontId="17" fillId="0" borderId="2" xfId="0" applyNumberFormat="1" applyFont="1" applyFill="1" applyBorder="1" applyAlignment="1">
      <alignment horizontal="center" vertical="center" wrapText="1"/>
    </xf>
    <xf numFmtId="0" fontId="11" fillId="0" borderId="2" xfId="0" applyNumberFormat="1" applyFont="1" applyFill="1" applyBorder="1" applyAlignment="1">
      <alignment horizontal="center" vertical="center" wrapText="1"/>
    </xf>
    <xf numFmtId="0" fontId="18" fillId="0" borderId="2" xfId="0" applyNumberFormat="1" applyFont="1" applyFill="1" applyBorder="1" applyAlignment="1">
      <alignment horizontal="center" vertical="center" wrapText="1"/>
    </xf>
    <xf numFmtId="0" fontId="19" fillId="0" borderId="2" xfId="0" applyNumberFormat="1" applyFont="1" applyFill="1" applyBorder="1" applyAlignment="1">
      <alignment horizontal="center" vertical="center" wrapText="1"/>
    </xf>
    <xf numFmtId="0" fontId="15" fillId="0" borderId="0" xfId="0" applyNumberFormat="1" applyFont="1" applyFill="1" applyBorder="1" applyAlignment="1">
      <alignment horizontal="left" vertical="top" wrapText="1"/>
    </xf>
    <xf numFmtId="0" fontId="11" fillId="0" borderId="0" xfId="0" applyFont="1" applyFill="1" applyAlignment="1">
      <alignment horizontal="center" vertical="top" wrapText="1"/>
    </xf>
    <xf numFmtId="0" fontId="20" fillId="0" borderId="0" xfId="0" applyNumberFormat="1" applyFont="1" applyFill="1" applyBorder="1" applyAlignment="1">
      <alignment vertical="top" wrapText="1"/>
    </xf>
    <xf numFmtId="0" fontId="8" fillId="0" borderId="2" xfId="0" applyFont="1" applyBorder="1" applyAlignment="1">
      <alignment horizontal="left" vertical="center"/>
    </xf>
    <xf numFmtId="0" fontId="10" fillId="0" borderId="0" xfId="0" applyFont="1" applyBorder="1" applyAlignment="1">
      <alignment horizontal="left" vertical="center"/>
    </xf>
    <xf numFmtId="0" fontId="21" fillId="0" borderId="0" xfId="0" applyFont="1" applyBorder="1" applyAlignment="1">
      <alignment vertical="center"/>
    </xf>
    <xf numFmtId="0" fontId="22" fillId="0" borderId="0" xfId="0" applyFont="1" applyBorder="1" applyAlignment="1">
      <alignment vertical="center"/>
    </xf>
    <xf numFmtId="0" fontId="23" fillId="0" borderId="0" xfId="0" applyFont="1" applyAlignment="1">
      <alignment vertical="center"/>
    </xf>
    <xf numFmtId="0" fontId="21" fillId="0" borderId="0" xfId="0" applyFont="1" applyAlignment="1">
      <alignment vertical="center"/>
    </xf>
    <xf numFmtId="0" fontId="24" fillId="0" borderId="0" xfId="50" applyFont="1" applyAlignment="1">
      <alignment vertical="center"/>
    </xf>
    <xf numFmtId="0" fontId="25" fillId="0" borderId="0" xfId="0" applyFont="1" applyAlignment="1">
      <alignment vertical="center"/>
    </xf>
    <xf numFmtId="0" fontId="12" fillId="0" borderId="0" xfId="0" applyFont="1" applyFill="1" applyBorder="1" applyAlignment="1">
      <alignment horizontal="left" vertical="center"/>
    </xf>
    <xf numFmtId="0" fontId="12" fillId="0" borderId="0" xfId="0" applyFont="1" applyAlignment="1">
      <alignment horizontal="center" vertical="center"/>
    </xf>
    <xf numFmtId="0" fontId="26" fillId="0" borderId="6" xfId="0" applyFont="1" applyBorder="1" applyAlignment="1">
      <alignment horizontal="center" vertical="center"/>
    </xf>
    <xf numFmtId="0" fontId="26" fillId="0" borderId="7" xfId="0" applyFont="1" applyBorder="1" applyAlignment="1">
      <alignment horizontal="center" vertical="center"/>
    </xf>
    <xf numFmtId="0" fontId="26" fillId="0" borderId="8" xfId="0" applyFont="1" applyBorder="1" applyAlignment="1">
      <alignment horizontal="center" vertical="center"/>
    </xf>
    <xf numFmtId="0" fontId="12" fillId="0" borderId="9" xfId="0" applyFont="1" applyBorder="1" applyAlignment="1">
      <alignment horizontal="center" vertical="center"/>
    </xf>
    <xf numFmtId="0" fontId="27" fillId="0" borderId="10" xfId="0" applyFont="1" applyBorder="1" applyAlignment="1">
      <alignment horizontal="center" vertical="center"/>
    </xf>
    <xf numFmtId="0" fontId="27" fillId="0" borderId="11" xfId="0" applyFont="1" applyBorder="1" applyAlignment="1">
      <alignment horizontal="center" vertical="center"/>
    </xf>
    <xf numFmtId="0" fontId="27" fillId="0" borderId="12" xfId="0" applyFont="1" applyBorder="1" applyAlignment="1">
      <alignment horizontal="center" vertical="center"/>
    </xf>
    <xf numFmtId="0" fontId="12" fillId="0" borderId="13" xfId="0" applyFont="1" applyBorder="1" applyAlignment="1">
      <alignment horizontal="center" vertical="center"/>
    </xf>
    <xf numFmtId="0" fontId="12" fillId="0" borderId="6" xfId="0" applyFont="1" applyBorder="1" applyAlignment="1">
      <alignment horizontal="left" vertical="center" wrapText="1"/>
    </xf>
    <xf numFmtId="0" fontId="12" fillId="0" borderId="7" xfId="0" applyFont="1" applyBorder="1" applyAlignment="1">
      <alignment horizontal="left" vertical="center" wrapText="1"/>
    </xf>
    <xf numFmtId="0" fontId="12" fillId="0" borderId="8" xfId="0" applyFont="1" applyBorder="1" applyAlignment="1">
      <alignment horizontal="left" vertical="center" wrapText="1"/>
    </xf>
    <xf numFmtId="0" fontId="12" fillId="0" borderId="14" xfId="0" applyFont="1" applyBorder="1" applyAlignment="1">
      <alignment horizontal="justify" vertical="center" wrapText="1"/>
    </xf>
    <xf numFmtId="0" fontId="12" fillId="0" borderId="9" xfId="0" applyFont="1" applyBorder="1" applyAlignment="1">
      <alignment horizontal="justify" vertical="center" wrapText="1"/>
    </xf>
    <xf numFmtId="0" fontId="12" fillId="0" borderId="15" xfId="0" applyFont="1" applyBorder="1" applyAlignment="1">
      <alignment horizontal="left" vertical="center" wrapText="1"/>
    </xf>
    <xf numFmtId="0" fontId="12" fillId="0" borderId="16" xfId="0" applyFont="1" applyBorder="1" applyAlignment="1">
      <alignment horizontal="left" vertical="center" wrapText="1"/>
    </xf>
    <xf numFmtId="0" fontId="12" fillId="0" borderId="17" xfId="0" applyFont="1" applyBorder="1" applyAlignment="1">
      <alignment horizontal="left" vertical="center" wrapText="1"/>
    </xf>
    <xf numFmtId="0" fontId="12" fillId="0" borderId="2" xfId="0" applyFont="1" applyBorder="1" applyAlignment="1">
      <alignment horizontal="justify" vertical="center" wrapText="1"/>
    </xf>
    <xf numFmtId="0" fontId="12" fillId="0" borderId="18" xfId="0" applyFont="1" applyBorder="1" applyAlignment="1">
      <alignment horizontal="justify" vertical="center" wrapText="1"/>
    </xf>
    <xf numFmtId="0" fontId="12" fillId="0" borderId="3" xfId="0" applyFont="1" applyBorder="1" applyAlignment="1">
      <alignment horizontal="justify" vertical="center" wrapText="1"/>
    </xf>
    <xf numFmtId="0" fontId="12" fillId="0" borderId="19" xfId="0" applyFont="1" applyBorder="1" applyAlignment="1">
      <alignment horizontal="justify" vertical="center" wrapText="1"/>
    </xf>
    <xf numFmtId="0" fontId="12" fillId="0" borderId="20" xfId="0" applyFont="1" applyBorder="1" applyAlignment="1">
      <alignment horizontal="center" vertical="center" wrapText="1"/>
    </xf>
    <xf numFmtId="0" fontId="12" fillId="0" borderId="2" xfId="0" applyFont="1" applyBorder="1" applyAlignment="1">
      <alignment horizontal="justify" vertical="center"/>
    </xf>
    <xf numFmtId="0" fontId="12" fillId="0" borderId="18" xfId="0" applyFont="1" applyBorder="1" applyAlignment="1">
      <alignment horizontal="justify" vertical="center"/>
    </xf>
    <xf numFmtId="0" fontId="12" fillId="0" borderId="20" xfId="0" applyFont="1" applyBorder="1" applyAlignment="1">
      <alignment horizontal="justify" vertical="top" wrapText="1"/>
    </xf>
    <xf numFmtId="0" fontId="12" fillId="0" borderId="2" xfId="0" applyFont="1" applyBorder="1" applyAlignment="1">
      <alignment horizontal="justify" vertical="top" wrapText="1"/>
    </xf>
    <xf numFmtId="0" fontId="12" fillId="0" borderId="18" xfId="0" applyFont="1" applyBorder="1" applyAlignment="1">
      <alignment horizontal="justify" vertical="top" wrapText="1"/>
    </xf>
    <xf numFmtId="0" fontId="12" fillId="0" borderId="20" xfId="0" applyFont="1" applyBorder="1" applyAlignment="1">
      <alignment horizontal="left" vertical="center" wrapText="1"/>
    </xf>
    <xf numFmtId="0" fontId="12" fillId="0" borderId="2" xfId="0" applyFont="1" applyBorder="1" applyAlignment="1">
      <alignment horizontal="left" vertical="center" wrapText="1"/>
    </xf>
    <xf numFmtId="0" fontId="12" fillId="0" borderId="18" xfId="0" applyFont="1" applyBorder="1" applyAlignment="1">
      <alignment horizontal="left" vertical="center" wrapText="1"/>
    </xf>
    <xf numFmtId="0" fontId="9" fillId="4" borderId="2" xfId="50" applyFont="1" applyFill="1" applyBorder="1" applyAlignment="1">
      <alignment horizontal="left" vertical="center" wrapText="1"/>
    </xf>
    <xf numFmtId="0" fontId="9" fillId="4" borderId="18" xfId="50" applyFont="1" applyFill="1" applyBorder="1" applyAlignment="1">
      <alignment horizontal="left" vertical="center" wrapText="1"/>
    </xf>
    <xf numFmtId="0" fontId="9" fillId="4" borderId="21" xfId="50" applyFont="1" applyFill="1" applyBorder="1" applyAlignment="1">
      <alignment horizontal="left" vertical="center" wrapText="1"/>
    </xf>
    <xf numFmtId="0" fontId="9" fillId="4" borderId="16" xfId="50" applyFont="1" applyFill="1" applyBorder="1" applyAlignment="1">
      <alignment horizontal="left" vertical="center" wrapText="1"/>
    </xf>
    <xf numFmtId="0" fontId="9" fillId="4" borderId="22" xfId="50" applyFont="1" applyFill="1" applyBorder="1" applyAlignment="1">
      <alignment horizontal="left" vertical="center" wrapText="1"/>
    </xf>
    <xf numFmtId="0" fontId="12" fillId="0" borderId="21" xfId="0" applyFont="1" applyBorder="1" applyAlignment="1">
      <alignment horizontal="left" vertical="center" wrapText="1"/>
    </xf>
    <xf numFmtId="0" fontId="12" fillId="0" borderId="22" xfId="0" applyFont="1" applyBorder="1" applyAlignment="1">
      <alignment horizontal="left" vertical="center" wrapText="1"/>
    </xf>
    <xf numFmtId="0" fontId="9" fillId="4" borderId="23" xfId="50" applyFont="1" applyFill="1" applyBorder="1" applyAlignment="1">
      <alignment horizontal="center" vertical="center"/>
    </xf>
    <xf numFmtId="0" fontId="9" fillId="4" borderId="24" xfId="50" applyFont="1" applyFill="1" applyBorder="1" applyAlignment="1">
      <alignment horizontal="center" vertical="center"/>
    </xf>
    <xf numFmtId="0" fontId="9" fillId="4" borderId="25" xfId="50" applyFont="1" applyFill="1" applyBorder="1" applyAlignment="1">
      <alignment horizontal="center" vertical="center"/>
    </xf>
    <xf numFmtId="0" fontId="9" fillId="4" borderId="20" xfId="50" applyFont="1" applyFill="1" applyBorder="1" applyAlignment="1">
      <alignment horizontal="center" vertical="center"/>
    </xf>
    <xf numFmtId="0" fontId="12" fillId="0" borderId="3" xfId="0" applyFont="1" applyBorder="1" applyAlignment="1">
      <alignment horizontal="center" vertical="center" wrapText="1"/>
    </xf>
    <xf numFmtId="0" fontId="12" fillId="0" borderId="2" xfId="0" applyFont="1" applyBorder="1" applyAlignment="1">
      <alignment horizontal="center" vertical="center" wrapText="1"/>
    </xf>
    <xf numFmtId="0" fontId="12" fillId="0" borderId="2" xfId="0" applyFont="1" applyBorder="1" applyAlignment="1">
      <alignment horizontal="center" vertical="center"/>
    </xf>
    <xf numFmtId="0" fontId="12" fillId="0" borderId="20" xfId="0" applyFont="1" applyBorder="1" applyAlignment="1">
      <alignment horizontal="center" vertical="center"/>
    </xf>
    <xf numFmtId="0" fontId="12" fillId="0" borderId="2" xfId="0" applyFont="1" applyBorder="1" applyAlignment="1">
      <alignment horizontal="left" vertical="center"/>
    </xf>
    <xf numFmtId="0" fontId="12" fillId="0" borderId="18" xfId="0" applyFont="1" applyBorder="1" applyAlignment="1">
      <alignment horizontal="left" vertical="center"/>
    </xf>
    <xf numFmtId="0" fontId="12" fillId="0" borderId="15" xfId="0" applyFont="1" applyBorder="1" applyAlignment="1">
      <alignment horizontal="center" vertical="center" wrapText="1"/>
    </xf>
    <xf numFmtId="0" fontId="12" fillId="0" borderId="16" xfId="0" applyFont="1" applyBorder="1" applyAlignment="1">
      <alignment horizontal="center" vertical="center" wrapText="1"/>
    </xf>
    <xf numFmtId="0" fontId="12" fillId="0" borderId="22" xfId="0" applyFont="1" applyBorder="1" applyAlignment="1">
      <alignment horizontal="center" vertical="center" wrapText="1"/>
    </xf>
    <xf numFmtId="0" fontId="23" fillId="0" borderId="20" xfId="0" applyFont="1" applyBorder="1" applyAlignment="1">
      <alignment horizontal="left" vertical="center"/>
    </xf>
    <xf numFmtId="0" fontId="23" fillId="0" borderId="2" xfId="0" applyFont="1" applyBorder="1" applyAlignment="1">
      <alignment horizontal="left" vertical="center"/>
    </xf>
    <xf numFmtId="0" fontId="23" fillId="0" borderId="18" xfId="0" applyFont="1" applyBorder="1" applyAlignment="1">
      <alignment horizontal="left" vertical="center"/>
    </xf>
    <xf numFmtId="0" fontId="12" fillId="0" borderId="20" xfId="0" applyFont="1" applyBorder="1" applyAlignment="1">
      <alignment horizontal="left" vertical="center"/>
    </xf>
    <xf numFmtId="0" fontId="12" fillId="0" borderId="26" xfId="50" applyFont="1" applyBorder="1" applyAlignment="1">
      <alignment horizontal="left" vertical="center" wrapText="1"/>
    </xf>
    <xf numFmtId="0" fontId="12" fillId="0" borderId="27" xfId="50" applyFont="1" applyBorder="1" applyAlignment="1">
      <alignment horizontal="left" vertical="center" wrapText="1"/>
    </xf>
    <xf numFmtId="0" fontId="12" fillId="0" borderId="13" xfId="50" applyFont="1" applyBorder="1" applyAlignment="1">
      <alignment horizontal="left" vertical="center" wrapText="1"/>
    </xf>
    <xf numFmtId="0" fontId="12" fillId="0" borderId="23" xfId="0" applyFont="1" applyBorder="1" applyAlignment="1">
      <alignment horizontal="center" vertical="center" wrapText="1"/>
    </xf>
    <xf numFmtId="0" fontId="12" fillId="0" borderId="24" xfId="0" applyFont="1" applyBorder="1" applyAlignment="1">
      <alignment horizontal="center" vertical="center" wrapText="1"/>
    </xf>
    <xf numFmtId="0" fontId="12" fillId="0" borderId="25" xfId="0" applyFont="1" applyBorder="1" applyAlignment="1">
      <alignment horizontal="center" vertical="center" wrapText="1"/>
    </xf>
    <xf numFmtId="0" fontId="12" fillId="4" borderId="23" xfId="50" applyFont="1" applyFill="1" applyBorder="1" applyAlignment="1">
      <alignment horizontal="center" vertical="center"/>
    </xf>
    <xf numFmtId="0" fontId="12" fillId="4" borderId="2" xfId="50" applyFont="1" applyFill="1" applyBorder="1" applyAlignment="1">
      <alignment horizontal="left" vertical="center" wrapText="1"/>
    </xf>
    <xf numFmtId="0" fontId="12" fillId="4" borderId="18" xfId="50" applyFont="1" applyFill="1" applyBorder="1" applyAlignment="1">
      <alignment horizontal="left" vertical="center" wrapText="1"/>
    </xf>
    <xf numFmtId="0" fontId="12" fillId="4" borderId="24" xfId="50" applyFont="1" applyFill="1" applyBorder="1" applyAlignment="1">
      <alignment horizontal="center" vertical="center"/>
    </xf>
    <xf numFmtId="0" fontId="12" fillId="4" borderId="21" xfId="50" applyFont="1" applyFill="1" applyBorder="1" applyAlignment="1">
      <alignment horizontal="left" vertical="center" wrapText="1"/>
    </xf>
    <xf numFmtId="0" fontId="12" fillId="4" borderId="16" xfId="50" applyFont="1" applyFill="1" applyBorder="1" applyAlignment="1">
      <alignment horizontal="left" vertical="center" wrapText="1"/>
    </xf>
    <xf numFmtId="0" fontId="12" fillId="4" borderId="22" xfId="50" applyFont="1" applyFill="1" applyBorder="1" applyAlignment="1">
      <alignment horizontal="left" vertical="center" wrapText="1"/>
    </xf>
    <xf numFmtId="0" fontId="12" fillId="4" borderId="25" xfId="50" applyFont="1" applyFill="1" applyBorder="1" applyAlignment="1">
      <alignment horizontal="center" vertical="center"/>
    </xf>
    <xf numFmtId="0" fontId="12" fillId="4" borderId="20" xfId="50" applyFont="1" applyFill="1" applyBorder="1" applyAlignment="1">
      <alignment horizontal="center" vertical="center"/>
    </xf>
    <xf numFmtId="0" fontId="9" fillId="0" borderId="0" xfId="0" applyFont="1" applyAlignment="1">
      <alignment horizontal="center" vertical="center" wrapText="1"/>
    </xf>
    <xf numFmtId="0" fontId="9" fillId="0" borderId="0" xfId="0" applyFont="1" applyAlignment="1">
      <alignment horizontal="center" vertical="center"/>
    </xf>
    <xf numFmtId="0" fontId="9" fillId="0" borderId="0" xfId="0" applyFont="1" applyAlignment="1">
      <alignment vertical="center"/>
    </xf>
    <xf numFmtId="0" fontId="0" fillId="0" borderId="0" xfId="0" applyAlignment="1"/>
    <xf numFmtId="0" fontId="12" fillId="0" borderId="0" xfId="0" applyFont="1" applyAlignment="1">
      <alignment horizontal="left" vertical="center"/>
    </xf>
    <xf numFmtId="0" fontId="26" fillId="0" borderId="28" xfId="0" applyFont="1" applyBorder="1" applyAlignment="1">
      <alignment horizontal="center" vertical="center"/>
    </xf>
    <xf numFmtId="0" fontId="26" fillId="0" borderId="14" xfId="0" applyFont="1" applyBorder="1" applyAlignment="1">
      <alignment horizontal="center" vertical="center"/>
    </xf>
    <xf numFmtId="0" fontId="27" fillId="0" borderId="20" xfId="0" applyFont="1" applyBorder="1" applyAlignment="1">
      <alignment horizontal="center" vertical="center"/>
    </xf>
    <xf numFmtId="0" fontId="27" fillId="0" borderId="2" xfId="0" applyFont="1" applyBorder="1" applyAlignment="1">
      <alignment horizontal="center" vertical="center"/>
    </xf>
    <xf numFmtId="0" fontId="12" fillId="0" borderId="18" xfId="0" applyFont="1" applyBorder="1" applyAlignment="1">
      <alignment horizontal="center" vertical="center"/>
    </xf>
    <xf numFmtId="0" fontId="12" fillId="0" borderId="18" xfId="0" applyFont="1" applyBorder="1" applyAlignment="1">
      <alignment horizontal="center" vertical="center" wrapText="1"/>
    </xf>
    <xf numFmtId="0" fontId="9" fillId="0" borderId="20" xfId="0" applyFont="1" applyBorder="1" applyAlignment="1">
      <alignment horizontal="center" vertical="center" wrapText="1"/>
    </xf>
    <xf numFmtId="0" fontId="9" fillId="4" borderId="2" xfId="0" applyFont="1" applyFill="1" applyBorder="1" applyAlignment="1">
      <alignment horizontal="center" vertical="center" wrapText="1"/>
    </xf>
    <xf numFmtId="0" fontId="9" fillId="4" borderId="18" xfId="0" applyFont="1" applyFill="1" applyBorder="1" applyAlignment="1">
      <alignment horizontal="center" vertical="center" wrapText="1"/>
    </xf>
    <xf numFmtId="0" fontId="9" fillId="0" borderId="20" xfId="0" applyFont="1" applyBorder="1" applyAlignment="1">
      <alignment horizontal="center" vertical="center"/>
    </xf>
    <xf numFmtId="0" fontId="9" fillId="4" borderId="2" xfId="0" applyFont="1" applyFill="1" applyBorder="1" applyAlignment="1">
      <alignment horizontal="center" vertical="center"/>
    </xf>
    <xf numFmtId="0" fontId="9" fillId="4" borderId="18" xfId="0" applyFont="1" applyFill="1" applyBorder="1" applyAlignment="1">
      <alignment horizontal="center" vertical="center"/>
    </xf>
    <xf numFmtId="0" fontId="9" fillId="0" borderId="2" xfId="0" applyFont="1" applyFill="1" applyBorder="1" applyAlignment="1">
      <alignment horizontal="center" vertical="center"/>
    </xf>
    <xf numFmtId="0" fontId="9" fillId="0" borderId="26" xfId="0" applyFont="1" applyBorder="1" applyAlignment="1">
      <alignment horizontal="center" vertical="center"/>
    </xf>
    <xf numFmtId="0" fontId="9" fillId="0" borderId="27" xfId="0" applyFont="1" applyBorder="1" applyAlignment="1">
      <alignment horizontal="center" vertical="center"/>
    </xf>
    <xf numFmtId="0" fontId="9" fillId="0" borderId="27" xfId="0" applyFont="1" applyBorder="1" applyAlignment="1">
      <alignment vertical="center"/>
    </xf>
    <xf numFmtId="0" fontId="9" fillId="0" borderId="13" xfId="0" applyFont="1" applyBorder="1" applyAlignment="1">
      <alignment vertical="center"/>
    </xf>
    <xf numFmtId="0" fontId="0" fillId="0" borderId="0" xfId="51" applyFill="1">
      <alignment vertical="center"/>
    </xf>
    <xf numFmtId="0" fontId="0" fillId="0" borderId="0" xfId="51" applyFont="1">
      <alignment vertical="center"/>
    </xf>
    <xf numFmtId="0" fontId="0" fillId="0" borderId="0" xfId="51">
      <alignment vertical="center"/>
    </xf>
    <xf numFmtId="0" fontId="2" fillId="0" borderId="0" xfId="53" applyFont="1" applyAlignment="1"/>
    <xf numFmtId="0" fontId="2" fillId="0" borderId="0" xfId="52" applyFont="1" applyBorder="1" applyAlignment="1">
      <alignment horizontal="left"/>
    </xf>
    <xf numFmtId="0" fontId="0" fillId="0" borderId="0" xfId="51" applyFont="1" applyAlignment="1"/>
    <xf numFmtId="0" fontId="28" fillId="0" borderId="29" xfId="50" applyFont="1" applyBorder="1" applyAlignment="1">
      <alignment horizontal="center" vertical="center" wrapText="1"/>
    </xf>
    <xf numFmtId="0" fontId="28" fillId="0" borderId="30" xfId="50" applyFont="1" applyBorder="1" applyAlignment="1">
      <alignment horizontal="center" vertical="center" wrapText="1"/>
    </xf>
    <xf numFmtId="0" fontId="29" fillId="0" borderId="31" xfId="50" applyFont="1" applyFill="1" applyBorder="1" applyAlignment="1">
      <alignment horizontal="center" vertical="center" wrapText="1"/>
    </xf>
    <xf numFmtId="0" fontId="29" fillId="0" borderId="11" xfId="50" applyFont="1" applyFill="1" applyBorder="1" applyAlignment="1">
      <alignment horizontal="center" vertical="center" wrapText="1"/>
    </xf>
    <xf numFmtId="0" fontId="0" fillId="0" borderId="32" xfId="51" applyFont="1" applyBorder="1">
      <alignment vertical="center"/>
    </xf>
    <xf numFmtId="0" fontId="0" fillId="0" borderId="0" xfId="51" applyFont="1" applyBorder="1">
      <alignment vertical="center"/>
    </xf>
    <xf numFmtId="0" fontId="30" fillId="0" borderId="32" xfId="51" applyFont="1" applyBorder="1" applyAlignment="1">
      <alignment vertical="center"/>
    </xf>
    <xf numFmtId="0" fontId="30" fillId="0" borderId="0" xfId="51" applyFont="1" applyBorder="1" applyAlignment="1">
      <alignment vertical="center"/>
    </xf>
    <xf numFmtId="0" fontId="0" fillId="0" borderId="32" xfId="51" applyFont="1" applyBorder="1" applyAlignment="1"/>
    <xf numFmtId="0" fontId="0" fillId="0" borderId="0" xfId="51" applyFont="1" applyBorder="1" applyAlignment="1"/>
    <xf numFmtId="0" fontId="0" fillId="0" borderId="32" xfId="51" applyFont="1" applyFill="1" applyBorder="1">
      <alignment vertical="center"/>
    </xf>
    <xf numFmtId="0" fontId="0" fillId="0" borderId="0" xfId="51" applyFont="1" applyFill="1" applyBorder="1">
      <alignment vertical="center"/>
    </xf>
    <xf numFmtId="0" fontId="0" fillId="0" borderId="33" xfId="51" applyFont="1" applyBorder="1">
      <alignment vertical="center"/>
    </xf>
    <xf numFmtId="0" fontId="0" fillId="0" borderId="34" xfId="51" applyFont="1" applyBorder="1">
      <alignment vertical="center"/>
    </xf>
    <xf numFmtId="0" fontId="0" fillId="0" borderId="0" xfId="51" applyAlignment="1"/>
    <xf numFmtId="0" fontId="2" fillId="0" borderId="0" xfId="52" applyFont="1" applyFill="1" applyBorder="1" applyAlignment="1">
      <alignment horizontal="left"/>
    </xf>
    <xf numFmtId="0" fontId="0" fillId="0" borderId="0" xfId="51" applyFont="1" applyAlignment="1">
      <alignment horizontal="center" vertical="center"/>
    </xf>
    <xf numFmtId="0" fontId="2" fillId="0" borderId="35" xfId="50" applyFont="1" applyBorder="1" applyAlignment="1">
      <alignment horizontal="center" vertical="center" wrapText="1"/>
    </xf>
    <xf numFmtId="0" fontId="2" fillId="0" borderId="36" xfId="50" applyFont="1" applyBorder="1" applyAlignment="1">
      <alignment horizontal="center" vertical="center" wrapText="1"/>
    </xf>
    <xf numFmtId="0" fontId="31" fillId="0" borderId="0" xfId="51" applyFont="1" applyBorder="1" applyAlignment="1"/>
    <xf numFmtId="0" fontId="0" fillId="0" borderId="37" xfId="51" applyFont="1" applyBorder="1">
      <alignment vertical="center"/>
    </xf>
    <xf numFmtId="0" fontId="0" fillId="0" borderId="0" xfId="51" applyBorder="1" applyAlignment="1"/>
    <xf numFmtId="0" fontId="30" fillId="0" borderId="37" xfId="51" applyFont="1" applyBorder="1" applyAlignment="1">
      <alignment vertical="center"/>
    </xf>
    <xf numFmtId="0" fontId="0" fillId="0" borderId="37" xfId="51" applyFont="1" applyFill="1" applyBorder="1">
      <alignment vertical="center"/>
    </xf>
    <xf numFmtId="0" fontId="0" fillId="0" borderId="38" xfId="51" applyFont="1" applyBorder="1">
      <alignment vertical="center"/>
    </xf>
    <xf numFmtId="0" fontId="0" fillId="0" borderId="2" xfId="0" applyBorder="1" applyAlignment="1">
      <alignment vertical="center"/>
    </xf>
    <xf numFmtId="0" fontId="0" fillId="0" borderId="39" xfId="0" applyBorder="1" applyAlignment="1">
      <alignment vertical="center"/>
    </xf>
    <xf numFmtId="0" fontId="0" fillId="0" borderId="40" xfId="0" applyBorder="1" applyAlignment="1">
      <alignment vertical="center"/>
    </xf>
    <xf numFmtId="0" fontId="9" fillId="0" borderId="0" xfId="0" applyNumberFormat="1" applyFont="1" applyFill="1" applyAlignment="1" applyProtection="1">
      <alignment horizontal="center" vertical="center" wrapText="1"/>
    </xf>
    <xf numFmtId="0" fontId="0" fillId="0" borderId="41" xfId="0" applyBorder="1" applyAlignment="1">
      <alignment vertical="center"/>
    </xf>
    <xf numFmtId="0" fontId="0" fillId="0" borderId="41" xfId="0" applyBorder="1">
      <alignment vertical="center"/>
    </xf>
    <xf numFmtId="0" fontId="0" fillId="0" borderId="40" xfId="0" applyBorder="1">
      <alignment vertical="center"/>
    </xf>
    <xf numFmtId="0" fontId="0" fillId="0" borderId="39" xfId="0" applyBorder="1">
      <alignment vertical="center"/>
    </xf>
    <xf numFmtId="0" fontId="12" fillId="0" borderId="2" xfId="0" applyFont="1" applyFill="1" applyBorder="1" applyAlignment="1">
      <alignment horizontal="center" vertical="center"/>
    </xf>
    <xf numFmtId="0" fontId="0" fillId="0" borderId="42" xfId="0" applyBorder="1">
      <alignment vertical="center"/>
    </xf>
    <xf numFmtId="0" fontId="0" fillId="0" borderId="0" xfId="0" applyBorder="1" applyAlignment="1">
      <alignment horizontal="center" vertical="center"/>
    </xf>
    <xf numFmtId="0" fontId="0" fillId="0" borderId="0" xfId="0" applyBorder="1">
      <alignment vertical="center"/>
    </xf>
    <xf numFmtId="0" fontId="0" fillId="0" borderId="41" xfId="0" applyBorder="1" applyAlignment="1">
      <alignment horizontal="center" vertical="center"/>
    </xf>
    <xf numFmtId="0" fontId="0" fillId="0" borderId="2" xfId="0" applyBorder="1">
      <alignment vertical="center"/>
    </xf>
    <xf numFmtId="0" fontId="0" fillId="0" borderId="5" xfId="0" applyBorder="1" applyAlignment="1">
      <alignment horizontal="center" vertical="center"/>
    </xf>
    <xf numFmtId="0" fontId="32" fillId="0" borderId="3" xfId="0" applyFont="1" applyBorder="1">
      <alignment vertical="center"/>
    </xf>
    <xf numFmtId="0" fontId="32" fillId="0" borderId="4" xfId="0" applyFont="1" applyBorder="1">
      <alignment vertical="center"/>
    </xf>
    <xf numFmtId="0" fontId="32" fillId="0" borderId="5" xfId="0" applyFont="1" applyBorder="1">
      <alignment vertical="center"/>
    </xf>
    <xf numFmtId="0" fontId="32" fillId="0" borderId="0" xfId="0" applyFont="1" applyBorder="1">
      <alignment vertical="center"/>
    </xf>
    <xf numFmtId="0" fontId="32" fillId="0" borderId="3" xfId="0" applyFont="1" applyFill="1" applyBorder="1" applyAlignment="1">
      <alignment horizontal="left" vertical="center"/>
    </xf>
    <xf numFmtId="0" fontId="32" fillId="0" borderId="0" xfId="0" applyFont="1">
      <alignment vertical="center"/>
    </xf>
    <xf numFmtId="0" fontId="32" fillId="0" borderId="4" xfId="0" applyFont="1" applyFill="1" applyBorder="1" applyAlignment="1">
      <alignment horizontal="left" vertical="center"/>
    </xf>
    <xf numFmtId="0" fontId="32" fillId="0" borderId="0" xfId="0" applyFont="1" applyFill="1" applyBorder="1" applyAlignment="1">
      <alignment horizontal="left" vertical="center"/>
    </xf>
    <xf numFmtId="0" fontId="32" fillId="0" borderId="0" xfId="0" applyFont="1" applyFill="1" applyAlignment="1">
      <alignment horizontal="left" vertical="center"/>
    </xf>
    <xf numFmtId="0" fontId="32" fillId="0" borderId="5" xfId="0" applyFont="1" applyFill="1" applyBorder="1" applyAlignment="1">
      <alignment horizontal="left" vertical="center"/>
    </xf>
    <xf numFmtId="0" fontId="32" fillId="0" borderId="5" xfId="0" applyFont="1" applyFill="1" applyBorder="1" applyAlignment="1">
      <alignment horizontal="left" vertical="center" wrapText="1"/>
    </xf>
    <xf numFmtId="0" fontId="12" fillId="0" borderId="3" xfId="49" applyFont="1" applyBorder="1" applyAlignment="1">
      <alignment vertical="center" wrapText="1"/>
    </xf>
    <xf numFmtId="0" fontId="12" fillId="0" borderId="4" xfId="49" applyFont="1" applyBorder="1" applyAlignment="1">
      <alignment vertical="center" wrapText="1"/>
    </xf>
    <xf numFmtId="0" fontId="12" fillId="0" borderId="5" xfId="49" applyFont="1" applyBorder="1" applyAlignment="1">
      <alignment vertical="center" wrapText="1"/>
    </xf>
    <xf numFmtId="0" fontId="0" fillId="0" borderId="0" xfId="0" applyFont="1">
      <alignment vertical="center"/>
    </xf>
    <xf numFmtId="0" fontId="0" fillId="0" borderId="0" xfId="0" applyFont="1" applyFill="1" applyBorder="1">
      <alignment vertical="center"/>
    </xf>
    <xf numFmtId="0" fontId="0" fillId="0" borderId="1" xfId="0" applyBorder="1">
      <alignment vertical="center"/>
    </xf>
    <xf numFmtId="0" fontId="9" fillId="0" borderId="0" xfId="0" applyNumberFormat="1" applyFont="1" applyFill="1" applyBorder="1" applyAlignment="1" applyProtection="1">
      <alignment horizontal="center" vertical="center" wrapText="1"/>
    </xf>
    <xf numFmtId="0" fontId="33" fillId="0" borderId="3" xfId="0" applyFont="1" applyBorder="1">
      <alignment vertical="center"/>
    </xf>
    <xf numFmtId="0" fontId="33" fillId="0" borderId="5" xfId="0" applyFont="1" applyBorder="1">
      <alignment vertical="center"/>
    </xf>
    <xf numFmtId="0" fontId="12" fillId="0" borderId="0" xfId="49" applyFont="1" applyBorder="1" applyAlignment="1">
      <alignment vertical="center" wrapText="1"/>
    </xf>
  </cellXfs>
  <cellStyles count="54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常规 11" xfId="49"/>
    <cellStyle name="常规 2" xfId="50"/>
    <cellStyle name="常规 4" xfId="51"/>
    <cellStyle name="常规_０８版Ｂ系列电机部件外协受入检查规格" xfId="52"/>
    <cellStyle name="常规_受入（模板）" xfId="53"/>
  </cellStyles>
  <dxfs count="1">
    <dxf>
      <font>
        <color rgb="FF9C0006"/>
      </font>
      <fill>
        <patternFill patternType="solid"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cellimages.xml.rels><?xml version="1.0" encoding="UTF-8" standalone="yes"?>
<Relationships xmlns="http://schemas.openxmlformats.org/package/2006/relationships"><Relationship Id="rId4" Type="http://schemas.openxmlformats.org/officeDocument/2006/relationships/image" Target="media/image5.png"/><Relationship Id="rId3" Type="http://schemas.openxmlformats.org/officeDocument/2006/relationships/image" Target="media/image4.jpeg"/><Relationship Id="rId2" Type="http://schemas.openxmlformats.org/officeDocument/2006/relationships/image" Target="media/image3.jpeg"/><Relationship Id="rId1" Type="http://schemas.openxmlformats.org/officeDocument/2006/relationships/image" Target="media/image2.jpeg"/></Relationships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worksheet" Target="worksheets/sheet9.xml"/><Relationship Id="rId8" Type="http://schemas.openxmlformats.org/officeDocument/2006/relationships/worksheet" Target="worksheets/sheet8.xml"/><Relationship Id="rId7" Type="http://schemas.openxmlformats.org/officeDocument/2006/relationships/worksheet" Target="worksheets/sheet7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5" Type="http://schemas.openxmlformats.org/officeDocument/2006/relationships/styles" Target="styles.xml"/><Relationship Id="rId14" Type="http://www.wps.cn/officeDocument/2020/cellImage" Target="cellimages.xml"/><Relationship Id="rId13" Type="http://schemas.openxmlformats.org/officeDocument/2006/relationships/sharedStrings" Target="sharedStrings.xml"/><Relationship Id="rId12" Type="http://schemas.openxmlformats.org/officeDocument/2006/relationships/theme" Target="theme/theme1.xml"/><Relationship Id="rId11" Type="http://schemas.openxmlformats.org/officeDocument/2006/relationships/worksheet" Target="worksheets/sheet11.xml"/><Relationship Id="rId10" Type="http://schemas.openxmlformats.org/officeDocument/2006/relationships/worksheet" Target="worksheets/sheet10.xml"/><Relationship Id="rId1" Type="http://schemas.openxmlformats.org/officeDocument/2006/relationships/worksheet" Target="worksheets/shee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12</xdr:col>
      <xdr:colOff>150495</xdr:colOff>
      <xdr:row>22</xdr:row>
      <xdr:rowOff>37465</xdr:rowOff>
    </xdr:from>
    <xdr:to>
      <xdr:col>14</xdr:col>
      <xdr:colOff>289287</xdr:colOff>
      <xdr:row>24</xdr:row>
      <xdr:rowOff>32133</xdr:rowOff>
    </xdr:to>
    <xdr:sp>
      <xdr:nvSpPr>
        <xdr:cNvPr id="4" name="圆角矩形 3"/>
        <xdr:cNvSpPr/>
      </xdr:nvSpPr>
      <xdr:spPr>
        <a:xfrm>
          <a:off x="7642860" y="4333240"/>
          <a:ext cx="1496060" cy="356235"/>
        </a:xfrm>
        <a:prstGeom prst="roundRect">
          <a:avLst/>
        </a:prstGeom>
        <a:solidFill>
          <a:schemeClr val="accent1">
            <a:lumMod val="40000"/>
            <a:lumOff val="60000"/>
          </a:schemeClr>
        </a:solidFill>
        <a:ln w="9525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lIns="0" tIns="0" rIns="0" bIns="0" rtlCol="0" anchor="ctr"/>
        <a:lstStyle/>
        <a:p>
          <a:pPr algn="ctr"/>
          <a:r>
            <a:rPr lang="zh-CN" altLang="en-US">
              <a:effectLst/>
            </a:rPr>
            <a:t>出纳（</a:t>
          </a:r>
          <a:r>
            <a:rPr lang="en-US" altLang="zh-CN">
              <a:effectLst/>
            </a:rPr>
            <a:t>1</a:t>
          </a:r>
          <a:r>
            <a:rPr lang="zh-CN" altLang="en-US">
              <a:effectLst/>
            </a:rPr>
            <a:t>人）</a:t>
          </a:r>
          <a:endParaRPr lang="zh-CN" altLang="zh-CN">
            <a:effectLst/>
          </a:endParaRPr>
        </a:p>
      </xdr:txBody>
    </xdr:sp>
    <xdr:clientData/>
  </xdr:twoCellAnchor>
  <xdr:twoCellAnchor>
    <xdr:from>
      <xdr:col>12</xdr:col>
      <xdr:colOff>51435</xdr:colOff>
      <xdr:row>29</xdr:row>
      <xdr:rowOff>17145</xdr:rowOff>
    </xdr:from>
    <xdr:to>
      <xdr:col>14</xdr:col>
      <xdr:colOff>400050</xdr:colOff>
      <xdr:row>43</xdr:row>
      <xdr:rowOff>148590</xdr:rowOff>
    </xdr:to>
    <xdr:sp>
      <xdr:nvSpPr>
        <xdr:cNvPr id="5" name="圆角矩形 4"/>
        <xdr:cNvSpPr/>
      </xdr:nvSpPr>
      <xdr:spPr>
        <a:xfrm>
          <a:off x="7543800" y="5579745"/>
          <a:ext cx="1706245" cy="2665095"/>
        </a:xfrm>
        <a:prstGeom prst="roundRect">
          <a:avLst/>
        </a:prstGeom>
        <a:ln w="12700">
          <a:solidFill>
            <a:schemeClr val="tx2">
              <a:lumMod val="60000"/>
              <a:lumOff val="40000"/>
            </a:schemeClr>
          </a:solidFill>
        </a:ln>
      </xdr:spPr>
      <xdr:style>
        <a:lnRef idx="2">
          <a:schemeClr val="accent3"/>
        </a:lnRef>
        <a:fillRef idx="1">
          <a:schemeClr val="lt1"/>
        </a:fillRef>
        <a:effectRef idx="0">
          <a:schemeClr val="accent3"/>
        </a:effectRef>
        <a:fontRef idx="minor">
          <a:schemeClr val="dk1"/>
        </a:fontRef>
      </xdr:style>
      <xdr:txBody>
        <a:bodyPr vertOverflow="clip" horzOverflow="clip" lIns="0" tIns="0" rIns="0" bIns="0" rtlCol="0" anchor="t"/>
        <a:lstStyle/>
        <a:p>
          <a:pPr marL="0" indent="0" algn="l"/>
          <a:r>
            <a:rPr lang="zh-CN" altLang="en-US" sz="1050">
              <a:solidFill>
                <a:sysClr val="windowText" lastClr="000000"/>
              </a:solidFill>
              <a:latin typeface="+mn-ea"/>
              <a:ea typeface="+mn-ea"/>
              <a:cs typeface="+mn-cs"/>
            </a:rPr>
            <a:t> 主要职责：</a:t>
          </a:r>
          <a:endParaRPr lang="en-US" altLang="zh-CN" sz="1050">
            <a:solidFill>
              <a:sysClr val="windowText" lastClr="000000"/>
            </a:solidFill>
            <a:latin typeface="+mn-ea"/>
            <a:ea typeface="+mn-ea"/>
            <a:cs typeface="+mn-cs"/>
          </a:endParaRPr>
        </a:p>
        <a:p>
          <a:pPr rtl="0"/>
          <a:r>
            <a:rPr lang="en-US" altLang="zh-CN" sz="1100" b="0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1</a:t>
          </a:r>
          <a:r>
            <a:rPr lang="zh-CN" altLang="zh-CN" sz="1100" b="0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、资金日常收付款管理；</a:t>
          </a:r>
          <a:endParaRPr lang="zh-CN" altLang="zh-CN" sz="1100" b="0" i="0" baseline="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rtl="0"/>
          <a:r>
            <a:rPr lang="en-US" altLang="zh-CN" sz="1100" b="0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2</a:t>
          </a:r>
          <a:r>
            <a:rPr lang="zh-CN" altLang="en-US" sz="1100" b="0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、资金报表的整理与填报；</a:t>
          </a:r>
          <a:endParaRPr lang="zh-CN" altLang="en-US" sz="1100" b="0" i="0" baseline="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rtl="0"/>
          <a:r>
            <a:rPr lang="en-US" altLang="en-US" sz="1050">
              <a:solidFill>
                <a:sysClr val="windowText" lastClr="000000"/>
              </a:solidFill>
              <a:latin typeface="+mn-lt"/>
              <a:ea typeface="+mn-ea"/>
              <a:cs typeface="+mn-cs"/>
            </a:rPr>
            <a:t>3</a:t>
          </a:r>
          <a:r>
            <a:rPr lang="zh-CN" altLang="en-US" sz="1050">
              <a:solidFill>
                <a:sysClr val="windowText" lastClr="000000"/>
              </a:solidFill>
              <a:latin typeface="+mn-lt"/>
              <a:ea typeface="+mn-ea"/>
              <a:cs typeface="+mn-cs"/>
            </a:rPr>
            <a:t>、凭证整理与移交；</a:t>
          </a:r>
          <a:endParaRPr lang="zh-CN" altLang="en-US" sz="1050">
            <a:solidFill>
              <a:sysClr val="windowText" lastClr="000000"/>
            </a:solidFill>
            <a:latin typeface="+mn-lt"/>
            <a:ea typeface="+mn-ea"/>
            <a:cs typeface="+mn-cs"/>
          </a:endParaRPr>
        </a:p>
        <a:p>
          <a:pPr rtl="0"/>
          <a:r>
            <a:rPr lang="en-US" altLang="en-US" sz="1050">
              <a:solidFill>
                <a:sysClr val="windowText" lastClr="000000"/>
              </a:solidFill>
              <a:latin typeface="+mn-ea"/>
              <a:ea typeface="+mn-ea"/>
              <a:cs typeface="+mn-cs"/>
            </a:rPr>
            <a:t>4</a:t>
          </a:r>
          <a:r>
            <a:rPr lang="zh-CN" altLang="en-US" sz="1050">
              <a:solidFill>
                <a:sysClr val="windowText" lastClr="000000"/>
              </a:solidFill>
              <a:latin typeface="+mn-ea"/>
              <a:ea typeface="+mn-ea"/>
              <a:cs typeface="+mn-cs"/>
            </a:rPr>
            <a:t>、款项跟踪汇报。</a:t>
          </a:r>
          <a:endParaRPr lang="zh-CN" altLang="en-US" sz="1050">
            <a:solidFill>
              <a:sysClr val="windowText" lastClr="000000"/>
            </a:solidFill>
            <a:latin typeface="+mn-ea"/>
            <a:ea typeface="+mn-ea"/>
            <a:cs typeface="+mn-cs"/>
          </a:endParaRPr>
        </a:p>
        <a:p>
          <a:pPr rtl="0"/>
          <a:endParaRPr lang="zh-CN" altLang="en-US" sz="1050">
            <a:solidFill>
              <a:sysClr val="windowText" lastClr="000000"/>
            </a:solidFill>
            <a:latin typeface="+mn-ea"/>
            <a:ea typeface="+mn-ea"/>
            <a:cs typeface="+mn-cs"/>
          </a:endParaRPr>
        </a:p>
        <a:p>
          <a:pPr rtl="0"/>
          <a:endParaRPr lang="en-US" altLang="en-US" sz="1050">
            <a:solidFill>
              <a:sysClr val="windowText" lastClr="000000"/>
            </a:solidFill>
            <a:latin typeface="+mn-ea"/>
            <a:ea typeface="+mn-ea"/>
            <a:cs typeface="+mn-cs"/>
          </a:endParaRPr>
        </a:p>
      </xdr:txBody>
    </xdr:sp>
    <xdr:clientData/>
  </xdr:twoCellAnchor>
  <xdr:twoCellAnchor>
    <xdr:from>
      <xdr:col>12</xdr:col>
      <xdr:colOff>395468</xdr:colOff>
      <xdr:row>26</xdr:row>
      <xdr:rowOff>18679</xdr:rowOff>
    </xdr:from>
    <xdr:to>
      <xdr:col>14</xdr:col>
      <xdr:colOff>53519</xdr:colOff>
      <xdr:row>27</xdr:row>
      <xdr:rowOff>171449</xdr:rowOff>
    </xdr:to>
    <xdr:sp>
      <xdr:nvSpPr>
        <xdr:cNvPr id="15" name="圆角矩形 14"/>
        <xdr:cNvSpPr/>
      </xdr:nvSpPr>
      <xdr:spPr>
        <a:xfrm>
          <a:off x="7887335" y="5038090"/>
          <a:ext cx="1016000" cy="333375"/>
        </a:xfrm>
        <a:prstGeom prst="roundRect">
          <a:avLst/>
        </a:prstGeom>
        <a:ln w="9525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lIns="0" tIns="0" rIns="0" bIns="0" rtlCol="0" anchor="ctr"/>
        <a:lstStyle>
          <a:defPPr>
            <a:defRPr lang="zh-CN">
              <a:solidFill>
                <a:schemeClr val="dk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pPr marL="0" marR="0" lvl="0" indent="0" algn="ctr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defRPr/>
          </a:pPr>
          <a:r>
            <a:rPr lang="zh-CN" altLang="zh-CN">
              <a:effectLst/>
            </a:rPr>
            <a:t>杨婷</a:t>
          </a:r>
          <a:endParaRPr lang="zh-CN" altLang="zh-CN">
            <a:effectLst/>
          </a:endParaRPr>
        </a:p>
      </xdr:txBody>
    </xdr:sp>
    <xdr:clientData/>
  </xdr:twoCellAnchor>
  <xdr:twoCellAnchor>
    <xdr:from>
      <xdr:col>2</xdr:col>
      <xdr:colOff>44450</xdr:colOff>
      <xdr:row>28</xdr:row>
      <xdr:rowOff>26670</xdr:rowOff>
    </xdr:from>
    <xdr:to>
      <xdr:col>2</xdr:col>
      <xdr:colOff>45085</xdr:colOff>
      <xdr:row>29</xdr:row>
      <xdr:rowOff>19050</xdr:rowOff>
    </xdr:to>
    <xdr:cxnSp>
      <xdr:nvCxnSpPr>
        <xdr:cNvPr id="21" name="直接连接符 20"/>
        <xdr:cNvCxnSpPr>
          <a:stCxn id="11" idx="2"/>
          <a:endCxn id="9" idx="0"/>
        </xdr:cNvCxnSpPr>
      </xdr:nvCxnSpPr>
      <xdr:spPr>
        <a:xfrm>
          <a:off x="1402080" y="5408295"/>
          <a:ext cx="635" cy="173355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13</xdr:col>
      <xdr:colOff>224155</xdr:colOff>
      <xdr:row>27</xdr:row>
      <xdr:rowOff>170815</xdr:rowOff>
    </xdr:from>
    <xdr:to>
      <xdr:col>13</xdr:col>
      <xdr:colOff>226060</xdr:colOff>
      <xdr:row>29</xdr:row>
      <xdr:rowOff>17145</xdr:rowOff>
    </xdr:to>
    <xdr:cxnSp>
      <xdr:nvCxnSpPr>
        <xdr:cNvPr id="23" name="直接连接符 22"/>
        <xdr:cNvCxnSpPr>
          <a:stCxn id="15" idx="2"/>
          <a:endCxn id="5" idx="0"/>
        </xdr:cNvCxnSpPr>
      </xdr:nvCxnSpPr>
      <xdr:spPr>
        <a:xfrm>
          <a:off x="8395335" y="5371465"/>
          <a:ext cx="1905" cy="20828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</xdr:col>
      <xdr:colOff>120650</xdr:colOff>
      <xdr:row>22</xdr:row>
      <xdr:rowOff>69850</xdr:rowOff>
    </xdr:from>
    <xdr:to>
      <xdr:col>6</xdr:col>
      <xdr:colOff>550544</xdr:colOff>
      <xdr:row>24</xdr:row>
      <xdr:rowOff>104299</xdr:rowOff>
    </xdr:to>
    <xdr:sp>
      <xdr:nvSpPr>
        <xdr:cNvPr id="35" name="圆角矩形 34"/>
        <xdr:cNvSpPr/>
      </xdr:nvSpPr>
      <xdr:spPr>
        <a:xfrm>
          <a:off x="2835910" y="4365625"/>
          <a:ext cx="1590675" cy="396240"/>
        </a:xfrm>
        <a:prstGeom prst="roundRect">
          <a:avLst/>
        </a:prstGeom>
        <a:solidFill>
          <a:schemeClr val="accent1">
            <a:lumMod val="40000"/>
            <a:lumOff val="60000"/>
          </a:schemeClr>
        </a:solidFill>
        <a:ln w="9525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lIns="0" tIns="0" rIns="0" bIns="0" rtlCol="0" anchor="ctr"/>
        <a:lstStyle>
          <a:defPPr>
            <a:defRPr lang="zh-CN">
              <a:solidFill>
                <a:schemeClr val="dk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defRPr/>
          </a:pPr>
          <a:r>
            <a:rPr kumimoji="0" lang="zh-CN" altLang="en-US" sz="1100" b="0" i="0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宋体" panose="02010600030101010101" pitchFamily="7" charset="-122"/>
              <a:ea typeface="宋体" panose="02010600030101010101" pitchFamily="7" charset="-122"/>
              <a:cs typeface="+mn-cs"/>
            </a:rPr>
            <a:t>往来会计（</a:t>
          </a:r>
          <a:r>
            <a:rPr kumimoji="0" lang="en-US" altLang="zh-CN" sz="1100" b="0" i="0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宋体" panose="02010600030101010101" pitchFamily="7" charset="-122"/>
              <a:ea typeface="宋体" panose="02010600030101010101" pitchFamily="7" charset="-122"/>
              <a:cs typeface="+mn-cs"/>
            </a:rPr>
            <a:t>2</a:t>
          </a:r>
          <a:r>
            <a:rPr kumimoji="0" lang="zh-CN" altLang="en-US" sz="1100" b="0" i="0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宋体" panose="02010600030101010101" pitchFamily="7" charset="-122"/>
              <a:ea typeface="宋体" panose="02010600030101010101" pitchFamily="7" charset="-122"/>
              <a:cs typeface="+mn-cs"/>
            </a:rPr>
            <a:t>人）</a:t>
          </a:r>
          <a:endParaRPr kumimoji="0" lang="en-US" altLang="zh-CN" sz="11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宋体" panose="02010600030101010101" pitchFamily="7" charset="-122"/>
            <a:ea typeface="宋体" panose="02010600030101010101" pitchFamily="7" charset="-122"/>
            <a:cs typeface="+mn-cs"/>
          </a:endParaRPr>
        </a:p>
      </xdr:txBody>
    </xdr:sp>
    <xdr:clientData/>
  </xdr:twoCellAnchor>
  <xdr:twoCellAnchor>
    <xdr:from>
      <xdr:col>2</xdr:col>
      <xdr:colOff>95250</xdr:colOff>
      <xdr:row>20</xdr:row>
      <xdr:rowOff>165100</xdr:rowOff>
    </xdr:from>
    <xdr:to>
      <xdr:col>2</xdr:col>
      <xdr:colOff>95250</xdr:colOff>
      <xdr:row>22</xdr:row>
      <xdr:rowOff>38100</xdr:rowOff>
    </xdr:to>
    <xdr:cxnSp>
      <xdr:nvCxnSpPr>
        <xdr:cNvPr id="126" name="直接连接符 125"/>
        <xdr:cNvCxnSpPr/>
      </xdr:nvCxnSpPr>
      <xdr:spPr>
        <a:xfrm>
          <a:off x="1452880" y="4098925"/>
          <a:ext cx="0" cy="23495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</xdr:col>
      <xdr:colOff>88900</xdr:colOff>
      <xdr:row>21</xdr:row>
      <xdr:rowOff>6350</xdr:rowOff>
    </xdr:from>
    <xdr:to>
      <xdr:col>13</xdr:col>
      <xdr:colOff>222250</xdr:colOff>
      <xdr:row>21</xdr:row>
      <xdr:rowOff>6350</xdr:rowOff>
    </xdr:to>
    <xdr:cxnSp>
      <xdr:nvCxnSpPr>
        <xdr:cNvPr id="130" name="直接连接符 129"/>
        <xdr:cNvCxnSpPr/>
      </xdr:nvCxnSpPr>
      <xdr:spPr>
        <a:xfrm>
          <a:off x="1446530" y="4121150"/>
          <a:ext cx="6946900" cy="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13</xdr:col>
      <xdr:colOff>219710</xdr:colOff>
      <xdr:row>20</xdr:row>
      <xdr:rowOff>161925</xdr:rowOff>
    </xdr:from>
    <xdr:to>
      <xdr:col>13</xdr:col>
      <xdr:colOff>220345</xdr:colOff>
      <xdr:row>22</xdr:row>
      <xdr:rowOff>37465</xdr:rowOff>
    </xdr:to>
    <xdr:cxnSp>
      <xdr:nvCxnSpPr>
        <xdr:cNvPr id="132" name="直接连接符 131"/>
        <xdr:cNvCxnSpPr>
          <a:endCxn id="4" idx="0"/>
        </xdr:cNvCxnSpPr>
      </xdr:nvCxnSpPr>
      <xdr:spPr>
        <a:xfrm flipH="1">
          <a:off x="8390890" y="4095750"/>
          <a:ext cx="635" cy="23749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13</xdr:col>
      <xdr:colOff>219710</xdr:colOff>
      <xdr:row>24</xdr:row>
      <xdr:rowOff>31750</xdr:rowOff>
    </xdr:from>
    <xdr:to>
      <xdr:col>13</xdr:col>
      <xdr:colOff>224155</xdr:colOff>
      <xdr:row>26</xdr:row>
      <xdr:rowOff>18415</xdr:rowOff>
    </xdr:to>
    <xdr:cxnSp>
      <xdr:nvCxnSpPr>
        <xdr:cNvPr id="151" name="直接连接符 150"/>
        <xdr:cNvCxnSpPr>
          <a:stCxn id="4" idx="2"/>
          <a:endCxn id="15" idx="0"/>
        </xdr:cNvCxnSpPr>
      </xdr:nvCxnSpPr>
      <xdr:spPr>
        <a:xfrm>
          <a:off x="8390890" y="4689475"/>
          <a:ext cx="4445" cy="348615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175260</xdr:colOff>
      <xdr:row>25</xdr:row>
      <xdr:rowOff>11430</xdr:rowOff>
    </xdr:from>
    <xdr:to>
      <xdr:col>3</xdr:col>
      <xdr:colOff>191135</xdr:colOff>
      <xdr:row>26</xdr:row>
      <xdr:rowOff>175895</xdr:rowOff>
    </xdr:to>
    <xdr:cxnSp>
      <xdr:nvCxnSpPr>
        <xdr:cNvPr id="157" name="直接连接符 156"/>
        <xdr:cNvCxnSpPr>
          <a:stCxn id="14" idx="2"/>
          <a:endCxn id="11" idx="0"/>
        </xdr:cNvCxnSpPr>
      </xdr:nvCxnSpPr>
      <xdr:spPr>
        <a:xfrm>
          <a:off x="2211705" y="4850130"/>
          <a:ext cx="15875" cy="34544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339725</xdr:colOff>
      <xdr:row>5</xdr:row>
      <xdr:rowOff>53975</xdr:rowOff>
    </xdr:from>
    <xdr:to>
      <xdr:col>15</xdr:col>
      <xdr:colOff>570230</xdr:colOff>
      <xdr:row>17</xdr:row>
      <xdr:rowOff>109855</xdr:rowOff>
    </xdr:to>
    <xdr:grpSp>
      <xdr:nvGrpSpPr>
        <xdr:cNvPr id="34" name="组合 33"/>
        <xdr:cNvGrpSpPr/>
      </xdr:nvGrpSpPr>
      <xdr:grpSpPr>
        <a:xfrm>
          <a:off x="7305675" y="1168400"/>
          <a:ext cx="2717165" cy="2332355"/>
          <a:chOff x="1677" y="1824"/>
          <a:chExt cx="4023" cy="3626"/>
        </a:xfrm>
      </xdr:grpSpPr>
      <xdr:sp>
        <xdr:nvSpPr>
          <xdr:cNvPr id="2" name="圆角矩形 1"/>
          <xdr:cNvSpPr/>
        </xdr:nvSpPr>
        <xdr:spPr>
          <a:xfrm>
            <a:off x="1915" y="4075"/>
            <a:ext cx="3094" cy="1375"/>
          </a:xfrm>
          <a:prstGeom prst="roundRect">
            <a:avLst/>
          </a:prstGeom>
          <a:ln w="9525"/>
        </xdr:spPr>
        <xdr:style>
          <a:lnRef idx="2">
            <a:schemeClr val="dk1"/>
          </a:lnRef>
          <a:fillRef idx="1">
            <a:schemeClr val="lt1"/>
          </a:fillRef>
          <a:effectRef idx="0">
            <a:schemeClr val="dk1"/>
          </a:effectRef>
          <a:fontRef idx="minor">
            <a:schemeClr val="dk1"/>
          </a:fontRef>
        </xdr:style>
        <xdr:txBody>
          <a:bodyPr vertOverflow="clip" horzOverflow="clip" lIns="0" tIns="0" rIns="0" bIns="0" rtlCol="0" anchor="ctr"/>
          <a:lstStyle/>
          <a:p>
            <a:pPr algn="ctr"/>
            <a:r>
              <a:rPr lang="zh-CN" altLang="en-US" sz="1400" b="1">
                <a:latin typeface="+mn-ea"/>
                <a:ea typeface="+mn-ea"/>
              </a:rPr>
              <a:t>财务顾问</a:t>
            </a:r>
            <a:endParaRPr lang="en-US" altLang="zh-CN" sz="1400" b="1">
              <a:latin typeface="+mn-ea"/>
              <a:ea typeface="+mn-ea"/>
            </a:endParaRPr>
          </a:p>
          <a:p>
            <a:pPr algn="ctr"/>
            <a:endParaRPr lang="en-US" altLang="zh-CN" sz="1050" b="0">
              <a:solidFill>
                <a:schemeClr val="dk1"/>
              </a:solidFill>
              <a:latin typeface="+mn-ea"/>
              <a:ea typeface="+mn-ea"/>
            </a:endParaRPr>
          </a:p>
        </xdr:txBody>
      </xdr:sp>
      <xdr:sp>
        <xdr:nvSpPr>
          <xdr:cNvPr id="3" name="圆角矩形 2"/>
          <xdr:cNvSpPr/>
        </xdr:nvSpPr>
        <xdr:spPr>
          <a:xfrm>
            <a:off x="1677" y="1824"/>
            <a:ext cx="4023" cy="1871"/>
          </a:xfrm>
          <a:prstGeom prst="roundRect">
            <a:avLst>
              <a:gd name="adj" fmla="val 9831"/>
            </a:avLst>
          </a:prstGeom>
          <a:ln w="12700">
            <a:solidFill>
              <a:schemeClr val="tx2">
                <a:lumMod val="60000"/>
                <a:lumOff val="40000"/>
              </a:schemeClr>
            </a:solidFill>
          </a:ln>
        </xdr:spPr>
        <xdr:style>
          <a:lnRef idx="2">
            <a:schemeClr val="accent3"/>
          </a:lnRef>
          <a:fillRef idx="1">
            <a:schemeClr val="lt1"/>
          </a:fillRef>
          <a:effectRef idx="0">
            <a:schemeClr val="accent3"/>
          </a:effectRef>
          <a:fontRef idx="minor">
            <a:schemeClr val="dk1"/>
          </a:fontRef>
        </xdr:style>
        <xdr:txBody>
          <a:bodyPr vertOverflow="clip" horzOverflow="clip" lIns="0" tIns="0" rIns="0" bIns="0" rtlCol="0" anchor="t"/>
          <a:lstStyle/>
          <a:p>
            <a:r>
              <a:rPr lang="zh-CN" altLang="zh-CN" sz="120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主要职责</a:t>
            </a:r>
            <a:r>
              <a:rPr lang="zh-CN" altLang="en-US" sz="110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：</a:t>
            </a:r>
            <a:r>
              <a:rPr lang="en-US" altLang="zh-CN" sz="110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                                                             </a:t>
            </a:r>
            <a:endParaRPr lang="zh-CN" altLang="zh-CN">
              <a:effectLst/>
            </a:endParaRPr>
          </a:p>
          <a:p>
            <a:r>
              <a:rPr lang="en-US" altLang="zh-CN" sz="110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1</a:t>
            </a:r>
            <a:r>
              <a:rPr lang="zh-CN" altLang="zh-CN" sz="110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、企业规划；</a:t>
            </a:r>
            <a:endParaRPr lang="zh-CN" altLang="zh-CN">
              <a:effectLst/>
            </a:endParaRPr>
          </a:p>
          <a:p>
            <a:r>
              <a:rPr lang="en-US" altLang="zh-CN" sz="110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2</a:t>
            </a:r>
            <a:r>
              <a:rPr lang="zh-CN" altLang="zh-CN" sz="110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、财务工作的指导；</a:t>
            </a:r>
            <a:endParaRPr lang="zh-CN" altLang="zh-CN">
              <a:effectLst/>
            </a:endParaRPr>
          </a:p>
          <a:p>
            <a:r>
              <a:rPr lang="en-US" altLang="zh-CN" sz="110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3</a:t>
            </a:r>
            <a:r>
              <a:rPr lang="zh-CN" altLang="zh-CN" sz="110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、公司经营过程咨询</a:t>
            </a:r>
            <a:endParaRPr lang="zh-CN" altLang="zh-CN">
              <a:effectLst/>
            </a:endParaRPr>
          </a:p>
        </xdr:txBody>
      </xdr:sp>
      <xdr:cxnSp>
        <xdr:nvCxnSpPr>
          <xdr:cNvPr id="171" name="直接连接符 170"/>
          <xdr:cNvCxnSpPr>
            <a:stCxn id="3" idx="2"/>
          </xdr:cNvCxnSpPr>
        </xdr:nvCxnSpPr>
        <xdr:spPr>
          <a:xfrm>
            <a:off x="3689" y="3695"/>
            <a:ext cx="0" cy="350"/>
          </a:xfrm>
          <a:prstGeom prst="line">
            <a:avLst/>
          </a:prstGeom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</xdr:grpSp>
    <xdr:clientData/>
  </xdr:twoCellAnchor>
  <xdr:twoCellAnchor>
    <xdr:from>
      <xdr:col>5</xdr:col>
      <xdr:colOff>214630</xdr:colOff>
      <xdr:row>21</xdr:row>
      <xdr:rowOff>38735</xdr:rowOff>
    </xdr:from>
    <xdr:to>
      <xdr:col>5</xdr:col>
      <xdr:colOff>229235</xdr:colOff>
      <xdr:row>22</xdr:row>
      <xdr:rowOff>95250</xdr:rowOff>
    </xdr:to>
    <xdr:cxnSp>
      <xdr:nvCxnSpPr>
        <xdr:cNvPr id="6" name="直接连接符 5"/>
        <xdr:cNvCxnSpPr/>
      </xdr:nvCxnSpPr>
      <xdr:spPr>
        <a:xfrm flipH="1">
          <a:off x="3608705" y="4153535"/>
          <a:ext cx="14605" cy="237490"/>
        </a:xfrm>
        <a:prstGeom prst="line">
          <a:avLst/>
        </a:prstGeom>
      </xdr:spPr>
      <xdr:style>
        <a:lnRef idx="2">
          <a:schemeClr val="accent1"/>
        </a:lnRef>
        <a:fillRef idx="0">
          <a:srgbClr val="FFFFFF"/>
        </a:fillRef>
        <a:effectRef idx="0">
          <a:srgbClr val="FFFFFF"/>
        </a:effectRef>
        <a:fontRef idx="minor">
          <a:schemeClr val="tx1"/>
        </a:fontRef>
      </xdr:style>
    </xdr:cxnSp>
    <xdr:clientData/>
  </xdr:twoCellAnchor>
  <xdr:twoCellAnchor>
    <xdr:from>
      <xdr:col>4</xdr:col>
      <xdr:colOff>20320</xdr:colOff>
      <xdr:row>22</xdr:row>
      <xdr:rowOff>74295</xdr:rowOff>
    </xdr:from>
    <xdr:to>
      <xdr:col>6</xdr:col>
      <xdr:colOff>574675</xdr:colOff>
      <xdr:row>43</xdr:row>
      <xdr:rowOff>99695</xdr:rowOff>
    </xdr:to>
    <xdr:grpSp>
      <xdr:nvGrpSpPr>
        <xdr:cNvPr id="16" name="组合 15"/>
        <xdr:cNvGrpSpPr/>
      </xdr:nvGrpSpPr>
      <xdr:grpSpPr>
        <a:xfrm>
          <a:off x="2735580" y="4370070"/>
          <a:ext cx="1715770" cy="3825875"/>
          <a:chOff x="4014" y="4602"/>
          <a:chExt cx="2589" cy="5710"/>
        </a:xfrm>
      </xdr:grpSpPr>
      <xdr:sp>
        <xdr:nvSpPr>
          <xdr:cNvPr id="66" name="圆角矩形 65"/>
          <xdr:cNvSpPr/>
        </xdr:nvSpPr>
        <xdr:spPr>
          <a:xfrm>
            <a:off x="4542" y="5626"/>
            <a:ext cx="1460" cy="486"/>
          </a:xfrm>
          <a:prstGeom prst="roundRect">
            <a:avLst/>
          </a:prstGeom>
          <a:ln w="9525"/>
        </xdr:spPr>
        <xdr:style>
          <a:lnRef idx="2">
            <a:schemeClr val="dk1"/>
          </a:lnRef>
          <a:fillRef idx="1">
            <a:schemeClr val="lt1"/>
          </a:fillRef>
          <a:effectRef idx="0">
            <a:schemeClr val="dk1"/>
          </a:effectRef>
          <a:fontRef idx="minor">
            <a:schemeClr val="dk1"/>
          </a:fontRef>
        </xdr:style>
        <xdr:txBody>
          <a:bodyPr vertOverflow="clip" horzOverflow="clip" lIns="0" tIns="0" rIns="0" bIns="0" rtlCol="0" anchor="ctr"/>
          <a:lstStyle>
            <a:defPPr>
              <a:defRPr lang="zh-CN">
                <a:solidFill>
                  <a:schemeClr val="dk1"/>
                </a:solidFill>
              </a:defRPr>
            </a:defPPr>
            <a:lvl1pPr marL="0" algn="l" defTabSz="914400" rtl="0" eaLnBrk="1" latinLnBrk="0" hangingPunct="1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9pPr>
          </a:lstStyle>
          <a:p>
            <a:pPr marL="0" marR="0" lvl="0" indent="0" algn="ctr" defTabSz="91440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defRPr/>
            </a:pPr>
            <a:r>
              <a:rPr lang="zh-CN" altLang="zh-CN">
                <a:effectLst/>
              </a:rPr>
              <a:t>潘会计</a:t>
            </a:r>
            <a:endParaRPr lang="zh-CN" altLang="zh-CN">
              <a:effectLst/>
            </a:endParaRPr>
          </a:p>
        </xdr:txBody>
      </xdr:sp>
      <xdr:sp>
        <xdr:nvSpPr>
          <xdr:cNvPr id="69" name="圆角矩形 68"/>
          <xdr:cNvSpPr/>
        </xdr:nvSpPr>
        <xdr:spPr>
          <a:xfrm>
            <a:off x="4014" y="6514"/>
            <a:ext cx="2556" cy="3798"/>
          </a:xfrm>
          <a:prstGeom prst="roundRect">
            <a:avLst/>
          </a:prstGeom>
          <a:solidFill>
            <a:sysClr val="window" lastClr="FFFFFF"/>
          </a:solidFill>
          <a:ln w="12700" cap="flat" cmpd="sng" algn="ctr">
            <a:solidFill>
              <a:srgbClr val="1F497D">
                <a:lumMod val="60000"/>
                <a:lumOff val="40000"/>
              </a:srgbClr>
            </a:solidFill>
            <a:prstDash val="solid"/>
          </a:ln>
          <a:effectLst/>
        </xdr:spPr>
        <xdr:txBody>
          <a:bodyPr vertOverflow="clip" horzOverflow="clip" lIns="0" tIns="0" rIns="0" bIns="0" rtlCol="0" anchor="t"/>
          <a:lstStyle>
            <a:defPPr>
              <a:defRPr lang="zh-CN">
                <a:solidFill>
                  <a:schemeClr val="dk1"/>
                </a:solidFill>
              </a:defRPr>
            </a:defPPr>
            <a:lvl1pPr marL="0" algn="l" defTabSz="914400" rtl="0" eaLnBrk="1" latinLnBrk="0" hangingPunct="1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9pPr>
          </a:lstStyle>
          <a:p>
            <a:pPr marL="0" marR="0" lvl="0" indent="0" algn="l" defTabSz="91440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defRPr/>
            </a:pPr>
            <a:r>
              <a:rPr kumimoji="0" lang="zh-CN" altLang="en-US" sz="1050" b="0" i="0" u="none" strike="noStrike" kern="0" cap="none" spc="0" normalizeH="0" baseline="0" noProof="0">
                <a:ln>
                  <a:noFill/>
                </a:ln>
                <a:solidFill>
                  <a:sysClr val="windowText" lastClr="000000"/>
                </a:solidFill>
                <a:effectLst/>
                <a:uLnTx/>
                <a:uFillTx/>
                <a:latin typeface="宋体" panose="02010600030101010101" pitchFamily="7" charset="-122"/>
                <a:ea typeface="宋体" panose="02010600030101010101" pitchFamily="7" charset="-122"/>
                <a:cs typeface="+mn-cs"/>
              </a:rPr>
              <a:t> 主要职责：</a:t>
            </a:r>
            <a:endParaRPr kumimoji="0" lang="en-US" altLang="zh-CN" sz="1050" b="0" i="0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宋体" panose="02010600030101010101" pitchFamily="7" charset="-122"/>
              <a:ea typeface="宋体" panose="02010600030101010101" pitchFamily="7" charset="-122"/>
              <a:cs typeface="+mn-cs"/>
            </a:endParaRPr>
          </a:p>
          <a:p>
            <a:pPr marL="0" marR="0" lvl="0" indent="0" algn="l" defTabSz="91440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defRPr/>
            </a:pPr>
            <a:r>
              <a:rPr kumimoji="0" lang="en-US" altLang="zh-CN" sz="1100" b="0" i="0" u="none" strike="noStrike" kern="0" cap="none" spc="0" normalizeH="0" baseline="0" noProof="0">
                <a:ln>
                  <a:noFill/>
                </a:ln>
                <a:solidFill>
                  <a:sysClr val="windowText" lastClr="000000"/>
                </a:solidFill>
                <a:effectLst/>
                <a:uLnTx/>
                <a:uFillTx/>
                <a:latin typeface="+mn-lt"/>
                <a:ea typeface="+mn-ea"/>
                <a:cs typeface="+mn-cs"/>
              </a:rPr>
              <a:t>1</a:t>
            </a:r>
            <a:r>
              <a:rPr kumimoji="0" lang="zh-CN" altLang="en-US" sz="1100" b="0" i="0" u="none" strike="noStrike" kern="0" cap="none" spc="0" normalizeH="0" baseline="0" noProof="0">
                <a:ln>
                  <a:noFill/>
                </a:ln>
                <a:solidFill>
                  <a:sysClr val="windowText" lastClr="000000"/>
                </a:solidFill>
                <a:effectLst/>
                <a:uLnTx/>
                <a:uFillTx/>
                <a:latin typeface="+mn-lt"/>
                <a:ea typeface="+mn-ea"/>
                <a:cs typeface="+mn-cs"/>
              </a:rPr>
              <a:t>、应收账款的动态跟踪；</a:t>
            </a:r>
            <a:endParaRPr kumimoji="0" lang="zh-CN" altLang="en-US" sz="1100" b="0" i="0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+mn-lt"/>
              <a:ea typeface="+mn-ea"/>
              <a:cs typeface="+mn-cs"/>
            </a:endParaRPr>
          </a:p>
          <a:p>
            <a:pPr marL="0" marR="0" lvl="0" indent="0" algn="l" defTabSz="91440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defRPr/>
            </a:pPr>
            <a:r>
              <a:rPr kumimoji="0" lang="en-US" altLang="zh-CN" sz="1100" b="0" i="0" u="none" strike="noStrike" kern="0" cap="none" spc="0" normalizeH="0" baseline="0" noProof="0">
                <a:ln>
                  <a:noFill/>
                </a:ln>
                <a:solidFill>
                  <a:sysClr val="windowText" lastClr="000000"/>
                </a:solidFill>
                <a:effectLst/>
                <a:uLnTx/>
                <a:uFillTx/>
                <a:latin typeface="+mn-lt"/>
                <a:ea typeface="+mn-ea"/>
                <a:cs typeface="+mn-cs"/>
              </a:rPr>
              <a:t>2</a:t>
            </a:r>
            <a:r>
              <a:rPr kumimoji="0" lang="zh-CN" altLang="en-US" sz="1100" b="0" i="0" u="none" strike="noStrike" kern="0" cap="none" spc="0" normalizeH="0" baseline="0" noProof="0">
                <a:ln>
                  <a:noFill/>
                </a:ln>
                <a:solidFill>
                  <a:sysClr val="windowText" lastClr="000000"/>
                </a:solidFill>
                <a:effectLst/>
                <a:uLnTx/>
                <a:uFillTx/>
                <a:latin typeface="+mn-lt"/>
                <a:ea typeface="+mn-ea"/>
                <a:cs typeface="+mn-cs"/>
              </a:rPr>
              <a:t>、往年呆滞应收账款催缴；</a:t>
            </a:r>
            <a:endParaRPr kumimoji="0" lang="zh-CN" altLang="en-US" sz="1100" b="0" i="0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+mn-lt"/>
              <a:ea typeface="+mn-ea"/>
              <a:cs typeface="+mn-cs"/>
            </a:endParaRPr>
          </a:p>
          <a:p>
            <a:pPr marL="0" marR="0" lvl="0" indent="0" algn="l" defTabSz="91440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defRPr/>
            </a:pPr>
            <a:r>
              <a:rPr kumimoji="0" lang="en-US" altLang="zh-CN" sz="1100" b="0" i="0" u="none" strike="noStrike" kern="0" cap="none" spc="0" normalizeH="0" baseline="0" noProof="0">
                <a:ln>
                  <a:noFill/>
                </a:ln>
                <a:solidFill>
                  <a:sysClr val="windowText" lastClr="000000"/>
                </a:solidFill>
                <a:effectLst/>
                <a:uLnTx/>
                <a:uFillTx/>
                <a:latin typeface="+mn-lt"/>
                <a:ea typeface="+mn-ea"/>
                <a:cs typeface="+mn-cs"/>
              </a:rPr>
              <a:t>3</a:t>
            </a:r>
            <a:r>
              <a:rPr kumimoji="0" lang="zh-CN" altLang="en-US" sz="1100" b="0" i="0" u="none" strike="noStrike" kern="0" cap="none" spc="0" normalizeH="0" baseline="0" noProof="0">
                <a:ln>
                  <a:noFill/>
                </a:ln>
                <a:solidFill>
                  <a:sysClr val="windowText" lastClr="000000"/>
                </a:solidFill>
                <a:effectLst/>
                <a:uLnTx/>
                <a:uFillTx/>
                <a:latin typeface="+mn-lt"/>
                <a:ea typeface="+mn-ea"/>
                <a:cs typeface="+mn-cs"/>
              </a:rPr>
              <a:t>、月度销售部所有销售费用报销审核及统计；</a:t>
            </a:r>
            <a:endParaRPr kumimoji="0" lang="zh-CN" altLang="en-US" sz="1100" b="0" i="0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+mn-lt"/>
              <a:ea typeface="+mn-ea"/>
              <a:cs typeface="+mn-cs"/>
            </a:endParaRPr>
          </a:p>
          <a:p>
            <a:pPr marL="0" marR="0" lvl="0" indent="0" algn="l" defTabSz="91440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defRPr/>
            </a:pPr>
            <a:r>
              <a:rPr kumimoji="0" lang="en-US" altLang="zh-CN" sz="1100" b="0" i="0" u="none" strike="noStrike" kern="0" cap="none" spc="0" normalizeH="0" baseline="0" noProof="0">
                <a:ln>
                  <a:noFill/>
                </a:ln>
                <a:solidFill>
                  <a:sysClr val="windowText" lastClr="000000"/>
                </a:solidFill>
                <a:effectLst/>
                <a:uLnTx/>
                <a:uFillTx/>
                <a:latin typeface="+mn-lt"/>
                <a:ea typeface="+mn-ea"/>
                <a:cs typeface="+mn-cs"/>
              </a:rPr>
              <a:t>4</a:t>
            </a:r>
            <a:r>
              <a:rPr kumimoji="0" lang="zh-CN" altLang="en-US" sz="1100" b="0" i="0" u="none" strike="noStrike" kern="0" cap="none" spc="0" normalizeH="0" baseline="0" noProof="0">
                <a:ln>
                  <a:noFill/>
                </a:ln>
                <a:solidFill>
                  <a:sysClr val="windowText" lastClr="000000"/>
                </a:solidFill>
                <a:effectLst/>
                <a:uLnTx/>
                <a:uFillTx/>
                <a:latin typeface="+mn-lt"/>
                <a:ea typeface="+mn-ea"/>
                <a:cs typeface="+mn-cs"/>
              </a:rPr>
              <a:t>、销售简单数据统计并分析。</a:t>
            </a:r>
            <a:endParaRPr kumimoji="0" lang="zh-CN" altLang="en-US" sz="1100" b="0" i="0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+mn-lt"/>
              <a:ea typeface="+mn-ea"/>
              <a:cs typeface="+mn-cs"/>
            </a:endParaRPr>
          </a:p>
          <a:p>
            <a:pPr marL="0" marR="0" lvl="0" indent="0" algn="l" defTabSz="91440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defRPr/>
            </a:pPr>
            <a:r>
              <a:rPr kumimoji="0" lang="en-US" altLang="zh-CN" sz="1100" b="0" i="0" u="none" strike="noStrike" kern="0" cap="none" spc="0" normalizeH="0" baseline="0" noProof="0">
                <a:ln>
                  <a:noFill/>
                </a:ln>
                <a:solidFill>
                  <a:sysClr val="windowText" lastClr="000000"/>
                </a:solidFill>
                <a:effectLst/>
                <a:uLnTx/>
                <a:uFillTx/>
                <a:latin typeface="+mn-lt"/>
                <a:ea typeface="+mn-ea"/>
                <a:cs typeface="+mn-cs"/>
              </a:rPr>
              <a:t>5</a:t>
            </a:r>
            <a:r>
              <a:rPr kumimoji="0" lang="zh-CN" altLang="en-US" sz="1100" b="0" i="0" u="none" strike="noStrike" kern="0" cap="none" spc="0" normalizeH="0" baseline="0" noProof="0">
                <a:ln>
                  <a:noFill/>
                </a:ln>
                <a:solidFill>
                  <a:sysClr val="windowText" lastClr="000000"/>
                </a:solidFill>
                <a:effectLst/>
                <a:uLnTx/>
                <a:uFillTx/>
                <a:latin typeface="+mn-lt"/>
                <a:ea typeface="+mn-ea"/>
                <a:cs typeface="+mn-cs"/>
              </a:rPr>
              <a:t>、日常费用、付款</a:t>
            </a:r>
            <a:r>
              <a:rPr kumimoji="0" lang="en-US" altLang="zh-CN" sz="1100" b="0" i="0" u="none" strike="noStrike" kern="0" cap="none" spc="0" normalizeH="0" baseline="0" noProof="0">
                <a:ln>
                  <a:noFill/>
                </a:ln>
                <a:solidFill>
                  <a:sysClr val="windowText" lastClr="000000"/>
                </a:solidFill>
                <a:effectLst/>
                <a:uLnTx/>
                <a:uFillTx/>
                <a:latin typeface="+mn-lt"/>
                <a:ea typeface="+mn-ea"/>
                <a:cs typeface="+mn-cs"/>
              </a:rPr>
              <a:t> </a:t>
            </a:r>
            <a:r>
              <a:rPr kumimoji="0" lang="zh-CN" altLang="en-US" sz="1100" b="0" i="0" u="none" strike="noStrike" kern="0" cap="none" spc="0" normalizeH="0" baseline="0" noProof="0">
                <a:ln>
                  <a:noFill/>
                </a:ln>
                <a:solidFill>
                  <a:sysClr val="windowText" lastClr="000000"/>
                </a:solidFill>
                <a:effectLst/>
                <a:uLnTx/>
                <a:uFillTx/>
                <a:latin typeface="+mn-lt"/>
                <a:ea typeface="+mn-ea"/>
                <a:cs typeface="+mn-cs"/>
              </a:rPr>
              <a:t>财务初审</a:t>
            </a:r>
            <a:r>
              <a:rPr kumimoji="0" lang="en-US" altLang="zh-CN" sz="1100" b="0" i="0" u="none" strike="noStrike" kern="0" cap="none" spc="0" normalizeH="0" baseline="0" noProof="0">
                <a:ln>
                  <a:noFill/>
                </a:ln>
                <a:solidFill>
                  <a:sysClr val="windowText" lastClr="000000"/>
                </a:solidFill>
                <a:effectLst/>
                <a:uLnTx/>
                <a:uFillTx/>
                <a:latin typeface="+mn-lt"/>
                <a:ea typeface="+mn-ea"/>
                <a:cs typeface="+mn-cs"/>
              </a:rPr>
              <a:t>  </a:t>
            </a:r>
            <a:r>
              <a:rPr kumimoji="0" lang="zh-CN" altLang="en-US" sz="1100" b="0" i="0" u="none" strike="noStrike" kern="0" cap="none" spc="0" normalizeH="0" baseline="0" noProof="0">
                <a:ln>
                  <a:noFill/>
                </a:ln>
                <a:solidFill>
                  <a:sysClr val="windowText" lastClr="000000"/>
                </a:solidFill>
                <a:effectLst/>
                <a:uLnTx/>
                <a:uFillTx/>
                <a:latin typeface="+mn-lt"/>
                <a:ea typeface="+mn-ea"/>
                <a:cs typeface="+mn-cs"/>
              </a:rPr>
              <a:t>及统计。</a:t>
            </a:r>
            <a:endParaRPr lang="zh-CN" altLang="zh-CN">
              <a:effectLst/>
            </a:endParaRPr>
          </a:p>
          <a:p>
            <a:pPr marL="0" marR="0" lvl="0" indent="0" algn="l" defTabSz="914400" rtl="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defRPr/>
            </a:pPr>
            <a:endParaRPr lang="zh-CN" altLang="zh-CN">
              <a:effectLst/>
            </a:endParaRPr>
          </a:p>
          <a:p>
            <a:pPr marL="0" marR="0" lvl="0" indent="0" algn="l" defTabSz="914400" rtl="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defRPr/>
            </a:pPr>
            <a:endParaRPr lang="zh-CN" altLang="zh-CN">
              <a:effectLst/>
            </a:endParaRPr>
          </a:p>
          <a:p>
            <a:pPr marL="0" marR="0" lvl="0" indent="0" algn="l" defTabSz="91440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defRPr/>
            </a:pPr>
            <a:endParaRPr kumimoji="0" lang="en-US" altLang="zh-CN" sz="1100" b="0" i="0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+mn-lt"/>
              <a:ea typeface="+mn-ea"/>
              <a:cs typeface="+mn-cs"/>
            </a:endParaRPr>
          </a:p>
          <a:p>
            <a:pPr marL="0" marR="0" lvl="0" indent="0" algn="l" defTabSz="914400" rtl="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defRPr/>
            </a:pPr>
            <a:endParaRPr lang="zh-CN" altLang="zh-CN">
              <a:effectLst/>
            </a:endParaRPr>
          </a:p>
          <a:p>
            <a:pPr marL="0" marR="0" lvl="0" indent="0" algn="l" defTabSz="914400" rtl="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defRPr/>
            </a:pPr>
            <a:endParaRPr kumimoji="0" lang="en-US" altLang="zh-CN" sz="1100" b="0" i="0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+mn-lt"/>
              <a:ea typeface="+mn-ea"/>
              <a:cs typeface="+mn-cs"/>
            </a:endParaRPr>
          </a:p>
        </xdr:txBody>
      </xdr:sp>
      <xdr:cxnSp>
        <xdr:nvCxnSpPr>
          <xdr:cNvPr id="82" name="直接连接符 81"/>
          <xdr:cNvCxnSpPr>
            <a:stCxn id="66" idx="2"/>
            <a:endCxn id="69" idx="0"/>
          </xdr:cNvCxnSpPr>
        </xdr:nvCxnSpPr>
        <xdr:spPr>
          <a:xfrm>
            <a:off x="5263" y="6120"/>
            <a:ext cx="4" cy="282"/>
          </a:xfrm>
          <a:prstGeom prst="line">
            <a:avLst/>
          </a:prstGeom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cxnSp>
        <xdr:nvCxnSpPr>
          <xdr:cNvPr id="10" name="直接连接符 9"/>
          <xdr:cNvCxnSpPr/>
        </xdr:nvCxnSpPr>
        <xdr:spPr>
          <a:xfrm>
            <a:off x="5310" y="5200"/>
            <a:ext cx="7" cy="342"/>
          </a:xfrm>
          <a:prstGeom prst="line">
            <a:avLst/>
          </a:prstGeom>
        </xdr:spPr>
        <xdr:style>
          <a:lnRef idx="2">
            <a:schemeClr val="accent1"/>
          </a:lnRef>
          <a:fillRef idx="0">
            <a:srgbClr val="FFFFFF"/>
          </a:fillRef>
          <a:effectRef idx="0">
            <a:srgbClr val="FFFFFF"/>
          </a:effectRef>
          <a:fontRef idx="minor">
            <a:schemeClr val="tx1"/>
          </a:fontRef>
        </xdr:style>
      </xdr:cxnSp>
      <xdr:sp>
        <xdr:nvSpPr>
          <xdr:cNvPr id="12" name="圆角矩形 11"/>
          <xdr:cNvSpPr/>
        </xdr:nvSpPr>
        <xdr:spPr>
          <a:xfrm>
            <a:off x="4209" y="4602"/>
            <a:ext cx="2394" cy="577"/>
          </a:xfrm>
          <a:prstGeom prst="roundRect">
            <a:avLst/>
          </a:prstGeom>
          <a:solidFill>
            <a:schemeClr val="accent1">
              <a:lumMod val="40000"/>
              <a:lumOff val="60000"/>
            </a:schemeClr>
          </a:solidFill>
          <a:ln w="9525"/>
        </xdr:spPr>
        <xdr:style>
          <a:lnRef idx="2">
            <a:schemeClr val="dk1"/>
          </a:lnRef>
          <a:fillRef idx="1">
            <a:schemeClr val="lt1"/>
          </a:fillRef>
          <a:effectRef idx="0">
            <a:schemeClr val="dk1"/>
          </a:effectRef>
          <a:fontRef idx="minor">
            <a:schemeClr val="dk1"/>
          </a:fontRef>
        </xdr:style>
        <xdr:txBody>
          <a:bodyPr vertOverflow="clip" horzOverflow="clip" lIns="0" tIns="0" rIns="0" bIns="0" rtlCol="0" anchor="ctr"/>
          <a:lstStyle>
            <a:defPPr>
              <a:defRPr lang="zh-CN">
                <a:solidFill>
                  <a:schemeClr val="dk1"/>
                </a:solidFill>
              </a:defRPr>
            </a:defPPr>
            <a:lvl1pPr marL="0" algn="l" defTabSz="914400" rtl="0" eaLnBrk="1" latinLnBrk="0" hangingPunct="1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9pPr>
          </a:lstStyle>
          <a:p>
            <a:pPr marL="0" marR="0" lvl="0" indent="0" algn="ctr" defTabSz="91440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defRPr/>
            </a:pPr>
            <a:r>
              <a:rPr kumimoji="0" lang="zh-CN" altLang="en-US" sz="1100" b="0" i="0" u="none" strike="noStrike" kern="0" cap="none" spc="0" normalizeH="0" baseline="0" noProof="0">
                <a:ln>
                  <a:noFill/>
                </a:ln>
                <a:solidFill>
                  <a:sysClr val="windowText" lastClr="000000"/>
                </a:solidFill>
                <a:effectLst/>
                <a:uLnTx/>
                <a:uFillTx/>
                <a:latin typeface="宋体" panose="02010600030101010101" pitchFamily="7" charset="-122"/>
                <a:ea typeface="宋体" panose="02010600030101010101" pitchFamily="7" charset="-122"/>
                <a:cs typeface="+mn-cs"/>
              </a:rPr>
              <a:t>往来会计（</a:t>
            </a:r>
            <a:r>
              <a:rPr kumimoji="0" lang="en-US" altLang="zh-CN" sz="1100" b="0" i="0" u="none" strike="noStrike" kern="0" cap="none" spc="0" normalizeH="0" baseline="0" noProof="0">
                <a:ln>
                  <a:noFill/>
                </a:ln>
                <a:solidFill>
                  <a:sysClr val="windowText" lastClr="000000"/>
                </a:solidFill>
                <a:effectLst/>
                <a:uLnTx/>
                <a:uFillTx/>
                <a:latin typeface="宋体" panose="02010600030101010101" pitchFamily="7" charset="-122"/>
                <a:ea typeface="宋体" panose="02010600030101010101" pitchFamily="7" charset="-122"/>
                <a:cs typeface="+mn-cs"/>
              </a:rPr>
              <a:t>1</a:t>
            </a:r>
            <a:r>
              <a:rPr kumimoji="0" lang="zh-CN" altLang="en-US" sz="1100" b="0" i="0" u="none" strike="noStrike" kern="0" cap="none" spc="0" normalizeH="0" baseline="0" noProof="0">
                <a:ln>
                  <a:noFill/>
                </a:ln>
                <a:solidFill>
                  <a:sysClr val="windowText" lastClr="000000"/>
                </a:solidFill>
                <a:effectLst/>
                <a:uLnTx/>
                <a:uFillTx/>
                <a:latin typeface="宋体" panose="02010600030101010101" pitchFamily="7" charset="-122"/>
                <a:ea typeface="宋体" panose="02010600030101010101" pitchFamily="7" charset="-122"/>
                <a:cs typeface="+mn-cs"/>
              </a:rPr>
              <a:t>人）</a:t>
            </a:r>
            <a:endParaRPr kumimoji="0" lang="en-US" altLang="zh-CN" sz="1100" b="0" i="0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宋体" panose="02010600030101010101" pitchFamily="7" charset="-122"/>
              <a:ea typeface="宋体" panose="02010600030101010101" pitchFamily="7" charset="-122"/>
              <a:cs typeface="+mn-cs"/>
            </a:endParaRPr>
          </a:p>
        </xdr:txBody>
      </xdr:sp>
    </xdr:grpSp>
    <xdr:clientData/>
  </xdr:twoCellAnchor>
  <xdr:twoCellAnchor>
    <xdr:from>
      <xdr:col>7</xdr:col>
      <xdr:colOff>577215</xdr:colOff>
      <xdr:row>21</xdr:row>
      <xdr:rowOff>52705</xdr:rowOff>
    </xdr:from>
    <xdr:to>
      <xdr:col>10</xdr:col>
      <xdr:colOff>450850</xdr:colOff>
      <xdr:row>43</xdr:row>
      <xdr:rowOff>136525</xdr:rowOff>
    </xdr:to>
    <xdr:grpSp>
      <xdr:nvGrpSpPr>
        <xdr:cNvPr id="27" name="组合 26"/>
        <xdr:cNvGrpSpPr/>
      </xdr:nvGrpSpPr>
      <xdr:grpSpPr>
        <a:xfrm>
          <a:off x="5132705" y="4167505"/>
          <a:ext cx="1757680" cy="4065270"/>
          <a:chOff x="4014" y="4246"/>
          <a:chExt cx="2589" cy="6066"/>
        </a:xfrm>
      </xdr:grpSpPr>
      <xdr:sp>
        <xdr:nvSpPr>
          <xdr:cNvPr id="28" name="圆角矩形 27"/>
          <xdr:cNvSpPr/>
        </xdr:nvSpPr>
        <xdr:spPr>
          <a:xfrm>
            <a:off x="4542" y="5626"/>
            <a:ext cx="1460" cy="486"/>
          </a:xfrm>
          <a:prstGeom prst="roundRect">
            <a:avLst/>
          </a:prstGeom>
          <a:ln w="9525"/>
        </xdr:spPr>
        <xdr:style>
          <a:lnRef idx="2">
            <a:schemeClr val="dk1"/>
          </a:lnRef>
          <a:fillRef idx="1">
            <a:schemeClr val="lt1"/>
          </a:fillRef>
          <a:effectRef idx="0">
            <a:schemeClr val="dk1"/>
          </a:effectRef>
          <a:fontRef idx="minor">
            <a:schemeClr val="dk1"/>
          </a:fontRef>
        </xdr:style>
        <xdr:txBody>
          <a:bodyPr vertOverflow="clip" horzOverflow="clip" lIns="0" tIns="0" rIns="0" bIns="0" rtlCol="0" anchor="ctr"/>
          <a:lstStyle>
            <a:defPPr>
              <a:defRPr lang="zh-CN">
                <a:solidFill>
                  <a:schemeClr val="dk1"/>
                </a:solidFill>
              </a:defRPr>
            </a:defPPr>
            <a:lvl1pPr marL="0" algn="l" defTabSz="914400" rtl="0" eaLnBrk="1" latinLnBrk="0" hangingPunct="1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9pPr>
          </a:lstStyle>
          <a:p>
            <a:pPr marL="0" marR="0" lvl="0" indent="0" algn="ctr" defTabSz="91440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defRPr/>
            </a:pPr>
            <a:r>
              <a:rPr lang="zh-CN" altLang="zh-CN">
                <a:effectLst/>
              </a:rPr>
              <a:t>王金平</a:t>
            </a:r>
            <a:endParaRPr lang="zh-CN" altLang="zh-CN">
              <a:effectLst/>
            </a:endParaRPr>
          </a:p>
        </xdr:txBody>
      </xdr:sp>
      <xdr:sp>
        <xdr:nvSpPr>
          <xdr:cNvPr id="29" name="圆角矩形 28"/>
          <xdr:cNvSpPr/>
        </xdr:nvSpPr>
        <xdr:spPr>
          <a:xfrm>
            <a:off x="4014" y="6514"/>
            <a:ext cx="2556" cy="3798"/>
          </a:xfrm>
          <a:prstGeom prst="roundRect">
            <a:avLst/>
          </a:prstGeom>
          <a:solidFill>
            <a:sysClr val="window" lastClr="FFFFFF"/>
          </a:solidFill>
          <a:ln w="12700" cap="flat" cmpd="sng" algn="ctr">
            <a:solidFill>
              <a:srgbClr val="1F497D">
                <a:lumMod val="60000"/>
                <a:lumOff val="40000"/>
              </a:srgbClr>
            </a:solidFill>
            <a:prstDash val="solid"/>
          </a:ln>
          <a:effectLst/>
        </xdr:spPr>
        <xdr:txBody>
          <a:bodyPr vertOverflow="clip" horzOverflow="clip" lIns="0" tIns="0" rIns="0" bIns="0" rtlCol="0" anchor="t"/>
          <a:lstStyle>
            <a:defPPr>
              <a:defRPr lang="zh-CN">
                <a:solidFill>
                  <a:schemeClr val="dk1"/>
                </a:solidFill>
              </a:defRPr>
            </a:defPPr>
            <a:lvl1pPr marL="0" algn="l" defTabSz="914400" rtl="0" eaLnBrk="1" latinLnBrk="0" hangingPunct="1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9pPr>
          </a:lstStyle>
          <a:p>
            <a:pPr marL="0" marR="0" lvl="0" indent="0" algn="l" defTabSz="91440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defRPr/>
            </a:pPr>
            <a:r>
              <a:rPr kumimoji="0" lang="zh-CN" altLang="en-US" sz="1050" b="0" i="0" u="none" strike="noStrike" kern="0" cap="none" spc="0" normalizeH="0" baseline="0" noProof="0">
                <a:ln>
                  <a:noFill/>
                </a:ln>
                <a:solidFill>
                  <a:sysClr val="windowText" lastClr="000000"/>
                </a:solidFill>
                <a:effectLst/>
                <a:uLnTx/>
                <a:uFillTx/>
                <a:latin typeface="宋体" panose="02010600030101010101" pitchFamily="7" charset="-122"/>
                <a:ea typeface="宋体" panose="02010600030101010101" pitchFamily="7" charset="-122"/>
                <a:cs typeface="+mn-cs"/>
              </a:rPr>
              <a:t> 主要职责：</a:t>
            </a:r>
            <a:endParaRPr kumimoji="0" lang="en-US" altLang="zh-CN" sz="1050" b="0" i="0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宋体" panose="02010600030101010101" pitchFamily="7" charset="-122"/>
              <a:ea typeface="宋体" panose="02010600030101010101" pitchFamily="7" charset="-122"/>
              <a:cs typeface="+mn-cs"/>
            </a:endParaRPr>
          </a:p>
          <a:p>
            <a:pPr marL="0" marR="0" lvl="0" indent="0" algn="l" defTabSz="91440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defRPr/>
            </a:pPr>
            <a:r>
              <a:rPr kumimoji="0" lang="en-US" altLang="zh-CN" sz="1100" b="0" i="0" u="none" strike="noStrike" kern="0" cap="none" spc="0" normalizeH="0" baseline="0" noProof="0">
                <a:ln>
                  <a:noFill/>
                </a:ln>
                <a:solidFill>
                  <a:sysClr val="windowText" lastClr="000000"/>
                </a:solidFill>
                <a:effectLst/>
                <a:uLnTx/>
                <a:uFillTx/>
                <a:latin typeface="+mn-lt"/>
                <a:ea typeface="+mn-ea"/>
                <a:cs typeface="+mn-cs"/>
              </a:rPr>
              <a:t>1</a:t>
            </a:r>
            <a:r>
              <a:rPr kumimoji="0" lang="zh-CN" altLang="en-US" sz="1100" b="0" i="0" u="none" strike="noStrike" kern="0" cap="none" spc="0" normalizeH="0" baseline="0" noProof="0">
                <a:ln>
                  <a:noFill/>
                </a:ln>
                <a:solidFill>
                  <a:sysClr val="windowText" lastClr="000000"/>
                </a:solidFill>
                <a:effectLst/>
                <a:uLnTx/>
                <a:uFillTx/>
                <a:latin typeface="+mn-lt"/>
                <a:ea typeface="+mn-ea"/>
                <a:cs typeface="+mn-cs"/>
              </a:rPr>
              <a:t>、负责公司的会计核算工作；</a:t>
            </a:r>
            <a:endParaRPr kumimoji="0" lang="zh-CN" altLang="en-US" sz="1100" b="0" i="0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+mn-lt"/>
              <a:ea typeface="+mn-ea"/>
              <a:cs typeface="+mn-cs"/>
            </a:endParaRPr>
          </a:p>
          <a:p>
            <a:pPr marL="0" marR="0" lvl="0" indent="0" algn="l" defTabSz="91440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defRPr/>
            </a:pPr>
            <a:r>
              <a:rPr kumimoji="0" lang="en-US" altLang="zh-CN" sz="1100" b="0" i="0" u="none" strike="noStrike" kern="0" cap="none" spc="0" normalizeH="0" baseline="0" noProof="0">
                <a:ln>
                  <a:noFill/>
                </a:ln>
                <a:solidFill>
                  <a:sysClr val="windowText" lastClr="000000"/>
                </a:solidFill>
                <a:effectLst/>
                <a:uLnTx/>
                <a:uFillTx/>
                <a:latin typeface="+mn-lt"/>
                <a:ea typeface="+mn-ea"/>
                <a:cs typeface="+mn-cs"/>
              </a:rPr>
              <a:t>2</a:t>
            </a:r>
            <a:r>
              <a:rPr kumimoji="0" lang="zh-CN" altLang="en-US" sz="1100" b="0" i="0" u="none" strike="noStrike" kern="0" cap="none" spc="0" normalizeH="0" baseline="0" noProof="0">
                <a:ln>
                  <a:noFill/>
                </a:ln>
                <a:solidFill>
                  <a:sysClr val="windowText" lastClr="000000"/>
                </a:solidFill>
                <a:effectLst/>
                <a:uLnTx/>
                <a:uFillTx/>
                <a:latin typeface="+mn-lt"/>
                <a:ea typeface="+mn-ea"/>
                <a:cs typeface="+mn-cs"/>
              </a:rPr>
              <a:t>、编制财务报表并申报网上各个平台；</a:t>
            </a:r>
            <a:endParaRPr kumimoji="0" lang="zh-CN" altLang="en-US" sz="1100" b="0" i="0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+mn-lt"/>
              <a:ea typeface="+mn-ea"/>
              <a:cs typeface="+mn-cs"/>
            </a:endParaRPr>
          </a:p>
          <a:p>
            <a:pPr marL="0" marR="0" lvl="0" indent="0" algn="l" defTabSz="91440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defRPr/>
            </a:pPr>
            <a:r>
              <a:rPr kumimoji="0" lang="en-US" altLang="zh-CN" sz="1100" b="0" i="0" u="none" strike="noStrike" kern="0" cap="none" spc="0" normalizeH="0" baseline="0" noProof="0">
                <a:ln>
                  <a:noFill/>
                </a:ln>
                <a:solidFill>
                  <a:sysClr val="windowText" lastClr="000000"/>
                </a:solidFill>
                <a:effectLst/>
                <a:uLnTx/>
                <a:uFillTx/>
                <a:latin typeface="+mn-lt"/>
                <a:ea typeface="+mn-ea"/>
                <a:cs typeface="+mn-cs"/>
              </a:rPr>
              <a:t>3</a:t>
            </a:r>
            <a:r>
              <a:rPr kumimoji="0" lang="zh-CN" altLang="en-US" sz="1100" b="0" i="0" u="none" strike="noStrike" kern="0" cap="none" spc="0" normalizeH="0" baseline="0" noProof="0">
                <a:ln>
                  <a:noFill/>
                </a:ln>
                <a:solidFill>
                  <a:sysClr val="windowText" lastClr="000000"/>
                </a:solidFill>
                <a:effectLst/>
                <a:uLnTx/>
                <a:uFillTx/>
                <a:latin typeface="+mn-lt"/>
                <a:ea typeface="+mn-ea"/>
                <a:cs typeface="+mn-cs"/>
              </a:rPr>
              <a:t>、公司纳税申报及税务关系维护；</a:t>
            </a:r>
            <a:endParaRPr kumimoji="0" lang="zh-CN" altLang="en-US" sz="1100" b="0" i="0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+mn-lt"/>
              <a:ea typeface="+mn-ea"/>
              <a:cs typeface="+mn-cs"/>
            </a:endParaRPr>
          </a:p>
          <a:p>
            <a:pPr marL="0" marR="0" lvl="0" indent="0" algn="l" defTabSz="91440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defRPr/>
            </a:pPr>
            <a:r>
              <a:rPr kumimoji="0" lang="en-US" altLang="zh-CN" sz="1100" b="0" i="0" u="none" strike="noStrike" kern="0" cap="none" spc="0" normalizeH="0" baseline="0" noProof="0">
                <a:ln>
                  <a:noFill/>
                </a:ln>
                <a:solidFill>
                  <a:sysClr val="windowText" lastClr="000000"/>
                </a:solidFill>
                <a:effectLst/>
                <a:uLnTx/>
                <a:uFillTx/>
                <a:latin typeface="+mn-lt"/>
                <a:ea typeface="+mn-ea"/>
                <a:cs typeface="+mn-cs"/>
              </a:rPr>
              <a:t>4</a:t>
            </a:r>
            <a:r>
              <a:rPr kumimoji="0" lang="zh-CN" altLang="en-US" sz="1100" b="0" i="0" u="none" strike="noStrike" kern="0" cap="none" spc="0" normalizeH="0" baseline="0" noProof="0">
                <a:ln>
                  <a:noFill/>
                </a:ln>
                <a:solidFill>
                  <a:sysClr val="windowText" lastClr="000000"/>
                </a:solidFill>
                <a:effectLst/>
                <a:uLnTx/>
                <a:uFillTx/>
                <a:latin typeface="+mn-lt"/>
                <a:ea typeface="+mn-ea"/>
                <a:cs typeface="+mn-cs"/>
              </a:rPr>
              <a:t>、财务凭证及资料的档案整理；</a:t>
            </a:r>
            <a:endParaRPr kumimoji="0" lang="zh-CN" altLang="en-US" sz="1100" b="0" i="0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+mn-lt"/>
              <a:ea typeface="+mn-ea"/>
              <a:cs typeface="+mn-cs"/>
            </a:endParaRPr>
          </a:p>
          <a:p>
            <a:pPr marL="0" marR="0" lvl="0" indent="0" algn="l" defTabSz="91440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defRPr/>
            </a:pPr>
            <a:r>
              <a:rPr lang="en-US" altLang="zh-CN">
                <a:effectLst/>
              </a:rPr>
              <a:t>5</a:t>
            </a:r>
            <a:r>
              <a:rPr lang="zh-CN" altLang="en-US">
                <a:effectLst/>
              </a:rPr>
              <a:t>、</a:t>
            </a:r>
            <a:r>
              <a:rPr lang="zh-CN" altLang="en-US" noProof="0">
                <a:ln>
                  <a:noFill/>
                </a:ln>
                <a:solidFill>
                  <a:sysClr val="windowText" lastClr="000000"/>
                </a:solidFill>
                <a:effectLst/>
                <a:uLnTx/>
                <a:uFillTx/>
                <a:sym typeface="+mn-ea"/>
              </a:rPr>
              <a:t>发票的开具，登记及税负平衡；</a:t>
            </a:r>
            <a:endParaRPr kumimoji="0" lang="zh-CN" altLang="en-US" sz="1100" b="0" i="0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+mn-lt"/>
              <a:ea typeface="+mn-ea"/>
              <a:cs typeface="+mn-cs"/>
              <a:sym typeface="+mn-ea"/>
            </a:endParaRPr>
          </a:p>
          <a:p>
            <a:pPr marL="0" marR="0" lvl="0" indent="0" algn="l" defTabSz="91440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defRPr/>
            </a:pPr>
            <a:r>
              <a:rPr kumimoji="0" lang="en-US" altLang="zh-CN" sz="1100" b="0" i="0" u="none" strike="noStrike" kern="0" cap="none" spc="0" normalizeH="0" baseline="0" noProof="0">
                <a:ln>
                  <a:noFill/>
                </a:ln>
                <a:solidFill>
                  <a:sysClr val="windowText" lastClr="000000"/>
                </a:solidFill>
                <a:effectLst/>
                <a:uLnTx/>
                <a:uFillTx/>
                <a:latin typeface="+mn-lt"/>
                <a:ea typeface="+mn-ea"/>
                <a:cs typeface="+mn-cs"/>
                <a:sym typeface="+mn-ea"/>
              </a:rPr>
              <a:t>6</a:t>
            </a:r>
            <a:r>
              <a:rPr kumimoji="0" lang="zh-CN" altLang="en-US" sz="1100" b="0" i="0" u="none" strike="noStrike" kern="0" cap="none" spc="0" normalizeH="0" baseline="0" noProof="0">
                <a:ln>
                  <a:noFill/>
                </a:ln>
                <a:solidFill>
                  <a:sysClr val="windowText" lastClr="000000"/>
                </a:solidFill>
                <a:effectLst/>
                <a:uLnTx/>
                <a:uFillTx/>
                <a:latin typeface="+mn-lt"/>
                <a:ea typeface="+mn-ea"/>
                <a:cs typeface="+mn-cs"/>
                <a:sym typeface="+mn-ea"/>
              </a:rPr>
              <a:t>、</a:t>
            </a:r>
            <a:r>
              <a:rPr lang="zh-CN" altLang="zh-CN">
                <a:effectLst/>
              </a:rPr>
              <a:t>高企项目申报的财务数据归集和资料整理</a:t>
            </a:r>
            <a:endParaRPr lang="zh-CN" altLang="zh-CN">
              <a:effectLst/>
            </a:endParaRPr>
          </a:p>
          <a:p>
            <a:pPr marL="0" marR="0" lvl="0" indent="0" algn="l" defTabSz="91440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defRPr/>
            </a:pPr>
            <a:endParaRPr kumimoji="0" lang="en-US" altLang="zh-CN" sz="1100" b="0" i="0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+mn-lt"/>
              <a:ea typeface="+mn-ea"/>
              <a:cs typeface="+mn-cs"/>
            </a:endParaRPr>
          </a:p>
          <a:p>
            <a:pPr marL="0" marR="0" lvl="0" indent="0" algn="l" defTabSz="914400" rtl="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defRPr/>
            </a:pPr>
            <a:endParaRPr lang="zh-CN" altLang="zh-CN">
              <a:effectLst/>
            </a:endParaRPr>
          </a:p>
          <a:p>
            <a:pPr marL="0" marR="0" lvl="0" indent="0" algn="l" defTabSz="914400" rtl="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defRPr/>
            </a:pPr>
            <a:endParaRPr kumimoji="0" lang="en-US" altLang="zh-CN" sz="1100" b="0" i="0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+mn-lt"/>
              <a:ea typeface="+mn-ea"/>
              <a:cs typeface="+mn-cs"/>
            </a:endParaRPr>
          </a:p>
        </xdr:txBody>
      </xdr:sp>
      <xdr:cxnSp>
        <xdr:nvCxnSpPr>
          <xdr:cNvPr id="30" name="直接连接符 29"/>
          <xdr:cNvCxnSpPr>
            <a:stCxn id="28" idx="2"/>
            <a:endCxn id="29" idx="0"/>
          </xdr:cNvCxnSpPr>
        </xdr:nvCxnSpPr>
        <xdr:spPr>
          <a:xfrm>
            <a:off x="5263" y="6120"/>
            <a:ext cx="4" cy="282"/>
          </a:xfrm>
          <a:prstGeom prst="line">
            <a:avLst/>
          </a:prstGeom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cxnSp>
        <xdr:nvCxnSpPr>
          <xdr:cNvPr id="31" name="直接连接符 30"/>
          <xdr:cNvCxnSpPr/>
        </xdr:nvCxnSpPr>
        <xdr:spPr>
          <a:xfrm>
            <a:off x="5310" y="5200"/>
            <a:ext cx="7" cy="342"/>
          </a:xfrm>
          <a:prstGeom prst="line">
            <a:avLst/>
          </a:prstGeom>
        </xdr:spPr>
        <xdr:style>
          <a:lnRef idx="2">
            <a:schemeClr val="accent1"/>
          </a:lnRef>
          <a:fillRef idx="0">
            <a:srgbClr val="FFFFFF"/>
          </a:fillRef>
          <a:effectRef idx="0">
            <a:srgbClr val="FFFFFF"/>
          </a:effectRef>
          <a:fontRef idx="minor">
            <a:schemeClr val="tx1"/>
          </a:fontRef>
        </xdr:style>
      </xdr:cxnSp>
      <xdr:sp>
        <xdr:nvSpPr>
          <xdr:cNvPr id="32" name="圆角矩形 31"/>
          <xdr:cNvSpPr/>
        </xdr:nvSpPr>
        <xdr:spPr>
          <a:xfrm>
            <a:off x="4209" y="4602"/>
            <a:ext cx="2394" cy="577"/>
          </a:xfrm>
          <a:prstGeom prst="roundRect">
            <a:avLst/>
          </a:prstGeom>
          <a:solidFill>
            <a:schemeClr val="accent1">
              <a:lumMod val="40000"/>
              <a:lumOff val="60000"/>
            </a:schemeClr>
          </a:solidFill>
          <a:ln w="9525"/>
        </xdr:spPr>
        <xdr:style>
          <a:lnRef idx="2">
            <a:schemeClr val="dk1"/>
          </a:lnRef>
          <a:fillRef idx="1">
            <a:schemeClr val="lt1"/>
          </a:fillRef>
          <a:effectRef idx="0">
            <a:schemeClr val="dk1"/>
          </a:effectRef>
          <a:fontRef idx="minor">
            <a:schemeClr val="dk1"/>
          </a:fontRef>
        </xdr:style>
        <xdr:txBody>
          <a:bodyPr vertOverflow="clip" horzOverflow="clip" lIns="0" tIns="0" rIns="0" bIns="0" rtlCol="0" anchor="ctr"/>
          <a:lstStyle>
            <a:defPPr>
              <a:defRPr lang="zh-CN">
                <a:solidFill>
                  <a:schemeClr val="dk1"/>
                </a:solidFill>
              </a:defRPr>
            </a:defPPr>
            <a:lvl1pPr marL="0" algn="l" defTabSz="914400" rtl="0" eaLnBrk="1" latinLnBrk="0" hangingPunct="1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9pPr>
          </a:lstStyle>
          <a:p>
            <a:pPr marL="0" marR="0" lvl="0" indent="0" algn="ctr" defTabSz="91440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defRPr/>
            </a:pPr>
            <a:r>
              <a:rPr kumimoji="0" lang="zh-CN" altLang="en-US" sz="1100" b="0" i="0" u="none" strike="noStrike" kern="0" cap="none" spc="0" normalizeH="0" baseline="0" noProof="0">
                <a:ln>
                  <a:noFill/>
                </a:ln>
                <a:solidFill>
                  <a:sysClr val="windowText" lastClr="000000"/>
                </a:solidFill>
                <a:effectLst/>
                <a:uLnTx/>
                <a:uFillTx/>
                <a:latin typeface="宋体" panose="02010600030101010101" pitchFamily="7" charset="-122"/>
                <a:ea typeface="宋体" panose="02010600030101010101" pitchFamily="7" charset="-122"/>
                <a:cs typeface="+mn-cs"/>
              </a:rPr>
              <a:t>总账会计（</a:t>
            </a:r>
            <a:r>
              <a:rPr kumimoji="0" lang="en-US" altLang="zh-CN" sz="1100" b="0" i="0" u="none" strike="noStrike" kern="0" cap="none" spc="0" normalizeH="0" baseline="0" noProof="0">
                <a:ln>
                  <a:noFill/>
                </a:ln>
                <a:solidFill>
                  <a:sysClr val="windowText" lastClr="000000"/>
                </a:solidFill>
                <a:effectLst/>
                <a:uLnTx/>
                <a:uFillTx/>
                <a:latin typeface="宋体" panose="02010600030101010101" pitchFamily="7" charset="-122"/>
                <a:ea typeface="宋体" panose="02010600030101010101" pitchFamily="7" charset="-122"/>
                <a:cs typeface="+mn-cs"/>
              </a:rPr>
              <a:t>1</a:t>
            </a:r>
            <a:r>
              <a:rPr kumimoji="0" lang="zh-CN" altLang="en-US" sz="1100" b="0" i="0" u="none" strike="noStrike" kern="0" cap="none" spc="0" normalizeH="0" baseline="0" noProof="0">
                <a:ln>
                  <a:noFill/>
                </a:ln>
                <a:solidFill>
                  <a:sysClr val="windowText" lastClr="000000"/>
                </a:solidFill>
                <a:effectLst/>
                <a:uLnTx/>
                <a:uFillTx/>
                <a:latin typeface="宋体" panose="02010600030101010101" pitchFamily="7" charset="-122"/>
                <a:ea typeface="宋体" panose="02010600030101010101" pitchFamily="7" charset="-122"/>
                <a:cs typeface="+mn-cs"/>
              </a:rPr>
              <a:t>人）</a:t>
            </a:r>
            <a:endParaRPr kumimoji="0" lang="en-US" altLang="zh-CN" sz="1100" b="0" i="0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宋体" panose="02010600030101010101" pitchFamily="7" charset="-122"/>
              <a:ea typeface="宋体" panose="02010600030101010101" pitchFamily="7" charset="-122"/>
              <a:cs typeface="+mn-cs"/>
            </a:endParaRPr>
          </a:p>
        </xdr:txBody>
      </xdr:sp>
      <xdr:cxnSp>
        <xdr:nvCxnSpPr>
          <xdr:cNvPr id="33" name="直接连接符 32"/>
          <xdr:cNvCxnSpPr/>
        </xdr:nvCxnSpPr>
        <xdr:spPr>
          <a:xfrm flipH="1">
            <a:off x="5339" y="4246"/>
            <a:ext cx="7" cy="368"/>
          </a:xfrm>
          <a:prstGeom prst="line">
            <a:avLst/>
          </a:prstGeom>
        </xdr:spPr>
        <xdr:style>
          <a:lnRef idx="2">
            <a:schemeClr val="accent1"/>
          </a:lnRef>
          <a:fillRef idx="0">
            <a:srgbClr val="FFFFFF"/>
          </a:fillRef>
          <a:effectRef idx="0">
            <a:srgbClr val="FFFFFF"/>
          </a:effectRef>
          <a:fontRef idx="minor">
            <a:schemeClr val="tx1"/>
          </a:fontRef>
        </xdr:style>
      </xdr:cxnSp>
    </xdr:grpSp>
    <xdr:clientData/>
  </xdr:twoCellAnchor>
  <xdr:twoCellAnchor>
    <xdr:from>
      <xdr:col>0</xdr:col>
      <xdr:colOff>26035</xdr:colOff>
      <xdr:row>9</xdr:row>
      <xdr:rowOff>59055</xdr:rowOff>
    </xdr:from>
    <xdr:to>
      <xdr:col>10</xdr:col>
      <xdr:colOff>139065</xdr:colOff>
      <xdr:row>21</xdr:row>
      <xdr:rowOff>107950</xdr:rowOff>
    </xdr:to>
    <xdr:grpSp>
      <xdr:nvGrpSpPr>
        <xdr:cNvPr id="43" name="组合 42"/>
        <xdr:cNvGrpSpPr/>
      </xdr:nvGrpSpPr>
      <xdr:grpSpPr>
        <a:xfrm>
          <a:off x="26035" y="2002155"/>
          <a:ext cx="6552565" cy="2220595"/>
          <a:chOff x="35" y="961"/>
          <a:chExt cx="9716" cy="3357"/>
        </a:xfrm>
      </xdr:grpSpPr>
      <xdr:sp>
        <xdr:nvSpPr>
          <xdr:cNvPr id="44" name="圆角矩形 43"/>
          <xdr:cNvSpPr/>
        </xdr:nvSpPr>
        <xdr:spPr>
          <a:xfrm>
            <a:off x="6657" y="1889"/>
            <a:ext cx="3094" cy="1375"/>
          </a:xfrm>
          <a:prstGeom prst="roundRect">
            <a:avLst/>
          </a:prstGeom>
          <a:ln w="9525"/>
        </xdr:spPr>
        <xdr:style>
          <a:lnRef idx="2">
            <a:schemeClr val="dk1"/>
          </a:lnRef>
          <a:fillRef idx="1">
            <a:schemeClr val="lt1"/>
          </a:fillRef>
          <a:effectRef idx="0">
            <a:schemeClr val="dk1"/>
          </a:effectRef>
          <a:fontRef idx="minor">
            <a:schemeClr val="dk1"/>
          </a:fontRef>
        </xdr:style>
        <xdr:txBody>
          <a:bodyPr vertOverflow="clip" horzOverflow="clip" lIns="0" tIns="0" rIns="0" bIns="0" rtlCol="0" anchor="ctr"/>
          <a:lstStyle>
            <a:defPPr>
              <a:defRPr lang="zh-CN">
                <a:solidFill>
                  <a:schemeClr val="dk1"/>
                </a:solidFill>
              </a:defRPr>
            </a:defPPr>
            <a:lvl1pPr marL="0" algn="l" defTabSz="914400" rtl="0" eaLnBrk="1" latinLnBrk="0" hangingPunct="1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/>
            <a:r>
              <a:rPr lang="zh-CN" altLang="en-US" sz="1400" b="1">
                <a:latin typeface="+mn-ea"/>
                <a:ea typeface="+mn-ea"/>
              </a:rPr>
              <a:t>财务经理</a:t>
            </a:r>
            <a:endParaRPr lang="zh-CN" altLang="en-US" sz="1400" b="1">
              <a:latin typeface="+mn-ea"/>
              <a:ea typeface="+mn-ea"/>
            </a:endParaRPr>
          </a:p>
          <a:p>
            <a:pPr algn="ctr"/>
            <a:r>
              <a:rPr lang="zh-CN" altLang="en-US" sz="1050" b="0">
                <a:solidFill>
                  <a:schemeClr val="dk1"/>
                </a:solidFill>
                <a:latin typeface="+mn-ea"/>
                <a:ea typeface="+mn-ea"/>
              </a:rPr>
              <a:t>余丽（</a:t>
            </a:r>
            <a:r>
              <a:rPr lang="en-US" altLang="zh-CN" sz="1050" b="0">
                <a:solidFill>
                  <a:schemeClr val="dk1"/>
                </a:solidFill>
                <a:latin typeface="+mn-ea"/>
                <a:ea typeface="+mn-ea"/>
              </a:rPr>
              <a:t>1</a:t>
            </a:r>
            <a:r>
              <a:rPr lang="zh-CN" altLang="en-US" sz="1050" b="0">
                <a:solidFill>
                  <a:schemeClr val="dk1"/>
                </a:solidFill>
                <a:latin typeface="+mn-ea"/>
                <a:ea typeface="+mn-ea"/>
              </a:rPr>
              <a:t>人）</a:t>
            </a:r>
            <a:endParaRPr lang="en-US" altLang="zh-CN" sz="1050" b="0">
              <a:solidFill>
                <a:schemeClr val="dk1"/>
              </a:solidFill>
              <a:latin typeface="+mn-ea"/>
              <a:ea typeface="+mn-ea"/>
            </a:endParaRPr>
          </a:p>
        </xdr:txBody>
      </xdr:sp>
      <xdr:sp>
        <xdr:nvSpPr>
          <xdr:cNvPr id="45" name="圆角矩形 44"/>
          <xdr:cNvSpPr/>
        </xdr:nvSpPr>
        <xdr:spPr>
          <a:xfrm>
            <a:off x="35" y="961"/>
            <a:ext cx="4442" cy="3357"/>
          </a:xfrm>
          <a:prstGeom prst="roundRect">
            <a:avLst>
              <a:gd name="adj" fmla="val 9831"/>
            </a:avLst>
          </a:prstGeom>
          <a:ln w="12700">
            <a:solidFill>
              <a:schemeClr val="tx2">
                <a:lumMod val="60000"/>
                <a:lumOff val="40000"/>
              </a:schemeClr>
            </a:solidFill>
          </a:ln>
        </xdr:spPr>
        <xdr:style>
          <a:lnRef idx="2">
            <a:schemeClr val="accent3"/>
          </a:lnRef>
          <a:fillRef idx="1">
            <a:schemeClr val="lt1"/>
          </a:fillRef>
          <a:effectRef idx="0">
            <a:schemeClr val="accent3"/>
          </a:effectRef>
          <a:fontRef idx="minor">
            <a:schemeClr val="dk1"/>
          </a:fontRef>
        </xdr:style>
        <xdr:txBody>
          <a:bodyPr vertOverflow="clip" horzOverflow="clip" lIns="0" tIns="0" rIns="0" bIns="0" rtlCol="0" anchor="t"/>
          <a:lstStyle>
            <a:defPPr>
              <a:defRPr lang="zh-CN">
                <a:solidFill>
                  <a:schemeClr val="dk1"/>
                </a:solidFill>
              </a:defRPr>
            </a:defPPr>
            <a:lvl1pPr marL="0" algn="l" defTabSz="914400" rtl="0" eaLnBrk="1" latinLnBrk="0" hangingPunct="1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9pPr>
          </a:lstStyle>
          <a:p>
            <a:r>
              <a:rPr lang="zh-CN" altLang="zh-CN" sz="120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主要职责</a:t>
            </a:r>
            <a:r>
              <a:rPr lang="zh-CN" altLang="en-US" sz="110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：</a:t>
            </a:r>
            <a:r>
              <a:rPr lang="en-US" altLang="zh-CN" sz="110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                                                             </a:t>
            </a:r>
            <a:endParaRPr lang="zh-CN" altLang="zh-CN">
              <a:effectLst/>
            </a:endParaRPr>
          </a:p>
          <a:p>
            <a:r>
              <a:rPr lang="en-US" altLang="zh-CN" sz="110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1</a:t>
            </a:r>
            <a:r>
              <a:rPr lang="zh-CN" altLang="zh-CN" sz="110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、财务体系建立并及时更新；</a:t>
            </a:r>
            <a:endParaRPr lang="zh-CN" altLang="zh-CN">
              <a:effectLst/>
            </a:endParaRPr>
          </a:p>
          <a:p>
            <a:r>
              <a:rPr lang="en-US" altLang="zh-CN" sz="110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2</a:t>
            </a:r>
            <a:r>
              <a:rPr lang="zh-CN" altLang="zh-CN" sz="110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、内部工作的协调与财务人员的培训和培养；</a:t>
            </a:r>
            <a:endParaRPr lang="zh-CN" altLang="zh-CN">
              <a:effectLst/>
            </a:endParaRPr>
          </a:p>
          <a:p>
            <a:r>
              <a:rPr lang="en-US" altLang="zh-CN" sz="110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3</a:t>
            </a:r>
            <a:r>
              <a:rPr lang="zh-CN" altLang="zh-CN" sz="110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、销售、费用、经营分析；</a:t>
            </a:r>
            <a:endParaRPr lang="zh-CN" altLang="zh-CN" sz="1100">
              <a:solidFill>
                <a:schemeClr val="dk1"/>
              </a:solidFill>
              <a:effectLst/>
              <a:latin typeface="+mn-lt"/>
              <a:ea typeface="+mn-ea"/>
              <a:cs typeface="+mn-cs"/>
            </a:endParaRPr>
          </a:p>
          <a:p>
            <a:r>
              <a:rPr lang="en-US" altLang="zh-CN" sz="110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4</a:t>
            </a:r>
            <a:r>
              <a:rPr lang="zh-CN" altLang="en-US" sz="110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、</a:t>
            </a:r>
            <a:r>
              <a:rPr lang="zh-CN" altLang="zh-CN" sz="110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资金计划管理及筹划；</a:t>
            </a:r>
            <a:endParaRPr lang="zh-CN" altLang="zh-CN" sz="1100">
              <a:solidFill>
                <a:schemeClr val="dk1"/>
              </a:solidFill>
              <a:effectLst/>
              <a:latin typeface="+mn-lt"/>
              <a:ea typeface="+mn-ea"/>
              <a:cs typeface="+mn-cs"/>
            </a:endParaRPr>
          </a:p>
          <a:p>
            <a:r>
              <a:rPr lang="en-US" altLang="zh-CN" sz="110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5</a:t>
            </a:r>
            <a:r>
              <a:rPr lang="zh-CN" altLang="en-US" sz="110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、</a:t>
            </a:r>
            <a:r>
              <a:rPr lang="zh-CN" altLang="zh-CN" sz="110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参与合同的审核、绩效政策的制定；</a:t>
            </a:r>
            <a:endParaRPr lang="zh-CN" altLang="zh-CN" sz="1100">
              <a:solidFill>
                <a:schemeClr val="dk1"/>
              </a:solidFill>
              <a:effectLst/>
              <a:latin typeface="+mn-lt"/>
              <a:ea typeface="+mn-ea"/>
              <a:cs typeface="+mn-cs"/>
            </a:endParaRPr>
          </a:p>
          <a:p>
            <a:r>
              <a:rPr lang="en-US" altLang="zh-CN" sz="110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6</a:t>
            </a:r>
            <a:r>
              <a:rPr lang="zh-CN" altLang="en-US" sz="110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、</a:t>
            </a:r>
            <a:r>
              <a:rPr lang="en-US" altLang="zh-CN">
                <a:effectLst/>
              </a:rPr>
              <a:t>外部工作协同与衔接</a:t>
            </a:r>
            <a:r>
              <a:rPr lang="zh-CN" altLang="en-US">
                <a:effectLst/>
              </a:rPr>
              <a:t>。</a:t>
            </a:r>
            <a:endParaRPr lang="zh-CN" altLang="en-US">
              <a:effectLst/>
            </a:endParaRPr>
          </a:p>
          <a:p>
            <a:r>
              <a:rPr lang="en-US" altLang="zh-CN">
                <a:effectLst/>
              </a:rPr>
              <a:t>7 </a:t>
            </a:r>
            <a:r>
              <a:rPr lang="zh-CN" altLang="en-US">
                <a:effectLst/>
              </a:rPr>
              <a:t>、银行及中介融资对接</a:t>
            </a:r>
            <a:r>
              <a:rPr lang="en-US" altLang="zh-CN">
                <a:effectLst/>
              </a:rPr>
              <a:t> </a:t>
            </a:r>
            <a:endParaRPr lang="en-US" altLang="zh-CN">
              <a:effectLst/>
            </a:endParaRPr>
          </a:p>
          <a:p>
            <a:r>
              <a:rPr lang="en-US" altLang="zh-CN">
                <a:effectLst/>
              </a:rPr>
              <a:t>8</a:t>
            </a:r>
            <a:r>
              <a:rPr lang="zh-CN" altLang="en-US">
                <a:effectLst/>
              </a:rPr>
              <a:t>、日常费用，付款、</a:t>
            </a:r>
            <a:r>
              <a:rPr lang="zh-CN" altLang="en-US">
                <a:effectLst/>
                <a:sym typeface="+mn-ea"/>
              </a:rPr>
              <a:t>工资数据复审，核对</a:t>
            </a:r>
            <a:r>
              <a:rPr lang="zh-CN" altLang="en-US">
                <a:effectLst/>
              </a:rPr>
              <a:t>核复核。</a:t>
            </a:r>
            <a:endParaRPr lang="zh-CN" altLang="en-US">
              <a:effectLst/>
            </a:endParaRPr>
          </a:p>
          <a:p>
            <a:endParaRPr lang="zh-CN" altLang="en-US">
              <a:effectLst/>
            </a:endParaRPr>
          </a:p>
          <a:p>
            <a:endParaRPr lang="en-US" altLang="zh-CN">
              <a:effectLst/>
            </a:endParaRPr>
          </a:p>
          <a:p>
            <a:endParaRPr lang="en-US" altLang="zh-CN">
              <a:effectLst/>
            </a:endParaRPr>
          </a:p>
          <a:p>
            <a:endParaRPr lang="en-US" altLang="zh-CN">
              <a:effectLst/>
            </a:endParaRPr>
          </a:p>
          <a:p>
            <a:endParaRPr lang="en-US" altLang="zh-CN">
              <a:effectLst/>
            </a:endParaRPr>
          </a:p>
          <a:p>
            <a:endParaRPr lang="en-US" altLang="zh-CN">
              <a:effectLst/>
            </a:endParaRPr>
          </a:p>
          <a:p>
            <a:endParaRPr lang="zh-CN" altLang="en-US">
              <a:effectLst/>
            </a:endParaRPr>
          </a:p>
          <a:p>
            <a:endParaRPr lang="zh-CN" altLang="en-US">
              <a:effectLst/>
            </a:endParaRPr>
          </a:p>
        </xdr:txBody>
      </xdr:sp>
      <xdr:cxnSp>
        <xdr:nvCxnSpPr>
          <xdr:cNvPr id="46" name="直接连接符 45"/>
          <xdr:cNvCxnSpPr>
            <a:stCxn id="45" idx="3"/>
            <a:endCxn id="44" idx="1"/>
          </xdr:cNvCxnSpPr>
        </xdr:nvCxnSpPr>
        <xdr:spPr>
          <a:xfrm flipV="1">
            <a:off x="4477" y="2576"/>
            <a:ext cx="2180" cy="64"/>
          </a:xfrm>
          <a:prstGeom prst="line">
            <a:avLst/>
          </a:prstGeom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</xdr:grpSp>
    <xdr:clientData/>
  </xdr:twoCellAnchor>
  <xdr:twoCellAnchor>
    <xdr:from>
      <xdr:col>10</xdr:col>
      <xdr:colOff>138430</xdr:colOff>
      <xdr:row>15</xdr:row>
      <xdr:rowOff>29210</xdr:rowOff>
    </xdr:from>
    <xdr:to>
      <xdr:col>11</xdr:col>
      <xdr:colOff>500380</xdr:colOff>
      <xdr:row>15</xdr:row>
      <xdr:rowOff>41275</xdr:rowOff>
    </xdr:to>
    <xdr:cxnSp>
      <xdr:nvCxnSpPr>
        <xdr:cNvPr id="47" name="直接连接符 46"/>
        <xdr:cNvCxnSpPr>
          <a:stCxn id="2" idx="1"/>
          <a:endCxn id="44" idx="3"/>
        </xdr:cNvCxnSpPr>
      </xdr:nvCxnSpPr>
      <xdr:spPr>
        <a:xfrm flipH="1">
          <a:off x="6577965" y="3058160"/>
          <a:ext cx="888365" cy="12065"/>
        </a:xfrm>
        <a:prstGeom prst="line">
          <a:avLst/>
        </a:prstGeom>
      </xdr:spPr>
      <xdr:style>
        <a:lnRef idx="2">
          <a:schemeClr val="accent1"/>
        </a:lnRef>
        <a:fillRef idx="0">
          <a:srgbClr val="FFFFFF"/>
        </a:fillRef>
        <a:effectRef idx="0">
          <a:srgbClr val="FFFFFF"/>
        </a:effectRef>
        <a:fontRef idx="minor">
          <a:schemeClr val="tx1"/>
        </a:fontRef>
      </xdr:style>
    </xdr:cxnSp>
    <xdr:clientData/>
  </xdr:twoCellAnchor>
  <xdr:twoCellAnchor>
    <xdr:from>
      <xdr:col>8</xdr:col>
      <xdr:colOff>290830</xdr:colOff>
      <xdr:row>17</xdr:row>
      <xdr:rowOff>133985</xdr:rowOff>
    </xdr:from>
    <xdr:to>
      <xdr:col>8</xdr:col>
      <xdr:colOff>302895</xdr:colOff>
      <xdr:row>20</xdr:row>
      <xdr:rowOff>146685</xdr:rowOff>
    </xdr:to>
    <xdr:cxnSp>
      <xdr:nvCxnSpPr>
        <xdr:cNvPr id="48" name="直接连接符 47"/>
        <xdr:cNvCxnSpPr>
          <a:stCxn id="44" idx="2"/>
        </xdr:cNvCxnSpPr>
      </xdr:nvCxnSpPr>
      <xdr:spPr>
        <a:xfrm flipH="1">
          <a:off x="5525135" y="3524885"/>
          <a:ext cx="12065" cy="555625"/>
        </a:xfrm>
        <a:prstGeom prst="line">
          <a:avLst/>
        </a:prstGeom>
      </xdr:spPr>
      <xdr:style>
        <a:lnRef idx="2">
          <a:schemeClr val="accent1"/>
        </a:lnRef>
        <a:fillRef idx="0">
          <a:srgbClr val="FFFFFF"/>
        </a:fillRef>
        <a:effectRef idx="0">
          <a:srgbClr val="FFFFFF"/>
        </a:effectRef>
        <a:fontRef idx="minor">
          <a:schemeClr val="tx1"/>
        </a:fontRef>
      </xdr:style>
    </xdr:cxnSp>
    <xdr:clientData/>
  </xdr:twoCellAnchor>
</xdr:wsDr>
</file>

<file path=xl/drawings/drawing2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0</xdr:col>
      <xdr:colOff>19051</xdr:colOff>
      <xdr:row>2</xdr:row>
      <xdr:rowOff>19051</xdr:rowOff>
    </xdr:from>
    <xdr:to>
      <xdr:col>8</xdr:col>
      <xdr:colOff>615245</xdr:colOff>
      <xdr:row>28</xdr:row>
      <xdr:rowOff>1</xdr:rowOff>
    </xdr:to>
    <xdr:pic>
      <xdr:nvPicPr>
        <xdr:cNvPr id="2" name="Picture 1" descr="visio符号"/>
        <xdr:cNvPicPr>
          <a:picLocks noChangeAspect="1" noChangeArrowheads="1"/>
        </xdr:cNvPicPr>
      </xdr:nvPicPr>
      <xdr:blipFill>
        <a:blip r:embed="rId1" cstate="print"/>
        <a:srcRect l="3731" t="16305" r="3593" b="7025"/>
        <a:stretch>
          <a:fillRect/>
        </a:stretch>
      </xdr:blipFill>
      <xdr:spPr>
        <a:xfrm>
          <a:off x="19050" y="381000"/>
          <a:ext cx="5624830" cy="4686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2</xdr:col>
      <xdr:colOff>504825</xdr:colOff>
      <xdr:row>0</xdr:row>
      <xdr:rowOff>47625</xdr:rowOff>
    </xdr:from>
    <xdr:to>
      <xdr:col>6</xdr:col>
      <xdr:colOff>295275</xdr:colOff>
      <xdr:row>2</xdr:row>
      <xdr:rowOff>0</xdr:rowOff>
    </xdr:to>
    <xdr:sp>
      <xdr:nvSpPr>
        <xdr:cNvPr id="3" name="TextBox 2"/>
        <xdr:cNvSpPr txBox="1"/>
      </xdr:nvSpPr>
      <xdr:spPr>
        <a:xfrm>
          <a:off x="1762125" y="47625"/>
          <a:ext cx="2305050" cy="314325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ctr"/>
        <a:lstStyle/>
        <a:p>
          <a:pPr algn="ctr"/>
          <a:r>
            <a:rPr lang="zh-CN" altLang="en-US" sz="1800" b="1"/>
            <a:t>附录</a:t>
          </a:r>
          <a:r>
            <a:rPr lang="en-US" altLang="zh-CN" sz="1800" b="1"/>
            <a:t>---</a:t>
          </a:r>
          <a:r>
            <a:rPr lang="zh-CN" altLang="en-US" sz="1800" b="1"/>
            <a:t>流程图符号说明</a:t>
          </a:r>
          <a:endParaRPr lang="zh-CN" altLang="en-US" sz="1800" b="1"/>
        </a:p>
      </xdr:txBody>
    </xdr:sp>
    <xdr:clientData/>
  </xdr:twoCellAnchor>
</xdr:wsDr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79"/>
  <sheetViews>
    <sheetView topLeftCell="A12" workbookViewId="0">
      <selection activeCell="I31" sqref="I31"/>
    </sheetView>
  </sheetViews>
  <sheetFormatPr defaultColWidth="9" defaultRowHeight="14.25"/>
  <cols>
    <col min="2" max="2" width="6.33333333333333" customWidth="1"/>
    <col min="3" max="3" width="6.83333333333333" customWidth="1"/>
    <col min="4" max="4" width="11" customWidth="1"/>
    <col min="5" max="5" width="4.75" customWidth="1"/>
    <col min="6" max="6" width="4.58333333333333" customWidth="1"/>
    <col min="7" max="7" width="12.3333333333333" style="24" customWidth="1"/>
    <col min="8" max="8" width="4.25" customWidth="1"/>
    <col min="9" max="9" width="56.5083333333333" customWidth="1"/>
    <col min="10" max="10" width="18.8333333333333" customWidth="1"/>
  </cols>
  <sheetData>
    <row r="1" ht="36" customHeight="1" spans="1:9">
      <c r="A1" s="25" t="s">
        <v>0</v>
      </c>
      <c r="B1" s="25"/>
      <c r="C1" s="25"/>
      <c r="D1" s="25"/>
      <c r="E1" s="25"/>
      <c r="F1" s="25"/>
      <c r="G1" s="25"/>
      <c r="H1" s="25"/>
      <c r="I1" s="25"/>
    </row>
    <row r="2" ht="20" customHeight="1" spans="1:9">
      <c r="A2" s="24" t="s">
        <v>1</v>
      </c>
      <c r="B2" s="24"/>
      <c r="C2" s="24"/>
      <c r="D2" s="24"/>
      <c r="E2" s="24"/>
      <c r="F2" s="24"/>
      <c r="H2" s="24"/>
      <c r="I2" s="24"/>
    </row>
    <row r="3" ht="20" customHeight="1"/>
    <row r="4" ht="20" customHeight="1" spans="1:9">
      <c r="A4" s="185" t="s">
        <v>2</v>
      </c>
      <c r="B4" s="35"/>
      <c r="C4" s="35"/>
      <c r="D4" s="185" t="s">
        <v>3</v>
      </c>
      <c r="E4" s="35"/>
      <c r="F4" s="35"/>
      <c r="G4" s="29" t="s">
        <v>4</v>
      </c>
      <c r="I4" s="200" t="s">
        <v>5</v>
      </c>
    </row>
    <row r="5" ht="20" customHeight="1" spans="1:9">
      <c r="A5" s="32" t="s">
        <v>6</v>
      </c>
      <c r="B5" s="186"/>
      <c r="C5" s="187"/>
      <c r="D5" s="32" t="s">
        <v>7</v>
      </c>
      <c r="E5" s="186"/>
      <c r="F5" s="187"/>
      <c r="G5" s="26" t="s">
        <v>8</v>
      </c>
      <c r="I5" s="201" t="s">
        <v>9</v>
      </c>
    </row>
    <row r="6" ht="20" customHeight="1" spans="1:9">
      <c r="A6" s="188"/>
      <c r="B6" s="35"/>
      <c r="C6" s="189"/>
      <c r="D6" s="188" t="s">
        <v>10</v>
      </c>
      <c r="E6" s="35"/>
      <c r="F6" s="189"/>
      <c r="I6" s="201" t="s">
        <v>11</v>
      </c>
    </row>
    <row r="7" ht="20" customHeight="1" spans="1:9">
      <c r="A7" s="188"/>
      <c r="B7" s="35"/>
      <c r="C7" s="189"/>
      <c r="D7" s="188"/>
      <c r="E7" s="35"/>
      <c r="F7" s="189"/>
      <c r="I7" s="201" t="s">
        <v>12</v>
      </c>
    </row>
    <row r="8" ht="20" customHeight="1" spans="1:9">
      <c r="A8" s="188"/>
      <c r="B8" s="35"/>
      <c r="C8" s="189"/>
      <c r="D8" s="188"/>
      <c r="E8" s="35"/>
      <c r="F8" s="189"/>
      <c r="I8" s="202" t="s">
        <v>13</v>
      </c>
    </row>
    <row r="9" ht="20" customHeight="1" spans="3:9">
      <c r="C9" s="190"/>
      <c r="F9" s="190"/>
      <c r="I9" s="203"/>
    </row>
    <row r="10" ht="20" customHeight="1" spans="3:10">
      <c r="C10" s="190"/>
      <c r="F10" s="190"/>
      <c r="G10" s="29" t="s">
        <v>14</v>
      </c>
      <c r="I10" s="204" t="s">
        <v>15</v>
      </c>
      <c r="J10" s="205"/>
    </row>
    <row r="11" ht="20" customHeight="1" spans="3:10">
      <c r="C11" s="190"/>
      <c r="F11" s="191"/>
      <c r="G11" s="26" t="s">
        <v>16</v>
      </c>
      <c r="I11" s="206" t="s">
        <v>17</v>
      </c>
      <c r="J11" s="205"/>
    </row>
    <row r="12" ht="20" customHeight="1" spans="3:10">
      <c r="C12" s="190"/>
      <c r="F12" s="190"/>
      <c r="G12" s="24" t="s">
        <v>18</v>
      </c>
      <c r="I12" s="206" t="s">
        <v>19</v>
      </c>
      <c r="J12" s="205"/>
    </row>
    <row r="13" ht="20" customHeight="1" spans="3:10">
      <c r="C13" s="190"/>
      <c r="F13" s="190"/>
      <c r="I13" s="206" t="s">
        <v>20</v>
      </c>
      <c r="J13" s="205"/>
    </row>
    <row r="14" ht="20" customHeight="1" spans="3:10">
      <c r="C14" s="190"/>
      <c r="F14" s="190"/>
      <c r="I14" s="206" t="s">
        <v>21</v>
      </c>
      <c r="J14" s="205"/>
    </row>
    <row r="15" ht="20" customHeight="1" spans="3:9">
      <c r="C15" s="190"/>
      <c r="F15" s="190"/>
      <c r="I15" s="202" t="s">
        <v>22</v>
      </c>
    </row>
    <row r="16" ht="20" customHeight="1" spans="3:9">
      <c r="C16" s="190"/>
      <c r="F16" s="190"/>
      <c r="I16" s="205"/>
    </row>
    <row r="17" ht="20" customHeight="1" spans="3:9">
      <c r="C17" s="190"/>
      <c r="F17" s="190"/>
      <c r="G17" s="29" t="s">
        <v>23</v>
      </c>
      <c r="I17" s="204" t="s">
        <v>24</v>
      </c>
    </row>
    <row r="18" ht="20" customHeight="1" spans="3:9">
      <c r="C18" s="190"/>
      <c r="F18" s="192"/>
      <c r="G18" s="193" t="s">
        <v>25</v>
      </c>
      <c r="I18" s="206" t="s">
        <v>26</v>
      </c>
    </row>
    <row r="19" ht="20" customHeight="1" spans="3:9">
      <c r="C19" s="190"/>
      <c r="G19" s="24" t="s">
        <v>27</v>
      </c>
      <c r="I19" s="206" t="s">
        <v>28</v>
      </c>
    </row>
    <row r="20" ht="20" customHeight="1" spans="3:9">
      <c r="C20" s="190"/>
      <c r="I20" s="206" t="s">
        <v>29</v>
      </c>
    </row>
    <row r="21" ht="20" customHeight="1" spans="3:9">
      <c r="C21" s="190"/>
      <c r="I21" s="202" t="s">
        <v>30</v>
      </c>
    </row>
    <row r="22" ht="20" customHeight="1" spans="3:3">
      <c r="C22" s="190"/>
    </row>
    <row r="23" ht="20" customHeight="1" spans="3:9">
      <c r="C23" s="194"/>
      <c r="D23" s="29" t="s">
        <v>31</v>
      </c>
      <c r="G23" s="195"/>
      <c r="H23" s="196"/>
      <c r="I23" s="207"/>
    </row>
    <row r="24" ht="20" customHeight="1" spans="3:9">
      <c r="C24" s="190"/>
      <c r="D24" s="32" t="s">
        <v>32</v>
      </c>
      <c r="E24" s="196"/>
      <c r="F24" s="196"/>
      <c r="G24" s="195"/>
      <c r="H24" s="196"/>
      <c r="I24" s="207"/>
    </row>
    <row r="25" ht="20" customHeight="1" spans="3:9">
      <c r="C25" s="190"/>
      <c r="D25" s="197"/>
      <c r="E25" s="195"/>
      <c r="F25" s="196"/>
      <c r="G25" s="195"/>
      <c r="H25" s="196"/>
      <c r="I25" s="207"/>
    </row>
    <row r="26" ht="20" customHeight="1" spans="3:9">
      <c r="C26" s="190"/>
      <c r="D26" s="197"/>
      <c r="E26" s="195"/>
      <c r="F26" s="196"/>
      <c r="G26" s="195"/>
      <c r="H26" s="196"/>
      <c r="I26" s="207"/>
    </row>
    <row r="27" ht="20" customHeight="1" spans="3:9">
      <c r="C27" s="190"/>
      <c r="D27" s="192"/>
      <c r="E27" s="192"/>
      <c r="F27" s="190"/>
      <c r="G27" s="195"/>
      <c r="H27" s="196"/>
      <c r="I27" s="207"/>
    </row>
    <row r="28" ht="20" customHeight="1" spans="3:9">
      <c r="C28" s="190"/>
      <c r="F28" s="190"/>
      <c r="I28" s="208"/>
    </row>
    <row r="29" ht="20" customHeight="1" spans="3:9">
      <c r="C29" s="190"/>
      <c r="F29" s="190"/>
      <c r="G29" s="29" t="s">
        <v>33</v>
      </c>
      <c r="I29" s="204" t="s">
        <v>34</v>
      </c>
    </row>
    <row r="30" ht="20" customHeight="1" spans="3:9">
      <c r="C30" s="190"/>
      <c r="F30" s="191"/>
      <c r="G30" s="29" t="s">
        <v>35</v>
      </c>
      <c r="I30" s="206" t="s">
        <v>36</v>
      </c>
    </row>
    <row r="31" ht="20" customHeight="1" spans="3:9">
      <c r="C31" s="190"/>
      <c r="F31" s="190"/>
      <c r="G31" s="24" t="s">
        <v>18</v>
      </c>
      <c r="I31" s="206" t="s">
        <v>37</v>
      </c>
    </row>
    <row r="32" ht="20" customHeight="1" spans="3:9">
      <c r="C32" s="190"/>
      <c r="F32" s="190"/>
      <c r="I32" s="206" t="s">
        <v>38</v>
      </c>
    </row>
    <row r="33" ht="20" customHeight="1" spans="3:9">
      <c r="C33" s="190"/>
      <c r="F33" s="190"/>
      <c r="I33" s="209" t="s">
        <v>39</v>
      </c>
    </row>
    <row r="34" ht="20" customHeight="1" spans="3:9">
      <c r="C34" s="190"/>
      <c r="F34" s="190"/>
      <c r="I34" s="208"/>
    </row>
    <row r="35" ht="20" customHeight="1" spans="3:9">
      <c r="C35" s="190"/>
      <c r="F35" s="190"/>
      <c r="G35" s="29" t="s">
        <v>40</v>
      </c>
      <c r="I35" s="204" t="s">
        <v>41</v>
      </c>
    </row>
    <row r="36" ht="20" customHeight="1" spans="3:9">
      <c r="C36" s="190"/>
      <c r="F36" s="191"/>
      <c r="G36" s="29" t="s">
        <v>42</v>
      </c>
      <c r="I36" s="206" t="s">
        <v>43</v>
      </c>
    </row>
    <row r="37" ht="20" customHeight="1" spans="3:9">
      <c r="C37" s="190"/>
      <c r="F37" s="190"/>
      <c r="G37" s="24" t="s">
        <v>18</v>
      </c>
      <c r="I37" s="206" t="s">
        <v>44</v>
      </c>
    </row>
    <row r="38" ht="20" customHeight="1" spans="3:9">
      <c r="C38" s="190"/>
      <c r="F38" s="190"/>
      <c r="I38" s="206" t="s">
        <v>45</v>
      </c>
    </row>
    <row r="39" ht="20" customHeight="1" spans="3:9">
      <c r="C39" s="190"/>
      <c r="F39" s="190"/>
      <c r="I39" s="206" t="s">
        <v>46</v>
      </c>
    </row>
    <row r="40" ht="20" customHeight="1" spans="3:9">
      <c r="C40" s="190"/>
      <c r="F40" s="190"/>
      <c r="I40" s="210" t="s">
        <v>47</v>
      </c>
    </row>
    <row r="41" ht="20" customHeight="1" spans="3:9">
      <c r="C41" s="190"/>
      <c r="F41" s="190"/>
      <c r="I41" s="208"/>
    </row>
    <row r="42" ht="20" customHeight="1" spans="3:9">
      <c r="C42" s="190"/>
      <c r="F42" s="190"/>
      <c r="G42" s="29" t="s">
        <v>48</v>
      </c>
      <c r="I42" s="204" t="s">
        <v>49</v>
      </c>
    </row>
    <row r="43" ht="20" customHeight="1" spans="3:9">
      <c r="C43" s="190"/>
      <c r="F43" s="192"/>
      <c r="G43" s="29" t="s">
        <v>50</v>
      </c>
      <c r="I43" s="206" t="s">
        <v>51</v>
      </c>
    </row>
    <row r="44" ht="20" customHeight="1" spans="3:9">
      <c r="C44" s="190"/>
      <c r="G44" s="24" t="s">
        <v>18</v>
      </c>
      <c r="I44" s="206" t="s">
        <v>52</v>
      </c>
    </row>
    <row r="45" ht="20" customHeight="1" spans="3:9">
      <c r="C45" s="190"/>
      <c r="I45" s="209" t="s">
        <v>53</v>
      </c>
    </row>
    <row r="46" ht="20" customHeight="1" spans="3:9">
      <c r="C46" s="190"/>
      <c r="I46" s="208"/>
    </row>
    <row r="47" ht="20" customHeight="1" spans="3:3">
      <c r="C47" s="190"/>
    </row>
    <row r="48" ht="20" customHeight="1" spans="3:9">
      <c r="C48" s="194"/>
      <c r="D48" s="198" t="s">
        <v>54</v>
      </c>
      <c r="G48" s="29" t="s">
        <v>55</v>
      </c>
      <c r="I48" s="211" t="s">
        <v>56</v>
      </c>
    </row>
    <row r="49" ht="20" customHeight="1" spans="3:9">
      <c r="C49" s="190"/>
      <c r="D49" s="32" t="s">
        <v>57</v>
      </c>
      <c r="E49" s="192"/>
      <c r="F49" s="191"/>
      <c r="G49" s="29" t="s">
        <v>58</v>
      </c>
      <c r="I49" s="212" t="s">
        <v>59</v>
      </c>
    </row>
    <row r="50" ht="20" customHeight="1" spans="3:9">
      <c r="C50" s="190"/>
      <c r="D50" s="188"/>
      <c r="F50" s="190"/>
      <c r="G50" s="24" t="s">
        <v>60</v>
      </c>
      <c r="I50" s="212" t="s">
        <v>61</v>
      </c>
    </row>
    <row r="51" ht="20" customHeight="1" spans="3:9">
      <c r="C51" s="190"/>
      <c r="D51" s="188"/>
      <c r="F51" s="190"/>
      <c r="I51" s="213" t="s">
        <v>62</v>
      </c>
    </row>
    <row r="52" ht="20" customHeight="1" spans="3:6">
      <c r="C52" s="190"/>
      <c r="D52" s="188"/>
      <c r="F52" s="190"/>
    </row>
    <row r="53" ht="20" customHeight="1" spans="3:6">
      <c r="C53" s="190"/>
      <c r="F53" s="190"/>
    </row>
    <row r="54" ht="20" customHeight="1" spans="3:9">
      <c r="C54" s="190"/>
      <c r="F54" s="190"/>
      <c r="G54" s="29" t="s">
        <v>63</v>
      </c>
      <c r="I54" s="214" t="s">
        <v>64</v>
      </c>
    </row>
    <row r="55" ht="20" customHeight="1" spans="3:9">
      <c r="C55" s="190"/>
      <c r="F55" s="191"/>
      <c r="G55" s="29"/>
      <c r="I55" s="214" t="s">
        <v>65</v>
      </c>
    </row>
    <row r="56" ht="20" customHeight="1" spans="3:9">
      <c r="C56" s="190"/>
      <c r="F56" s="190"/>
      <c r="G56" s="24" t="s">
        <v>66</v>
      </c>
      <c r="I56" s="215" t="s">
        <v>67</v>
      </c>
    </row>
    <row r="57" ht="20" customHeight="1" spans="3:6">
      <c r="C57" s="190"/>
      <c r="F57" s="190"/>
    </row>
    <row r="58" ht="20" customHeight="1" spans="3:7">
      <c r="C58" s="190"/>
      <c r="F58" s="190"/>
      <c r="G58" s="29" t="s">
        <v>68</v>
      </c>
    </row>
    <row r="59" ht="20" customHeight="1" spans="3:7">
      <c r="C59" s="190"/>
      <c r="F59" s="191"/>
      <c r="G59" s="199"/>
    </row>
    <row r="60" ht="20" customHeight="1" spans="3:6">
      <c r="C60" s="190"/>
      <c r="F60" s="190"/>
    </row>
    <row r="61" ht="20" customHeight="1" spans="3:6">
      <c r="C61" s="190"/>
      <c r="F61" s="190"/>
    </row>
    <row r="62" ht="20" customHeight="1" spans="3:9">
      <c r="C62" s="190"/>
      <c r="F62" s="194"/>
      <c r="G62" s="29" t="s">
        <v>69</v>
      </c>
      <c r="I62" s="200" t="s">
        <v>70</v>
      </c>
    </row>
    <row r="63" ht="20" customHeight="1" spans="3:9">
      <c r="C63" s="190"/>
      <c r="F63" s="190"/>
      <c r="G63" s="29" t="s">
        <v>71</v>
      </c>
      <c r="I63" s="202" t="s">
        <v>72</v>
      </c>
    </row>
    <row r="64" ht="20" customHeight="1" spans="3:9">
      <c r="C64" s="190"/>
      <c r="F64" s="190"/>
      <c r="G64" s="24" t="s">
        <v>18</v>
      </c>
      <c r="I64" s="205"/>
    </row>
    <row r="65" ht="20" customHeight="1" spans="3:9">
      <c r="C65" s="190"/>
      <c r="F65" s="190"/>
      <c r="I65" s="205"/>
    </row>
    <row r="66" ht="20" customHeight="1" spans="3:9">
      <c r="C66" s="190"/>
      <c r="F66" s="194"/>
      <c r="G66" s="29" t="s">
        <v>73</v>
      </c>
      <c r="I66" s="218" t="s">
        <v>74</v>
      </c>
    </row>
    <row r="67" ht="20" customHeight="1" spans="3:9">
      <c r="C67" s="190"/>
      <c r="G67" s="29" t="s">
        <v>18</v>
      </c>
      <c r="I67" s="219" t="s">
        <v>75</v>
      </c>
    </row>
    <row r="68" ht="20" customHeight="1" spans="3:9">
      <c r="C68" s="190"/>
      <c r="I68" s="205"/>
    </row>
    <row r="69" ht="20" customHeight="1" spans="3:9">
      <c r="C69" s="194"/>
      <c r="D69" s="198" t="s">
        <v>76</v>
      </c>
      <c r="E69" s="216"/>
      <c r="G69" s="29" t="s">
        <v>77</v>
      </c>
      <c r="I69" s="211" t="s">
        <v>78</v>
      </c>
    </row>
    <row r="70" ht="20" customHeight="1" spans="4:9">
      <c r="D70" s="32" t="s">
        <v>79</v>
      </c>
      <c r="E70" s="196"/>
      <c r="F70" s="192"/>
      <c r="G70" s="29"/>
      <c r="I70" s="212" t="s">
        <v>80</v>
      </c>
    </row>
    <row r="71" ht="20" customHeight="1" spans="4:9">
      <c r="D71" s="188"/>
      <c r="E71" s="196"/>
      <c r="F71" s="196"/>
      <c r="G71" s="24" t="s">
        <v>18</v>
      </c>
      <c r="I71" s="213" t="s">
        <v>81</v>
      </c>
    </row>
    <row r="72" ht="20" customHeight="1" spans="4:9">
      <c r="D72" s="188"/>
      <c r="F72" s="196"/>
      <c r="G72" s="195"/>
      <c r="H72" s="196"/>
      <c r="I72" s="203"/>
    </row>
    <row r="73" ht="20" customHeight="1" spans="6:9">
      <c r="F73" s="196"/>
      <c r="G73" s="195"/>
      <c r="H73" s="196"/>
      <c r="I73" s="203"/>
    </row>
    <row r="74" ht="20" customHeight="1" spans="6:9">
      <c r="F74" s="196"/>
      <c r="G74" s="195"/>
      <c r="H74" s="196"/>
      <c r="I74" s="220"/>
    </row>
    <row r="75" ht="20" customHeight="1" spans="6:9">
      <c r="F75" s="196"/>
      <c r="G75" s="217"/>
      <c r="H75" s="196"/>
      <c r="I75" s="220"/>
    </row>
    <row r="76" ht="20" customHeight="1" spans="6:9">
      <c r="F76" s="196"/>
      <c r="G76" s="217"/>
      <c r="H76" s="196"/>
      <c r="I76" s="220"/>
    </row>
    <row r="77" ht="20" customHeight="1" spans="6:9">
      <c r="F77" s="196"/>
      <c r="G77" s="217"/>
      <c r="H77" s="196"/>
      <c r="I77" s="220"/>
    </row>
    <row r="78" ht="20" customHeight="1" spans="6:9">
      <c r="F78" s="196"/>
      <c r="G78" s="195"/>
      <c r="H78" s="196"/>
      <c r="I78" s="220"/>
    </row>
    <row r="79" spans="6:9">
      <c r="F79" s="196"/>
      <c r="G79" s="195"/>
      <c r="H79" s="196"/>
      <c r="I79" s="196"/>
    </row>
  </sheetData>
  <mergeCells count="3">
    <mergeCell ref="A1:I1"/>
    <mergeCell ref="A2:I2"/>
    <mergeCell ref="D25:E26"/>
  </mergeCells>
  <conditionalFormatting sqref="G18">
    <cfRule type="duplicateValues" dxfId="0" priority="17"/>
  </conditionalFormatting>
  <conditionalFormatting sqref="D24">
    <cfRule type="duplicateValues" dxfId="0" priority="33"/>
  </conditionalFormatting>
  <conditionalFormatting sqref="A5:A8">
    <cfRule type="duplicateValues" dxfId="0" priority="99"/>
  </conditionalFormatting>
  <conditionalFormatting sqref="D5:D8">
    <cfRule type="duplicateValues" dxfId="0" priority="83"/>
  </conditionalFormatting>
  <conditionalFormatting sqref="D49:D52">
    <cfRule type="duplicateValues" dxfId="0" priority="65"/>
  </conditionalFormatting>
  <conditionalFormatting sqref="D70:D72">
    <cfRule type="duplicateValues" dxfId="0" priority="49"/>
  </conditionalFormatting>
  <conditionalFormatting sqref="G75:G77">
    <cfRule type="duplicateValues" dxfId="0" priority="1"/>
  </conditionalFormatting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P45"/>
  <sheetViews>
    <sheetView zoomScale="90" zoomScaleNormal="90" topLeftCell="A12" workbookViewId="0">
      <selection activeCell="R28" sqref="R28"/>
    </sheetView>
  </sheetViews>
  <sheetFormatPr defaultColWidth="8.25" defaultRowHeight="14.25"/>
  <cols>
    <col min="1" max="5" width="8.90833333333333" style="155" customWidth="1"/>
    <col min="6" max="6" width="6.33333333333333" style="155" customWidth="1"/>
    <col min="7" max="9" width="8.90833333333333" style="155" customWidth="1"/>
    <col min="10" max="12" width="6.90833333333333" style="155" customWidth="1"/>
    <col min="13" max="14" width="8.90833333333333" style="155" customWidth="1"/>
    <col min="15" max="15" width="7.90833333333333" style="155" customWidth="1"/>
    <col min="16" max="16" width="8.90833333333333" style="155" customWidth="1"/>
    <col min="17" max="16384" width="8.25" style="156"/>
  </cols>
  <sheetData>
    <row r="1" spans="1:15">
      <c r="A1" s="157"/>
      <c r="B1" s="157"/>
      <c r="C1" s="157"/>
      <c r="D1" s="157"/>
      <c r="E1" s="157"/>
      <c r="F1" s="158"/>
      <c r="G1" s="159"/>
      <c r="H1" s="159"/>
      <c r="I1" s="159"/>
      <c r="J1" s="159"/>
      <c r="K1" s="159"/>
      <c r="L1" s="159"/>
      <c r="M1" s="159"/>
      <c r="N1" s="174"/>
      <c r="O1" s="175" t="s">
        <v>82</v>
      </c>
    </row>
    <row r="2" ht="15" spans="1:16">
      <c r="A2" s="157"/>
      <c r="B2" s="157"/>
      <c r="C2" s="157"/>
      <c r="D2" s="157"/>
      <c r="E2" s="157"/>
      <c r="F2" s="158"/>
      <c r="G2" s="159"/>
      <c r="H2" s="159"/>
      <c r="I2" s="159"/>
      <c r="J2" s="159"/>
      <c r="K2" s="159"/>
      <c r="L2" s="159"/>
      <c r="M2" s="159"/>
      <c r="N2" s="174"/>
      <c r="O2" s="175" t="s">
        <v>83</v>
      </c>
      <c r="P2" s="176">
        <v>2025</v>
      </c>
    </row>
    <row r="3" ht="23.25" spans="1:16">
      <c r="A3" s="160" t="s">
        <v>84</v>
      </c>
      <c r="B3" s="161"/>
      <c r="C3" s="161"/>
      <c r="D3" s="161"/>
      <c r="E3" s="161"/>
      <c r="F3" s="161"/>
      <c r="G3" s="161"/>
      <c r="H3" s="161"/>
      <c r="I3" s="161"/>
      <c r="J3" s="161"/>
      <c r="K3" s="161"/>
      <c r="L3" s="161"/>
      <c r="M3" s="161"/>
      <c r="N3" s="161"/>
      <c r="O3" s="161"/>
      <c r="P3" s="177" t="s">
        <v>85</v>
      </c>
    </row>
    <row r="4" ht="19.5" spans="1:16">
      <c r="A4" s="162" t="s">
        <v>86</v>
      </c>
      <c r="B4" s="163"/>
      <c r="C4" s="163"/>
      <c r="D4" s="163"/>
      <c r="E4" s="163"/>
      <c r="F4" s="163"/>
      <c r="G4" s="163"/>
      <c r="H4" s="163"/>
      <c r="I4" s="163"/>
      <c r="J4" s="163"/>
      <c r="K4" s="163"/>
      <c r="L4" s="163"/>
      <c r="M4" s="163"/>
      <c r="N4" s="163"/>
      <c r="O4" s="163"/>
      <c r="P4" s="178" t="s">
        <v>87</v>
      </c>
    </row>
    <row r="5" ht="15.75" spans="1:16">
      <c r="A5" s="164"/>
      <c r="B5" s="165"/>
      <c r="C5" s="165"/>
      <c r="D5" s="165"/>
      <c r="E5" s="165"/>
      <c r="F5" s="165"/>
      <c r="G5" s="165"/>
      <c r="H5" s="165"/>
      <c r="I5" s="165"/>
      <c r="J5" s="165"/>
      <c r="K5" s="165"/>
      <c r="L5" s="165"/>
      <c r="M5" s="179" t="s">
        <v>88</v>
      </c>
      <c r="N5" s="165"/>
      <c r="O5" s="179" t="s">
        <v>89</v>
      </c>
      <c r="P5" s="180"/>
    </row>
    <row r="6" ht="22.5" spans="1:16">
      <c r="A6" s="166"/>
      <c r="B6" s="167"/>
      <c r="C6" s="167"/>
      <c r="D6" s="167"/>
      <c r="E6" s="167"/>
      <c r="F6" s="167"/>
      <c r="G6" s="167"/>
      <c r="H6" s="167"/>
      <c r="I6" s="167"/>
      <c r="J6" s="167"/>
      <c r="K6" s="167"/>
      <c r="L6" s="167"/>
      <c r="M6" s="165"/>
      <c r="N6" s="181"/>
      <c r="O6" s="165"/>
      <c r="P6" s="182"/>
    </row>
    <row r="7" spans="1:16">
      <c r="A7" s="164"/>
      <c r="B7" s="165"/>
      <c r="C7" s="165"/>
      <c r="D7" s="165"/>
      <c r="E7" s="165"/>
      <c r="F7" s="165"/>
      <c r="G7" s="165"/>
      <c r="H7" s="165"/>
      <c r="I7" s="165"/>
      <c r="J7" s="165"/>
      <c r="K7" s="165"/>
      <c r="L7" s="165"/>
      <c r="P7" s="180"/>
    </row>
    <row r="8" spans="1:16">
      <c r="A8" s="168"/>
      <c r="B8" s="169"/>
      <c r="C8" s="169"/>
      <c r="D8" s="169"/>
      <c r="E8" s="169"/>
      <c r="F8" s="169"/>
      <c r="G8" s="169"/>
      <c r="H8" s="169"/>
      <c r="I8" s="169"/>
      <c r="J8" s="169"/>
      <c r="K8" s="169"/>
      <c r="L8" s="169"/>
      <c r="M8" s="169"/>
      <c r="N8" s="169"/>
      <c r="O8" s="169"/>
      <c r="P8" s="180"/>
    </row>
    <row r="9" spans="1:16">
      <c r="A9" s="168"/>
      <c r="B9" s="169"/>
      <c r="C9" s="169"/>
      <c r="D9" s="169"/>
      <c r="E9" s="169"/>
      <c r="F9" s="169"/>
      <c r="G9" s="169"/>
      <c r="H9" s="169"/>
      <c r="I9" s="169"/>
      <c r="J9" s="169"/>
      <c r="K9" s="169"/>
      <c r="L9" s="169"/>
      <c r="M9" s="169"/>
      <c r="N9" s="169"/>
      <c r="O9" s="169"/>
      <c r="P9" s="180"/>
    </row>
    <row r="10" spans="1:16">
      <c r="A10" s="164"/>
      <c r="B10" s="165"/>
      <c r="C10" s="165"/>
      <c r="D10" s="165"/>
      <c r="E10" s="165"/>
      <c r="F10" s="165"/>
      <c r="G10" s="165"/>
      <c r="H10" s="165"/>
      <c r="I10" s="165"/>
      <c r="J10" s="165"/>
      <c r="K10" s="165"/>
      <c r="L10" s="165"/>
      <c r="M10" s="165"/>
      <c r="N10" s="165"/>
      <c r="O10" s="165"/>
      <c r="P10" s="180"/>
    </row>
    <row r="11" spans="1:16">
      <c r="A11" s="164"/>
      <c r="B11" s="165"/>
      <c r="C11" s="165"/>
      <c r="D11" s="165"/>
      <c r="E11" s="165"/>
      <c r="F11" s="165"/>
      <c r="G11" s="165"/>
      <c r="H11" s="165"/>
      <c r="I11" s="165"/>
      <c r="J11" s="165"/>
      <c r="K11" s="165"/>
      <c r="L11" s="165"/>
      <c r="M11" s="165"/>
      <c r="N11" s="165"/>
      <c r="O11" s="165"/>
      <c r="P11" s="180"/>
    </row>
    <row r="12" spans="1:16">
      <c r="A12" s="164"/>
      <c r="B12" s="165"/>
      <c r="C12" s="165"/>
      <c r="D12" s="165"/>
      <c r="E12" s="165"/>
      <c r="F12" s="165"/>
      <c r="G12" s="165"/>
      <c r="H12" s="165"/>
      <c r="I12" s="165"/>
      <c r="J12" s="165"/>
      <c r="K12" s="165"/>
      <c r="L12" s="165"/>
      <c r="M12" s="165"/>
      <c r="N12" s="165"/>
      <c r="O12" s="165"/>
      <c r="P12" s="180"/>
    </row>
    <row r="13" spans="1:16">
      <c r="A13" s="164"/>
      <c r="B13" s="165"/>
      <c r="C13" s="165"/>
      <c r="D13" s="165"/>
      <c r="E13" s="165"/>
      <c r="F13" s="165"/>
      <c r="G13" s="165"/>
      <c r="H13" s="165"/>
      <c r="I13" s="165"/>
      <c r="J13" s="165"/>
      <c r="K13" s="165"/>
      <c r="L13" s="165"/>
      <c r="M13" s="165"/>
      <c r="N13" s="165"/>
      <c r="O13" s="165"/>
      <c r="P13" s="180"/>
    </row>
    <row r="14" spans="1:16">
      <c r="A14" s="164"/>
      <c r="B14" s="165"/>
      <c r="C14" s="165"/>
      <c r="D14" s="165"/>
      <c r="E14" s="165"/>
      <c r="F14" s="165"/>
      <c r="G14" s="165"/>
      <c r="H14" s="165"/>
      <c r="I14" s="165"/>
      <c r="J14" s="165"/>
      <c r="K14" s="165"/>
      <c r="L14" s="165"/>
      <c r="M14" s="165"/>
      <c r="N14" s="165"/>
      <c r="O14" s="165"/>
      <c r="P14" s="180"/>
    </row>
    <row r="15" spans="1:16">
      <c r="A15" s="164"/>
      <c r="B15" s="165"/>
      <c r="C15" s="165"/>
      <c r="D15" s="165"/>
      <c r="E15" s="165"/>
      <c r="F15" s="165"/>
      <c r="G15" s="165"/>
      <c r="H15" s="165"/>
      <c r="I15" s="165"/>
      <c r="J15" s="165"/>
      <c r="K15" s="165"/>
      <c r="L15" s="165"/>
      <c r="M15" s="165"/>
      <c r="N15" s="165"/>
      <c r="O15" s="165"/>
      <c r="P15" s="180"/>
    </row>
    <row r="16" spans="1:16">
      <c r="A16" s="164"/>
      <c r="B16" s="165"/>
      <c r="C16" s="165"/>
      <c r="D16" s="165"/>
      <c r="E16" s="165"/>
      <c r="F16" s="165"/>
      <c r="G16" s="165"/>
      <c r="H16" s="165"/>
      <c r="I16" s="165"/>
      <c r="J16" s="165"/>
      <c r="K16" s="165"/>
      <c r="L16" s="165"/>
      <c r="M16" s="165"/>
      <c r="N16" s="165"/>
      <c r="O16" s="165"/>
      <c r="P16" s="180"/>
    </row>
    <row r="17" spans="1:16">
      <c r="A17" s="164"/>
      <c r="B17" s="165"/>
      <c r="C17" s="165"/>
      <c r="D17" s="165"/>
      <c r="E17" s="165"/>
      <c r="F17" s="165"/>
      <c r="G17" s="165"/>
      <c r="H17" s="165"/>
      <c r="I17" s="165"/>
      <c r="J17" s="165"/>
      <c r="K17" s="165"/>
      <c r="L17" s="165"/>
      <c r="M17" s="165"/>
      <c r="N17" s="165"/>
      <c r="O17" s="165"/>
      <c r="P17" s="180"/>
    </row>
    <row r="18" spans="1:16">
      <c r="A18" s="164"/>
      <c r="B18" s="165"/>
      <c r="C18" s="165"/>
      <c r="D18" s="165"/>
      <c r="E18" s="165"/>
      <c r="F18" s="165"/>
      <c r="G18" s="165"/>
      <c r="H18" s="165"/>
      <c r="I18" s="165"/>
      <c r="J18" s="165"/>
      <c r="K18" s="165"/>
      <c r="L18" s="165"/>
      <c r="M18" s="165"/>
      <c r="N18" s="165"/>
      <c r="O18" s="165"/>
      <c r="P18" s="180"/>
    </row>
    <row r="19" spans="1:16">
      <c r="A19" s="164"/>
      <c r="B19" s="165"/>
      <c r="C19" s="165"/>
      <c r="D19" s="165"/>
      <c r="E19" s="165"/>
      <c r="F19" s="165"/>
      <c r="G19" s="165"/>
      <c r="H19" s="165"/>
      <c r="I19" s="165"/>
      <c r="J19" s="165"/>
      <c r="K19" s="165"/>
      <c r="L19" s="165"/>
      <c r="M19" s="165"/>
      <c r="N19" s="165"/>
      <c r="O19" s="165"/>
      <c r="P19" s="180"/>
    </row>
    <row r="20" spans="1:16">
      <c r="A20" s="164"/>
      <c r="B20" s="165"/>
      <c r="C20" s="165"/>
      <c r="D20" s="165"/>
      <c r="E20" s="165"/>
      <c r="F20" s="165"/>
      <c r="G20" s="165"/>
      <c r="H20" s="165"/>
      <c r="I20" s="165"/>
      <c r="J20" s="165"/>
      <c r="K20" s="165"/>
      <c r="L20" s="165"/>
      <c r="M20" s="165"/>
      <c r="N20" s="165"/>
      <c r="O20" s="165"/>
      <c r="P20" s="180"/>
    </row>
    <row r="21" spans="1:16">
      <c r="A21" s="164"/>
      <c r="B21" s="165"/>
      <c r="C21" s="165"/>
      <c r="D21" s="165"/>
      <c r="E21" s="165"/>
      <c r="F21" s="165"/>
      <c r="G21" s="165"/>
      <c r="H21" s="165"/>
      <c r="I21" s="165"/>
      <c r="J21" s="165"/>
      <c r="K21" s="165"/>
      <c r="L21" s="165"/>
      <c r="M21" s="165"/>
      <c r="N21" s="165"/>
      <c r="O21" s="165"/>
      <c r="P21" s="180"/>
    </row>
    <row r="22" spans="1:16">
      <c r="A22" s="164"/>
      <c r="B22" s="165"/>
      <c r="C22" s="165"/>
      <c r="D22" s="165"/>
      <c r="E22" s="165"/>
      <c r="F22" s="165"/>
      <c r="G22" s="165"/>
      <c r="H22" s="165"/>
      <c r="I22" s="165"/>
      <c r="J22" s="165"/>
      <c r="K22" s="165"/>
      <c r="L22" s="165"/>
      <c r="M22" s="165"/>
      <c r="N22" s="165"/>
      <c r="O22" s="165"/>
      <c r="P22" s="180"/>
    </row>
    <row r="23" s="154" customFormat="1" spans="1:16">
      <c r="A23" s="170"/>
      <c r="B23" s="171"/>
      <c r="C23" s="171"/>
      <c r="D23" s="171"/>
      <c r="E23" s="171"/>
      <c r="F23" s="171"/>
      <c r="G23" s="171"/>
      <c r="H23" s="171"/>
      <c r="I23" s="171"/>
      <c r="J23" s="171"/>
      <c r="K23" s="171"/>
      <c r="L23" s="171"/>
      <c r="M23" s="171"/>
      <c r="N23" s="171"/>
      <c r="O23" s="171"/>
      <c r="P23" s="183"/>
    </row>
    <row r="24" s="154" customFormat="1" spans="1:16">
      <c r="A24" s="170"/>
      <c r="B24" s="171"/>
      <c r="C24" s="171"/>
      <c r="D24" s="171"/>
      <c r="E24" s="171"/>
      <c r="F24" s="171"/>
      <c r="G24" s="171"/>
      <c r="H24" s="171"/>
      <c r="I24" s="171"/>
      <c r="J24" s="171"/>
      <c r="K24" s="171"/>
      <c r="L24" s="171"/>
      <c r="M24" s="171"/>
      <c r="N24" s="171"/>
      <c r="O24" s="171"/>
      <c r="P24" s="183"/>
    </row>
    <row r="25" s="154" customFormat="1" spans="1:16">
      <c r="A25" s="170"/>
      <c r="B25" s="171"/>
      <c r="C25" s="171"/>
      <c r="D25" s="171"/>
      <c r="E25" s="171"/>
      <c r="F25" s="171"/>
      <c r="G25" s="171"/>
      <c r="H25" s="171"/>
      <c r="I25" s="171"/>
      <c r="J25" s="171"/>
      <c r="K25" s="171"/>
      <c r="L25" s="171"/>
      <c r="M25" s="171"/>
      <c r="N25" s="171"/>
      <c r="O25" s="171"/>
      <c r="P25" s="183"/>
    </row>
    <row r="26" spans="1:16">
      <c r="A26" s="164"/>
      <c r="B26" s="165"/>
      <c r="C26" s="165"/>
      <c r="D26" s="165"/>
      <c r="E26" s="165"/>
      <c r="F26" s="165"/>
      <c r="G26" s="165"/>
      <c r="H26" s="165"/>
      <c r="I26" s="165"/>
      <c r="J26" s="165"/>
      <c r="K26" s="165"/>
      <c r="L26" s="165"/>
      <c r="M26" s="165"/>
      <c r="N26" s="165"/>
      <c r="O26" s="165"/>
      <c r="P26" s="180"/>
    </row>
    <row r="27" spans="1:16">
      <c r="A27" s="164"/>
      <c r="B27" s="165"/>
      <c r="C27" s="165"/>
      <c r="D27" s="165"/>
      <c r="E27" s="165"/>
      <c r="F27" s="165"/>
      <c r="G27" s="165"/>
      <c r="H27" s="165"/>
      <c r="I27" s="165"/>
      <c r="J27" s="165"/>
      <c r="K27" s="165"/>
      <c r="L27" s="165"/>
      <c r="M27" s="165"/>
      <c r="N27" s="165"/>
      <c r="O27" s="165"/>
      <c r="P27" s="180"/>
    </row>
    <row r="28" spans="1:16">
      <c r="A28" s="164"/>
      <c r="B28" s="165"/>
      <c r="C28" s="165"/>
      <c r="D28" s="165"/>
      <c r="E28" s="165"/>
      <c r="F28" s="165"/>
      <c r="G28" s="165"/>
      <c r="H28" s="165"/>
      <c r="I28" s="165"/>
      <c r="J28" s="165"/>
      <c r="K28" s="165"/>
      <c r="L28" s="165"/>
      <c r="M28" s="165"/>
      <c r="N28" s="165"/>
      <c r="O28" s="165"/>
      <c r="P28" s="180"/>
    </row>
    <row r="29" spans="1:16">
      <c r="A29" s="164"/>
      <c r="B29" s="165"/>
      <c r="C29" s="165"/>
      <c r="D29" s="165"/>
      <c r="E29" s="165"/>
      <c r="F29" s="165"/>
      <c r="G29" s="165"/>
      <c r="H29" s="165"/>
      <c r="I29" s="165"/>
      <c r="J29" s="165"/>
      <c r="K29" s="165"/>
      <c r="L29" s="165"/>
      <c r="M29" s="165"/>
      <c r="N29" s="165"/>
      <c r="O29" s="165"/>
      <c r="P29" s="180"/>
    </row>
    <row r="30" spans="1:16">
      <c r="A30" s="164"/>
      <c r="B30" s="165"/>
      <c r="C30" s="165"/>
      <c r="D30" s="165"/>
      <c r="E30" s="165"/>
      <c r="F30" s="165"/>
      <c r="G30" s="165"/>
      <c r="H30" s="165"/>
      <c r="I30" s="165"/>
      <c r="J30" s="165"/>
      <c r="K30" s="165"/>
      <c r="L30" s="165"/>
      <c r="M30" s="165"/>
      <c r="N30" s="165"/>
      <c r="O30" s="165"/>
      <c r="P30" s="180"/>
    </row>
    <row r="31" spans="1:16">
      <c r="A31" s="164"/>
      <c r="B31" s="165"/>
      <c r="C31" s="165"/>
      <c r="D31" s="165"/>
      <c r="E31" s="165"/>
      <c r="F31" s="165"/>
      <c r="G31" s="165"/>
      <c r="H31" s="165"/>
      <c r="I31" s="165"/>
      <c r="J31" s="165"/>
      <c r="K31" s="165"/>
      <c r="L31" s="165"/>
      <c r="M31" s="165"/>
      <c r="N31" s="165"/>
      <c r="O31" s="165"/>
      <c r="P31" s="180"/>
    </row>
    <row r="32" spans="1:16">
      <c r="A32" s="164"/>
      <c r="B32" s="165"/>
      <c r="C32" s="165"/>
      <c r="D32" s="165"/>
      <c r="E32" s="165"/>
      <c r="F32" s="165"/>
      <c r="G32" s="165"/>
      <c r="H32" s="165"/>
      <c r="I32" s="165"/>
      <c r="J32" s="165"/>
      <c r="K32" s="165"/>
      <c r="L32" s="165"/>
      <c r="M32" s="165"/>
      <c r="N32" s="165"/>
      <c r="O32" s="165"/>
      <c r="P32" s="180"/>
    </row>
    <row r="33" spans="1:16">
      <c r="A33" s="164"/>
      <c r="B33" s="165"/>
      <c r="C33" s="165"/>
      <c r="D33" s="165"/>
      <c r="E33" s="165"/>
      <c r="F33" s="165"/>
      <c r="G33" s="165"/>
      <c r="H33" s="165"/>
      <c r="I33" s="165"/>
      <c r="J33" s="165"/>
      <c r="K33" s="165"/>
      <c r="L33" s="165"/>
      <c r="M33" s="165"/>
      <c r="N33" s="165"/>
      <c r="O33" s="165"/>
      <c r="P33" s="180"/>
    </row>
    <row r="34" spans="1:16">
      <c r="A34" s="164"/>
      <c r="B34" s="165"/>
      <c r="C34" s="165"/>
      <c r="D34" s="165"/>
      <c r="E34" s="165"/>
      <c r="F34" s="165"/>
      <c r="G34" s="165"/>
      <c r="H34" s="165"/>
      <c r="I34" s="165"/>
      <c r="J34" s="165"/>
      <c r="K34" s="165"/>
      <c r="L34" s="165"/>
      <c r="M34" s="165"/>
      <c r="N34" s="165"/>
      <c r="O34" s="165"/>
      <c r="P34" s="180"/>
    </row>
    <row r="35" spans="1:16">
      <c r="A35" s="164"/>
      <c r="B35" s="165"/>
      <c r="C35" s="165"/>
      <c r="D35" s="165"/>
      <c r="E35" s="165"/>
      <c r="F35" s="165"/>
      <c r="G35" s="165"/>
      <c r="H35" s="165"/>
      <c r="I35" s="165"/>
      <c r="J35" s="165"/>
      <c r="K35" s="165"/>
      <c r="L35" s="165"/>
      <c r="M35" s="165"/>
      <c r="N35" s="165"/>
      <c r="O35" s="165"/>
      <c r="P35" s="180"/>
    </row>
    <row r="36" spans="1:16">
      <c r="A36" s="164"/>
      <c r="B36" s="165"/>
      <c r="C36" s="165"/>
      <c r="D36" s="165"/>
      <c r="E36" s="165"/>
      <c r="F36" s="165"/>
      <c r="G36" s="165"/>
      <c r="H36" s="165"/>
      <c r="I36" s="165"/>
      <c r="J36" s="165"/>
      <c r="K36" s="165"/>
      <c r="L36" s="165"/>
      <c r="M36" s="165"/>
      <c r="N36" s="165"/>
      <c r="O36" s="165"/>
      <c r="P36" s="180"/>
    </row>
    <row r="37" spans="1:16">
      <c r="A37" s="164"/>
      <c r="B37" s="165"/>
      <c r="C37" s="165"/>
      <c r="D37" s="165"/>
      <c r="E37" s="165"/>
      <c r="F37" s="165"/>
      <c r="G37" s="165"/>
      <c r="H37" s="165"/>
      <c r="I37" s="165"/>
      <c r="J37" s="165"/>
      <c r="K37" s="165"/>
      <c r="L37" s="165"/>
      <c r="M37" s="165"/>
      <c r="N37" s="165"/>
      <c r="O37" s="165"/>
      <c r="P37" s="180"/>
    </row>
    <row r="38" spans="1:16">
      <c r="A38" s="164"/>
      <c r="B38" s="165"/>
      <c r="C38" s="165"/>
      <c r="D38" s="165"/>
      <c r="E38" s="165"/>
      <c r="F38" s="165"/>
      <c r="G38" s="165"/>
      <c r="H38" s="165"/>
      <c r="I38" s="165"/>
      <c r="J38" s="165"/>
      <c r="K38" s="165"/>
      <c r="L38" s="165"/>
      <c r="M38" s="165"/>
      <c r="N38" s="165"/>
      <c r="O38" s="165"/>
      <c r="P38" s="180"/>
    </row>
    <row r="39" spans="1:16">
      <c r="A39" s="164"/>
      <c r="B39" s="165"/>
      <c r="C39" s="165"/>
      <c r="D39" s="165"/>
      <c r="E39" s="165"/>
      <c r="F39" s="165"/>
      <c r="G39" s="165"/>
      <c r="H39" s="165"/>
      <c r="I39" s="165"/>
      <c r="J39" s="165"/>
      <c r="K39" s="165"/>
      <c r="L39" s="165"/>
      <c r="M39" s="165"/>
      <c r="N39" s="165"/>
      <c r="O39" s="165"/>
      <c r="P39" s="180"/>
    </row>
    <row r="40" spans="1:16">
      <c r="A40" s="164"/>
      <c r="B40" s="165"/>
      <c r="C40" s="165"/>
      <c r="D40" s="165"/>
      <c r="E40" s="165"/>
      <c r="F40" s="165"/>
      <c r="G40" s="165"/>
      <c r="H40" s="165"/>
      <c r="I40" s="165"/>
      <c r="J40" s="165"/>
      <c r="K40" s="165"/>
      <c r="L40" s="165"/>
      <c r="M40" s="165"/>
      <c r="N40" s="165"/>
      <c r="O40" s="165"/>
      <c r="P40" s="180"/>
    </row>
    <row r="41" spans="1:16">
      <c r="A41" s="164"/>
      <c r="B41" s="165"/>
      <c r="C41" s="165"/>
      <c r="D41" s="165"/>
      <c r="E41" s="165"/>
      <c r="F41" s="165"/>
      <c r="G41" s="165"/>
      <c r="H41" s="165"/>
      <c r="I41" s="165"/>
      <c r="J41" s="165"/>
      <c r="K41" s="165"/>
      <c r="L41" s="165"/>
      <c r="M41" s="165"/>
      <c r="N41" s="165"/>
      <c r="O41" s="165"/>
      <c r="P41" s="180"/>
    </row>
    <row r="42" spans="1:16">
      <c r="A42" s="164"/>
      <c r="B42" s="165"/>
      <c r="C42" s="165"/>
      <c r="D42" s="165"/>
      <c r="E42" s="165"/>
      <c r="F42" s="165"/>
      <c r="G42" s="165"/>
      <c r="H42" s="165"/>
      <c r="I42" s="165"/>
      <c r="J42" s="165"/>
      <c r="K42" s="165"/>
      <c r="L42" s="165"/>
      <c r="M42" s="165"/>
      <c r="N42" s="165"/>
      <c r="O42" s="165"/>
      <c r="P42" s="180"/>
    </row>
    <row r="43" spans="1:16">
      <c r="A43" s="164"/>
      <c r="B43" s="165"/>
      <c r="C43" s="165"/>
      <c r="D43" s="165"/>
      <c r="E43" s="165"/>
      <c r="F43" s="165"/>
      <c r="G43" s="165"/>
      <c r="H43" s="165"/>
      <c r="I43" s="165"/>
      <c r="J43" s="165"/>
      <c r="K43" s="165"/>
      <c r="L43" s="165"/>
      <c r="M43" s="165"/>
      <c r="N43" s="165"/>
      <c r="O43" s="165"/>
      <c r="P43" s="180"/>
    </row>
    <row r="44" ht="15" spans="1:16">
      <c r="A44" s="172"/>
      <c r="B44" s="173"/>
      <c r="C44" s="173"/>
      <c r="D44" s="173"/>
      <c r="E44" s="173"/>
      <c r="F44" s="173"/>
      <c r="G44" s="173"/>
      <c r="H44" s="173"/>
      <c r="I44" s="173"/>
      <c r="J44" s="173"/>
      <c r="K44" s="173"/>
      <c r="L44" s="173"/>
      <c r="M44" s="173"/>
      <c r="N44" s="173"/>
      <c r="O44" s="173"/>
      <c r="P44" s="184"/>
    </row>
    <row r="45" ht="15"/>
  </sheetData>
  <mergeCells count="2">
    <mergeCell ref="A3:O3"/>
    <mergeCell ref="A4:O4"/>
  </mergeCells>
  <pageMargins left="0.7" right="0.7" top="0.75" bottom="0.75" header="0.3" footer="0.3"/>
  <pageSetup paperSize="9" orientation="landscape"/>
  <headerFooter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23"/>
  <sheetViews>
    <sheetView workbookViewId="0">
      <selection activeCell="G10" sqref="G10"/>
    </sheetView>
  </sheetViews>
  <sheetFormatPr defaultColWidth="9" defaultRowHeight="14.25" outlineLevelCol="6"/>
  <cols>
    <col min="1" max="1" width="6.83333333333333" style="135" customWidth="1"/>
    <col min="2" max="2" width="29.3333333333333" style="135" customWidth="1"/>
    <col min="3" max="3" width="6.83333333333333" style="135" hidden="1" customWidth="1"/>
    <col min="4" max="4" width="9.83333333333333" style="135" customWidth="1"/>
    <col min="5" max="5" width="13.8333333333333" style="135" customWidth="1"/>
    <col min="6" max="6" width="13.0833333333333" style="135" customWidth="1"/>
    <col min="7" max="7" width="11" style="135" customWidth="1"/>
    <col min="8" max="16384" width="8.66666666666667" style="135"/>
  </cols>
  <sheetData>
    <row r="1" s="55" customFormat="1" spans="7:7">
      <c r="G1" s="62"/>
    </row>
    <row r="2" s="55" customFormat="1" ht="15" customHeight="1" spans="1:7">
      <c r="A2" s="62" t="s">
        <v>90</v>
      </c>
      <c r="G2" s="136" t="s">
        <v>91</v>
      </c>
    </row>
    <row r="3" s="56" customFormat="1" ht="23.25" spans="1:7">
      <c r="A3" s="137" t="s">
        <v>92</v>
      </c>
      <c r="B3" s="138"/>
      <c r="C3" s="138"/>
      <c r="D3" s="138"/>
      <c r="E3" s="138"/>
      <c r="F3" s="138"/>
      <c r="G3" s="67" t="s">
        <v>93</v>
      </c>
    </row>
    <row r="4" s="57" customFormat="1" ht="20.25" spans="1:7">
      <c r="A4" s="139" t="s">
        <v>94</v>
      </c>
      <c r="B4" s="140"/>
      <c r="C4" s="140"/>
      <c r="D4" s="140"/>
      <c r="E4" s="140"/>
      <c r="F4" s="140"/>
      <c r="G4" s="141" t="s">
        <v>95</v>
      </c>
    </row>
    <row r="5" s="59" customFormat="1" ht="20" customHeight="1" spans="1:7">
      <c r="A5" s="84" t="s">
        <v>96</v>
      </c>
      <c r="B5" s="105" t="s">
        <v>31</v>
      </c>
      <c r="C5" s="105"/>
      <c r="D5" s="105"/>
      <c r="E5" s="105" t="s">
        <v>97</v>
      </c>
      <c r="F5" s="105" t="s">
        <v>98</v>
      </c>
      <c r="G5" s="142"/>
    </row>
    <row r="6" s="59" customFormat="1" ht="20" customHeight="1" spans="1:7">
      <c r="A6" s="84"/>
      <c r="B6" s="105"/>
      <c r="C6" s="105"/>
      <c r="D6" s="105"/>
      <c r="E6" s="105" t="s">
        <v>99</v>
      </c>
      <c r="F6" s="105"/>
      <c r="G6" s="142"/>
    </row>
    <row r="7" s="132" customFormat="1" ht="20" customHeight="1" spans="1:7">
      <c r="A7" s="143" t="s">
        <v>100</v>
      </c>
      <c r="B7" s="144" t="s">
        <v>101</v>
      </c>
      <c r="C7" s="144" t="s">
        <v>102</v>
      </c>
      <c r="D7" s="144" t="s">
        <v>103</v>
      </c>
      <c r="E7" s="144" t="s">
        <v>104</v>
      </c>
      <c r="F7" s="144" t="s">
        <v>105</v>
      </c>
      <c r="G7" s="145" t="s">
        <v>106</v>
      </c>
    </row>
    <row r="8" s="133" customFormat="1" ht="20" customHeight="1" spans="1:7">
      <c r="A8" s="146">
        <v>1</v>
      </c>
      <c r="B8" s="147" t="s">
        <v>107</v>
      </c>
      <c r="C8" s="147">
        <v>1</v>
      </c>
      <c r="D8" s="147">
        <v>1</v>
      </c>
      <c r="E8" s="147" t="s">
        <v>32</v>
      </c>
      <c r="F8" s="147"/>
      <c r="G8" s="148"/>
    </row>
    <row r="9" s="133" customFormat="1" ht="20" customHeight="1" spans="1:7">
      <c r="A9" s="146">
        <v>2</v>
      </c>
      <c r="B9" s="147" t="s">
        <v>33</v>
      </c>
      <c r="C9" s="147">
        <v>1</v>
      </c>
      <c r="D9" s="147">
        <v>1</v>
      </c>
      <c r="E9" s="147" t="s">
        <v>35</v>
      </c>
      <c r="F9" s="147"/>
      <c r="G9" s="148"/>
    </row>
    <row r="10" s="133" customFormat="1" ht="20" customHeight="1" spans="1:7">
      <c r="A10" s="146">
        <v>3</v>
      </c>
      <c r="B10" s="149" t="s">
        <v>40</v>
      </c>
      <c r="C10" s="147">
        <v>1</v>
      </c>
      <c r="D10" s="147">
        <v>1</v>
      </c>
      <c r="E10" s="149" t="s">
        <v>42</v>
      </c>
      <c r="F10" s="147"/>
      <c r="G10" s="148"/>
    </row>
    <row r="11" s="133" customFormat="1" ht="20" customHeight="1" spans="1:7">
      <c r="A11" s="146">
        <v>4</v>
      </c>
      <c r="B11" s="147" t="s">
        <v>48</v>
      </c>
      <c r="C11" s="147">
        <v>2</v>
      </c>
      <c r="D11" s="147">
        <v>1</v>
      </c>
      <c r="E11" s="147" t="s">
        <v>50</v>
      </c>
      <c r="F11" s="147"/>
      <c r="G11" s="148"/>
    </row>
    <row r="12" s="133" customFormat="1" ht="20" customHeight="1" spans="1:7">
      <c r="A12" s="146">
        <v>5</v>
      </c>
      <c r="F12" s="147"/>
      <c r="G12" s="148"/>
    </row>
    <row r="13" s="133" customFormat="1" ht="20" customHeight="1" spans="1:7">
      <c r="A13" s="146">
        <v>6</v>
      </c>
      <c r="B13" s="149"/>
      <c r="C13" s="147"/>
      <c r="D13" s="147"/>
      <c r="E13" s="149"/>
      <c r="F13" s="147"/>
      <c r="G13" s="148"/>
    </row>
    <row r="14" s="133" customFormat="1" ht="20" customHeight="1" spans="1:7">
      <c r="A14" s="146"/>
      <c r="B14" s="149"/>
      <c r="C14" s="147"/>
      <c r="D14" s="147"/>
      <c r="E14" s="149"/>
      <c r="F14" s="147"/>
      <c r="G14" s="148"/>
    </row>
    <row r="15" s="133" customFormat="1" ht="20" customHeight="1" spans="1:7">
      <c r="A15" s="146"/>
      <c r="B15" s="147"/>
      <c r="C15" s="147"/>
      <c r="D15" s="147"/>
      <c r="E15" s="147"/>
      <c r="F15" s="147"/>
      <c r="G15" s="148"/>
    </row>
    <row r="16" s="133" customFormat="1" ht="20" customHeight="1" spans="1:7">
      <c r="A16" s="146"/>
      <c r="B16" s="147"/>
      <c r="C16" s="147"/>
      <c r="D16" s="147"/>
      <c r="E16" s="147"/>
      <c r="F16" s="147"/>
      <c r="G16" s="148"/>
    </row>
    <row r="17" s="133" customFormat="1" ht="20" customHeight="1" spans="1:7">
      <c r="A17" s="146"/>
      <c r="B17" s="147"/>
      <c r="C17" s="147"/>
      <c r="D17" s="147"/>
      <c r="E17" s="147"/>
      <c r="F17" s="147"/>
      <c r="G17" s="148"/>
    </row>
    <row r="18" s="133" customFormat="1" ht="20" customHeight="1" spans="1:7">
      <c r="A18" s="146"/>
      <c r="B18" s="147"/>
      <c r="C18" s="147"/>
      <c r="D18" s="147"/>
      <c r="E18" s="147"/>
      <c r="F18" s="147"/>
      <c r="G18" s="148"/>
    </row>
    <row r="19" s="133" customFormat="1" ht="20" customHeight="1" spans="1:7">
      <c r="A19" s="146"/>
      <c r="B19" s="147"/>
      <c r="C19" s="147"/>
      <c r="D19" s="147"/>
      <c r="E19" s="147"/>
      <c r="F19" s="147"/>
      <c r="G19" s="148"/>
    </row>
    <row r="20" s="133" customFormat="1" ht="20" customHeight="1" spans="1:7">
      <c r="A20" s="146"/>
      <c r="B20" s="147"/>
      <c r="C20" s="147"/>
      <c r="D20" s="147"/>
      <c r="E20" s="147"/>
      <c r="F20" s="147"/>
      <c r="G20" s="148"/>
    </row>
    <row r="21" s="134" customFormat="1" ht="20" customHeight="1" spans="1:7">
      <c r="A21" s="150" t="s">
        <v>108</v>
      </c>
      <c r="B21" s="151"/>
      <c r="C21" s="152">
        <f>SUM(C8:C19)</f>
        <v>5</v>
      </c>
      <c r="D21" s="152">
        <f>SUM(D8:D19)</f>
        <v>4</v>
      </c>
      <c r="E21" s="152"/>
      <c r="F21" s="152"/>
      <c r="G21" s="153"/>
    </row>
    <row r="22" s="134" customFormat="1" ht="20" customHeight="1" spans="1:1">
      <c r="A22" s="134" t="s">
        <v>109</v>
      </c>
    </row>
    <row r="23" s="35" customFormat="1"/>
  </sheetData>
  <mergeCells count="7">
    <mergeCell ref="A3:F3"/>
    <mergeCell ref="A4:F4"/>
    <mergeCell ref="F5:G5"/>
    <mergeCell ref="F6:G6"/>
    <mergeCell ref="A21:B21"/>
    <mergeCell ref="A5:A6"/>
    <mergeCell ref="B5:D6"/>
  </mergeCells>
  <pageMargins left="0.7" right="0.7" top="0.75" bottom="0.75" header="0.3" footer="0.3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74"/>
  <sheetViews>
    <sheetView zoomScale="99" zoomScaleNormal="99" topLeftCell="A62" workbookViewId="0">
      <selection activeCell="A71" sqref="A71:E71"/>
    </sheetView>
  </sheetViews>
  <sheetFormatPr defaultColWidth="9" defaultRowHeight="15.75" outlineLevelCol="4"/>
  <cols>
    <col min="1" max="1" width="11" style="59" customWidth="1"/>
    <col min="2" max="2" width="7.08333333333333" style="59" customWidth="1"/>
    <col min="3" max="3" width="13.5833333333333" style="59" customWidth="1"/>
    <col min="4" max="4" width="28.8333333333333" style="59" customWidth="1"/>
    <col min="5" max="5" width="28.0833333333333" style="59" customWidth="1"/>
    <col min="6" max="6" width="15.0833333333333" style="59" customWidth="1"/>
    <col min="7" max="16384" width="9" style="59"/>
  </cols>
  <sheetData>
    <row r="1" s="55" customFormat="1" ht="15" customHeight="1" spans="5:5">
      <c r="E1" s="62"/>
    </row>
    <row r="2" s="55" customFormat="1" ht="15" customHeight="1" spans="1:5">
      <c r="A2" s="62" t="s">
        <v>90</v>
      </c>
      <c r="E2" s="63" t="s">
        <v>91</v>
      </c>
    </row>
    <row r="3" s="56" customFormat="1" ht="24" customHeight="1" spans="1:5">
      <c r="A3" s="64" t="s">
        <v>92</v>
      </c>
      <c r="B3" s="65"/>
      <c r="C3" s="65"/>
      <c r="D3" s="66"/>
      <c r="E3" s="67" t="s">
        <v>110</v>
      </c>
    </row>
    <row r="4" s="57" customFormat="1" ht="24" customHeight="1" spans="1:5">
      <c r="A4" s="68" t="s">
        <v>111</v>
      </c>
      <c r="B4" s="69"/>
      <c r="C4" s="69"/>
      <c r="D4" s="70"/>
      <c r="E4" s="71" t="s">
        <v>112</v>
      </c>
    </row>
    <row r="5" s="58" customFormat="1" ht="22" customHeight="1" spans="1:5">
      <c r="A5" s="72" t="s">
        <v>113</v>
      </c>
      <c r="B5" s="73"/>
      <c r="C5" s="74"/>
      <c r="D5" s="75" t="s">
        <v>114</v>
      </c>
      <c r="E5" s="76" t="s">
        <v>115</v>
      </c>
    </row>
    <row r="6" s="58" customFormat="1" ht="22" customHeight="1" spans="1:5">
      <c r="A6" s="77" t="s">
        <v>116</v>
      </c>
      <c r="B6" s="78"/>
      <c r="C6" s="79"/>
      <c r="D6" s="80" t="s">
        <v>117</v>
      </c>
      <c r="E6" s="81" t="s">
        <v>118</v>
      </c>
    </row>
    <row r="7" s="58" customFormat="1" ht="22" customHeight="1" spans="1:5">
      <c r="A7" s="77" t="s">
        <v>119</v>
      </c>
      <c r="B7" s="78"/>
      <c r="C7" s="79"/>
      <c r="D7" s="82" t="s">
        <v>120</v>
      </c>
      <c r="E7" s="83" t="s">
        <v>121</v>
      </c>
    </row>
    <row r="8" s="58" customFormat="1" ht="23" customHeight="1" spans="1:5">
      <c r="A8" s="84" t="s">
        <v>122</v>
      </c>
      <c r="B8" s="85" t="s">
        <v>123</v>
      </c>
      <c r="C8" s="85"/>
      <c r="D8" s="85"/>
      <c r="E8" s="86"/>
    </row>
    <row r="9" s="58" customFormat="1" ht="24.5" customHeight="1" spans="1:5">
      <c r="A9" s="84"/>
      <c r="B9" s="85" t="s">
        <v>124</v>
      </c>
      <c r="C9" s="85"/>
      <c r="D9" s="85"/>
      <c r="E9" s="86"/>
    </row>
    <row r="10" s="58" customFormat="1" ht="24" customHeight="1" spans="1:5">
      <c r="A10" s="84"/>
      <c r="B10" s="85" t="s">
        <v>125</v>
      </c>
      <c r="C10" s="85"/>
      <c r="D10" s="85"/>
      <c r="E10" s="86"/>
    </row>
    <row r="11" s="58" customFormat="1" ht="28" customHeight="1" spans="1:5">
      <c r="A11" s="84"/>
      <c r="B11" s="85" t="s">
        <v>126</v>
      </c>
      <c r="C11" s="85"/>
      <c r="D11" s="85"/>
      <c r="E11" s="86"/>
    </row>
    <row r="12" s="58" customFormat="1" ht="28.5" customHeight="1" spans="1:5">
      <c r="A12" s="84"/>
      <c r="B12" s="85" t="s">
        <v>127</v>
      </c>
      <c r="C12" s="85"/>
      <c r="D12" s="85"/>
      <c r="E12" s="86"/>
    </row>
    <row r="13" s="58" customFormat="1" ht="19.9" customHeight="1" spans="1:5">
      <c r="A13" s="87" t="s">
        <v>128</v>
      </c>
      <c r="B13" s="88"/>
      <c r="C13" s="88"/>
      <c r="D13" s="88"/>
      <c r="E13" s="89"/>
    </row>
    <row r="14" s="58" customFormat="1" ht="21" customHeight="1" spans="1:5">
      <c r="A14" s="87"/>
      <c r="B14" s="88"/>
      <c r="C14" s="88"/>
      <c r="D14" s="88"/>
      <c r="E14" s="89"/>
    </row>
    <row r="15" ht="19.9" customHeight="1" spans="1:5">
      <c r="A15" s="90" t="s">
        <v>129</v>
      </c>
      <c r="B15" s="91"/>
      <c r="C15" s="91"/>
      <c r="D15" s="91"/>
      <c r="E15" s="92"/>
    </row>
    <row r="16" s="58" customFormat="1" ht="19.9" customHeight="1" spans="1:5">
      <c r="A16" s="90" t="s">
        <v>130</v>
      </c>
      <c r="B16" s="91"/>
      <c r="C16" s="91"/>
      <c r="D16" s="91"/>
      <c r="E16" s="92"/>
    </row>
    <row r="17" s="58" customFormat="1" ht="32" customHeight="1" spans="1:5">
      <c r="A17" s="84" t="s">
        <v>131</v>
      </c>
      <c r="B17" s="91" t="s">
        <v>132</v>
      </c>
      <c r="C17" s="91"/>
      <c r="D17" s="91"/>
      <c r="E17" s="92"/>
    </row>
    <row r="18" s="58" customFormat="1" ht="22" customHeight="1" spans="1:5">
      <c r="A18" s="84"/>
      <c r="B18" s="91" t="s">
        <v>133</v>
      </c>
      <c r="C18" s="91"/>
      <c r="D18" s="91"/>
      <c r="E18" s="92"/>
    </row>
    <row r="19" s="58" customFormat="1" ht="22" customHeight="1" spans="1:5">
      <c r="A19" s="84"/>
      <c r="B19" s="98" t="s">
        <v>134</v>
      </c>
      <c r="C19" s="78"/>
      <c r="D19" s="78"/>
      <c r="E19" s="99"/>
    </row>
    <row r="20" s="58" customFormat="1" ht="22" customHeight="1" spans="1:5">
      <c r="A20" s="84"/>
      <c r="B20" s="91"/>
      <c r="C20" s="91"/>
      <c r="D20" s="91"/>
      <c r="E20" s="92"/>
    </row>
    <row r="21" s="58" customFormat="1" ht="22" customHeight="1" spans="1:5">
      <c r="A21" s="84" t="s">
        <v>135</v>
      </c>
      <c r="B21" s="91" t="s">
        <v>136</v>
      </c>
      <c r="C21" s="91"/>
      <c r="D21" s="91"/>
      <c r="E21" s="92"/>
    </row>
    <row r="22" s="58" customFormat="1" ht="19.9" customHeight="1" spans="1:5">
      <c r="A22" s="90" t="s">
        <v>137</v>
      </c>
      <c r="B22" s="91"/>
      <c r="C22" s="91"/>
      <c r="D22" s="91"/>
      <c r="E22" s="92"/>
    </row>
    <row r="23" s="60" customFormat="1" ht="22" customHeight="1" spans="1:5">
      <c r="A23" s="100" t="s">
        <v>138</v>
      </c>
      <c r="B23" s="93" t="s">
        <v>139</v>
      </c>
      <c r="C23" s="93"/>
      <c r="D23" s="93"/>
      <c r="E23" s="94"/>
    </row>
    <row r="24" s="60" customFormat="1" ht="22" customHeight="1" spans="1:5">
      <c r="A24" s="101"/>
      <c r="B24" s="95" t="s">
        <v>140</v>
      </c>
      <c r="C24" s="96"/>
      <c r="D24" s="96"/>
      <c r="E24" s="97"/>
    </row>
    <row r="25" s="60" customFormat="1" ht="22" customHeight="1" spans="1:5">
      <c r="A25" s="101"/>
      <c r="B25" s="95" t="s">
        <v>141</v>
      </c>
      <c r="C25" s="96"/>
      <c r="D25" s="96"/>
      <c r="E25" s="97"/>
    </row>
    <row r="26" s="60" customFormat="1" ht="22" customHeight="1" spans="1:5">
      <c r="A26" s="102"/>
      <c r="B26" s="95" t="s">
        <v>142</v>
      </c>
      <c r="C26" s="96"/>
      <c r="D26" s="96"/>
      <c r="E26" s="97"/>
    </row>
    <row r="27" s="60" customFormat="1" ht="22" customHeight="1" spans="1:5">
      <c r="A27" s="103" t="s">
        <v>143</v>
      </c>
      <c r="B27" s="93" t="s">
        <v>144</v>
      </c>
      <c r="C27" s="93"/>
      <c r="D27" s="93"/>
      <c r="E27" s="94"/>
    </row>
    <row r="28" s="58" customFormat="1" ht="19.9" customHeight="1" spans="1:5">
      <c r="A28" s="90" t="s">
        <v>145</v>
      </c>
      <c r="B28" s="91"/>
      <c r="C28" s="91"/>
      <c r="D28" s="91"/>
      <c r="E28" s="92"/>
    </row>
    <row r="29" s="60" customFormat="1" ht="22" customHeight="1" spans="1:5">
      <c r="A29" s="100" t="s">
        <v>138</v>
      </c>
      <c r="B29" s="93" t="s">
        <v>146</v>
      </c>
      <c r="C29" s="93"/>
      <c r="D29" s="93"/>
      <c r="E29" s="94"/>
    </row>
    <row r="30" s="60" customFormat="1" ht="22" customHeight="1" spans="1:5">
      <c r="A30" s="101"/>
      <c r="B30" s="95" t="s">
        <v>147</v>
      </c>
      <c r="C30" s="96"/>
      <c r="D30" s="96"/>
      <c r="E30" s="97"/>
    </row>
    <row r="31" s="60" customFormat="1" ht="22" customHeight="1" spans="1:5">
      <c r="A31" s="101"/>
      <c r="B31" s="95" t="s">
        <v>148</v>
      </c>
      <c r="C31" s="96"/>
      <c r="D31" s="96"/>
      <c r="E31" s="97"/>
    </row>
    <row r="32" s="60" customFormat="1" ht="22" customHeight="1" spans="1:5">
      <c r="A32" s="102"/>
      <c r="B32" s="95"/>
      <c r="C32" s="96"/>
      <c r="D32" s="96"/>
      <c r="E32" s="97"/>
    </row>
    <row r="33" s="60" customFormat="1" ht="22" customHeight="1" spans="1:5">
      <c r="A33" s="103" t="s">
        <v>143</v>
      </c>
      <c r="B33" s="93" t="s">
        <v>149</v>
      </c>
      <c r="C33" s="93"/>
      <c r="D33" s="93"/>
      <c r="E33" s="94"/>
    </row>
    <row r="34" s="58" customFormat="1" ht="19.9" customHeight="1" spans="1:5">
      <c r="A34" s="90" t="s">
        <v>150</v>
      </c>
      <c r="B34" s="91"/>
      <c r="C34" s="91"/>
      <c r="D34" s="91"/>
      <c r="E34" s="92"/>
    </row>
    <row r="35" s="60" customFormat="1" ht="22" customHeight="1" spans="1:5">
      <c r="A35" s="100" t="s">
        <v>138</v>
      </c>
      <c r="B35" s="93" t="s">
        <v>151</v>
      </c>
      <c r="C35" s="93"/>
      <c r="D35" s="93"/>
      <c r="E35" s="94"/>
    </row>
    <row r="36" s="60" customFormat="1" ht="22" customHeight="1" spans="1:5">
      <c r="A36" s="101"/>
      <c r="B36" s="95" t="s">
        <v>152</v>
      </c>
      <c r="C36" s="96"/>
      <c r="D36" s="96"/>
      <c r="E36" s="97"/>
    </row>
    <row r="37" s="60" customFormat="1" ht="22" customHeight="1" spans="1:5">
      <c r="A37" s="102"/>
      <c r="B37" s="95" t="s">
        <v>153</v>
      </c>
      <c r="C37" s="96"/>
      <c r="D37" s="96"/>
      <c r="E37" s="97"/>
    </row>
    <row r="38" s="60" customFormat="1" ht="28.5" customHeight="1" spans="1:5">
      <c r="A38" s="103" t="s">
        <v>143</v>
      </c>
      <c r="B38" s="95" t="s">
        <v>154</v>
      </c>
      <c r="C38" s="96"/>
      <c r="D38" s="96"/>
      <c r="E38" s="97"/>
    </row>
    <row r="39" s="58" customFormat="1" ht="19.9" customHeight="1" spans="1:5">
      <c r="A39" s="77" t="s">
        <v>155</v>
      </c>
      <c r="B39" s="78"/>
      <c r="C39" s="78"/>
      <c r="D39" s="78"/>
      <c r="E39" s="99"/>
    </row>
    <row r="40" s="60" customFormat="1" ht="22" customHeight="1" spans="1:5">
      <c r="A40" s="100" t="s">
        <v>138</v>
      </c>
      <c r="B40" s="93" t="s">
        <v>156</v>
      </c>
      <c r="C40" s="93"/>
      <c r="D40" s="93"/>
      <c r="E40" s="94"/>
    </row>
    <row r="41" s="60" customFormat="1" ht="22" customHeight="1" spans="1:5">
      <c r="A41" s="101"/>
      <c r="B41" s="93" t="s">
        <v>157</v>
      </c>
      <c r="C41" s="93"/>
      <c r="D41" s="93"/>
      <c r="E41" s="94"/>
    </row>
    <row r="42" s="60" customFormat="1" ht="22" customHeight="1" spans="1:5">
      <c r="A42" s="102"/>
      <c r="B42" s="93"/>
      <c r="C42" s="93"/>
      <c r="D42" s="93"/>
      <c r="E42" s="94"/>
    </row>
    <row r="43" s="60" customFormat="1" ht="22" customHeight="1" spans="1:5">
      <c r="A43" s="103" t="s">
        <v>143</v>
      </c>
      <c r="B43" s="93" t="s">
        <v>158</v>
      </c>
      <c r="C43" s="93"/>
      <c r="D43" s="93"/>
      <c r="E43" s="94"/>
    </row>
    <row r="44" s="60" customFormat="1" ht="28.5" customHeight="1" spans="1:5">
      <c r="A44" s="90" t="s">
        <v>159</v>
      </c>
      <c r="B44" s="91"/>
      <c r="C44" s="91"/>
      <c r="D44" s="91"/>
      <c r="E44" s="92"/>
    </row>
    <row r="45" s="60" customFormat="1" ht="28.5" customHeight="1" spans="1:5">
      <c r="A45" s="100" t="s">
        <v>138</v>
      </c>
      <c r="B45" s="93" t="s">
        <v>160</v>
      </c>
      <c r="C45" s="93"/>
      <c r="D45" s="93"/>
      <c r="E45" s="94"/>
    </row>
    <row r="46" s="60" customFormat="1" ht="28.5" customHeight="1" spans="1:5">
      <c r="A46" s="101"/>
      <c r="B46" s="95" t="s">
        <v>161</v>
      </c>
      <c r="C46" s="96"/>
      <c r="D46" s="96"/>
      <c r="E46" s="97"/>
    </row>
    <row r="47" s="60" customFormat="1" ht="28.5" customHeight="1" spans="1:5">
      <c r="A47" s="101"/>
      <c r="B47" s="95" t="s">
        <v>162</v>
      </c>
      <c r="C47" s="96"/>
      <c r="D47" s="96"/>
      <c r="E47" s="97"/>
    </row>
    <row r="48" s="60" customFormat="1" ht="28.5" customHeight="1" spans="1:5">
      <c r="A48" s="102"/>
      <c r="B48" s="95"/>
      <c r="C48" s="96"/>
      <c r="D48" s="96"/>
      <c r="E48" s="97"/>
    </row>
    <row r="49" s="60" customFormat="1" ht="28.5" customHeight="1" spans="1:5">
      <c r="A49" s="103" t="s">
        <v>143</v>
      </c>
      <c r="B49" s="95" t="s">
        <v>163</v>
      </c>
      <c r="C49" s="96"/>
      <c r="D49" s="96"/>
      <c r="E49" s="97"/>
    </row>
    <row r="50" s="60" customFormat="1" ht="28.5" customHeight="1" spans="1:5">
      <c r="A50" s="90" t="s">
        <v>164</v>
      </c>
      <c r="B50" s="91"/>
      <c r="C50" s="91"/>
      <c r="D50" s="91"/>
      <c r="E50" s="92"/>
    </row>
    <row r="51" s="60" customFormat="1" ht="28.5" customHeight="1" spans="1:5">
      <c r="A51" s="100" t="s">
        <v>138</v>
      </c>
      <c r="B51" s="93" t="s">
        <v>160</v>
      </c>
      <c r="C51" s="93"/>
      <c r="D51" s="93"/>
      <c r="E51" s="94"/>
    </row>
    <row r="52" s="60" customFormat="1" ht="28.5" customHeight="1" spans="1:5">
      <c r="A52" s="101"/>
      <c r="B52" s="95" t="s">
        <v>161</v>
      </c>
      <c r="C52" s="96"/>
      <c r="D52" s="96"/>
      <c r="E52" s="97"/>
    </row>
    <row r="53" s="60" customFormat="1" ht="28.5" customHeight="1" spans="1:5">
      <c r="A53" s="101"/>
      <c r="B53" s="95"/>
      <c r="C53" s="96"/>
      <c r="D53" s="96"/>
      <c r="E53" s="97"/>
    </row>
    <row r="54" s="60" customFormat="1" ht="28.5" customHeight="1" spans="1:5">
      <c r="A54" s="102"/>
      <c r="B54" s="95"/>
      <c r="C54" s="96"/>
      <c r="D54" s="96"/>
      <c r="E54" s="97"/>
    </row>
    <row r="55" s="60" customFormat="1" ht="28.5" customHeight="1" spans="1:5">
      <c r="A55" s="103" t="s">
        <v>143</v>
      </c>
      <c r="B55" s="95" t="s">
        <v>165</v>
      </c>
      <c r="C55" s="96"/>
      <c r="D55" s="96"/>
      <c r="E55" s="97"/>
    </row>
    <row r="56" s="60" customFormat="1" ht="28.5" customHeight="1" spans="1:5">
      <c r="A56" s="90" t="s">
        <v>166</v>
      </c>
      <c r="B56" s="91"/>
      <c r="C56" s="91"/>
      <c r="D56" s="91"/>
      <c r="E56" s="92"/>
    </row>
    <row r="57" s="60" customFormat="1" ht="28.5" customHeight="1" spans="1:5">
      <c r="A57" s="100" t="s">
        <v>138</v>
      </c>
      <c r="B57" s="93" t="s">
        <v>167</v>
      </c>
      <c r="C57" s="93"/>
      <c r="D57" s="93"/>
      <c r="E57" s="94"/>
    </row>
    <row r="58" s="60" customFormat="1" ht="28.5" customHeight="1" spans="1:5">
      <c r="A58" s="101"/>
      <c r="B58" s="95" t="s">
        <v>168</v>
      </c>
      <c r="C58" s="96"/>
      <c r="D58" s="96"/>
      <c r="E58" s="97"/>
    </row>
    <row r="59" s="60" customFormat="1" ht="28.5" customHeight="1" spans="1:5">
      <c r="A59" s="101"/>
      <c r="B59" s="95" t="s">
        <v>169</v>
      </c>
      <c r="C59" s="96"/>
      <c r="D59" s="96"/>
      <c r="E59" s="97"/>
    </row>
    <row r="60" s="60" customFormat="1" ht="28.5" customHeight="1" spans="1:5">
      <c r="A60" s="102"/>
      <c r="B60" s="95" t="s">
        <v>170</v>
      </c>
      <c r="C60" s="96"/>
      <c r="D60" s="96"/>
      <c r="E60" s="97"/>
    </row>
    <row r="61" s="60" customFormat="1" ht="28.5" customHeight="1" spans="1:5">
      <c r="A61" s="103" t="s">
        <v>143</v>
      </c>
      <c r="B61" s="95" t="s">
        <v>171</v>
      </c>
      <c r="C61" s="96"/>
      <c r="D61" s="96"/>
      <c r="E61" s="97"/>
    </row>
    <row r="62" ht="19.9" customHeight="1" spans="1:5">
      <c r="A62" s="90" t="s">
        <v>172</v>
      </c>
      <c r="B62" s="91"/>
      <c r="C62" s="91"/>
      <c r="D62" s="91"/>
      <c r="E62" s="92"/>
    </row>
    <row r="63" s="58" customFormat="1" ht="19.5" customHeight="1" spans="1:5">
      <c r="A63" s="84" t="s">
        <v>173</v>
      </c>
      <c r="B63" s="104" t="s">
        <v>174</v>
      </c>
      <c r="C63" s="98" t="s">
        <v>175</v>
      </c>
      <c r="D63" s="78"/>
      <c r="E63" s="99"/>
    </row>
    <row r="64" s="58" customFormat="1" ht="19.5" customHeight="1" spans="1:5">
      <c r="A64" s="84"/>
      <c r="B64" s="105" t="s">
        <v>176</v>
      </c>
      <c r="C64" s="98" t="s">
        <v>177</v>
      </c>
      <c r="D64" s="78"/>
      <c r="E64" s="99"/>
    </row>
    <row r="65" s="58" customFormat="1" ht="19.5" customHeight="1" spans="1:5">
      <c r="A65" s="84"/>
      <c r="B65" s="106" t="s">
        <v>178</v>
      </c>
      <c r="C65" s="98" t="s">
        <v>179</v>
      </c>
      <c r="D65" s="78"/>
      <c r="E65" s="99"/>
    </row>
    <row r="66" s="58" customFormat="1" ht="25" customHeight="1" spans="1:5">
      <c r="A66" s="84" t="s">
        <v>180</v>
      </c>
      <c r="B66" s="91" t="s">
        <v>181</v>
      </c>
      <c r="C66" s="91"/>
      <c r="D66" s="91"/>
      <c r="E66" s="92"/>
    </row>
    <row r="67" s="61" customFormat="1" ht="19.9" customHeight="1" spans="1:5">
      <c r="A67" s="90" t="s">
        <v>182</v>
      </c>
      <c r="B67" s="91"/>
      <c r="C67" s="91"/>
      <c r="D67" s="91"/>
      <c r="E67" s="92"/>
    </row>
    <row r="68" s="58" customFormat="1" ht="19.9" customHeight="1" spans="1:5">
      <c r="A68" s="107" t="s">
        <v>183</v>
      </c>
      <c r="B68" s="108" t="s">
        <v>184</v>
      </c>
      <c r="C68" s="108"/>
      <c r="D68" s="108"/>
      <c r="E68" s="109"/>
    </row>
    <row r="69" s="58" customFormat="1" ht="19.9" customHeight="1" spans="1:5">
      <c r="A69" s="107" t="s">
        <v>185</v>
      </c>
      <c r="B69" s="108" t="s">
        <v>186</v>
      </c>
      <c r="C69" s="108"/>
      <c r="D69" s="108"/>
      <c r="E69" s="109"/>
    </row>
    <row r="70" s="61" customFormat="1" ht="19.9" customHeight="1" spans="1:5">
      <c r="A70" s="90" t="s">
        <v>187</v>
      </c>
      <c r="B70" s="91"/>
      <c r="C70" s="91"/>
      <c r="D70" s="91"/>
      <c r="E70" s="92"/>
    </row>
    <row r="71" s="61" customFormat="1" ht="59" customHeight="1" spans="1:5">
      <c r="A71" s="77" t="s">
        <v>188</v>
      </c>
      <c r="B71" s="78"/>
      <c r="C71" s="78"/>
      <c r="D71" s="78"/>
      <c r="E71" s="99"/>
    </row>
    <row r="72" s="58" customFormat="1" ht="19.9" customHeight="1" spans="1:5">
      <c r="A72" s="113"/>
      <c r="B72" s="114"/>
      <c r="C72" s="114"/>
      <c r="D72" s="114"/>
      <c r="E72" s="115"/>
    </row>
    <row r="73" s="58" customFormat="1" ht="19.9" customHeight="1" spans="1:5">
      <c r="A73" s="116" t="s">
        <v>189</v>
      </c>
      <c r="B73" s="108"/>
      <c r="C73" s="108"/>
      <c r="D73" s="108"/>
      <c r="E73" s="109"/>
    </row>
    <row r="74" ht="49" customHeight="1" spans="1:5">
      <c r="A74" s="117"/>
      <c r="B74" s="118"/>
      <c r="C74" s="118"/>
      <c r="D74" s="118"/>
      <c r="E74" s="119"/>
    </row>
  </sheetData>
  <mergeCells count="81">
    <mergeCell ref="A3:D3"/>
    <mergeCell ref="A4:D4"/>
    <mergeCell ref="A5:C5"/>
    <mergeCell ref="A6:C6"/>
    <mergeCell ref="A7:C7"/>
    <mergeCell ref="B8:E8"/>
    <mergeCell ref="B9:E9"/>
    <mergeCell ref="B10:E10"/>
    <mergeCell ref="B11:E11"/>
    <mergeCell ref="B12:E12"/>
    <mergeCell ref="A15:E15"/>
    <mergeCell ref="A16:E16"/>
    <mergeCell ref="B17:E17"/>
    <mergeCell ref="B18:E18"/>
    <mergeCell ref="B19:E19"/>
    <mergeCell ref="B20:E20"/>
    <mergeCell ref="B21:E21"/>
    <mergeCell ref="A22:E22"/>
    <mergeCell ref="B23:E23"/>
    <mergeCell ref="B24:E24"/>
    <mergeCell ref="B25:E25"/>
    <mergeCell ref="B26:E26"/>
    <mergeCell ref="B27:E27"/>
    <mergeCell ref="A28:E28"/>
    <mergeCell ref="B29:E29"/>
    <mergeCell ref="B30:E30"/>
    <mergeCell ref="B31:E31"/>
    <mergeCell ref="B32:E32"/>
    <mergeCell ref="B33:E33"/>
    <mergeCell ref="A34:E34"/>
    <mergeCell ref="B35:E35"/>
    <mergeCell ref="B36:E36"/>
    <mergeCell ref="B37:E37"/>
    <mergeCell ref="B38:E38"/>
    <mergeCell ref="A39:E39"/>
    <mergeCell ref="B40:E40"/>
    <mergeCell ref="B41:E41"/>
    <mergeCell ref="B42:E42"/>
    <mergeCell ref="B43:E43"/>
    <mergeCell ref="A44:E44"/>
    <mergeCell ref="B45:E45"/>
    <mergeCell ref="B46:E46"/>
    <mergeCell ref="B47:E47"/>
    <mergeCell ref="B48:E48"/>
    <mergeCell ref="B49:E49"/>
    <mergeCell ref="A50:E50"/>
    <mergeCell ref="B51:E51"/>
    <mergeCell ref="B52:E52"/>
    <mergeCell ref="B53:E53"/>
    <mergeCell ref="B54:E54"/>
    <mergeCell ref="B55:E55"/>
    <mergeCell ref="A56:E56"/>
    <mergeCell ref="B57:E57"/>
    <mergeCell ref="B58:E58"/>
    <mergeCell ref="B59:E59"/>
    <mergeCell ref="B60:E60"/>
    <mergeCell ref="B61:E61"/>
    <mergeCell ref="A62:E62"/>
    <mergeCell ref="C63:E63"/>
    <mergeCell ref="C64:E64"/>
    <mergeCell ref="C65:E65"/>
    <mergeCell ref="B66:E66"/>
    <mergeCell ref="A67:E67"/>
    <mergeCell ref="B68:E68"/>
    <mergeCell ref="B69:E69"/>
    <mergeCell ref="A70:E70"/>
    <mergeCell ref="A71:E71"/>
    <mergeCell ref="A72:E72"/>
    <mergeCell ref="A73:E73"/>
    <mergeCell ref="A74:E74"/>
    <mergeCell ref="A8:A12"/>
    <mergeCell ref="A17:A20"/>
    <mergeCell ref="A23:A26"/>
    <mergeCell ref="A29:A32"/>
    <mergeCell ref="A35:A37"/>
    <mergeCell ref="A40:A42"/>
    <mergeCell ref="A45:A48"/>
    <mergeCell ref="A51:A54"/>
    <mergeCell ref="A57:A60"/>
    <mergeCell ref="A63:A65"/>
    <mergeCell ref="A13:E14"/>
  </mergeCells>
  <pageMargins left="0.7" right="0.7" top="0.75" bottom="0.75" header="0.3" footer="0.3"/>
  <pageSetup paperSize="9" orientation="portrait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58"/>
  <sheetViews>
    <sheetView topLeftCell="A7" workbookViewId="0">
      <selection activeCell="B22" sqref="B22:E22"/>
    </sheetView>
  </sheetViews>
  <sheetFormatPr defaultColWidth="9" defaultRowHeight="15.75" outlineLevelCol="5"/>
  <cols>
    <col min="1" max="1" width="11" style="59" customWidth="1"/>
    <col min="2" max="2" width="7.125" style="59" customWidth="1"/>
    <col min="3" max="3" width="13.625" style="59" customWidth="1"/>
    <col min="4" max="4" width="28.875" style="59" customWidth="1"/>
    <col min="5" max="5" width="28.125" style="59" customWidth="1"/>
    <col min="6" max="6" width="15.125" style="59" customWidth="1"/>
    <col min="7" max="16384" width="9" style="59"/>
  </cols>
  <sheetData>
    <row r="1" s="55" customFormat="1" ht="15" customHeight="1" spans="5:5">
      <c r="E1" s="62"/>
    </row>
    <row r="2" s="55" customFormat="1" ht="15" customHeight="1" spans="1:5">
      <c r="A2" s="62" t="s">
        <v>90</v>
      </c>
      <c r="E2" s="63" t="s">
        <v>91</v>
      </c>
    </row>
    <row r="3" s="56" customFormat="1" ht="24" customHeight="1" spans="1:5">
      <c r="A3" s="64" t="s">
        <v>92</v>
      </c>
      <c r="B3" s="65"/>
      <c r="C3" s="65"/>
      <c r="D3" s="66"/>
      <c r="E3" s="67" t="s">
        <v>110</v>
      </c>
    </row>
    <row r="4" s="57" customFormat="1" ht="24" customHeight="1" spans="1:5">
      <c r="A4" s="68" t="s">
        <v>111</v>
      </c>
      <c r="B4" s="69"/>
      <c r="C4" s="69"/>
      <c r="D4" s="70"/>
      <c r="E4" s="71" t="s">
        <v>112</v>
      </c>
    </row>
    <row r="5" s="58" customFormat="1" ht="21.95" customHeight="1" spans="1:5">
      <c r="A5" s="72" t="s">
        <v>190</v>
      </c>
      <c r="B5" s="73"/>
      <c r="C5" s="74"/>
      <c r="D5" s="75" t="s">
        <v>114</v>
      </c>
      <c r="E5" s="76" t="s">
        <v>115</v>
      </c>
    </row>
    <row r="6" s="58" customFormat="1" ht="21.95" customHeight="1" spans="1:5">
      <c r="A6" s="77" t="s">
        <v>116</v>
      </c>
      <c r="B6" s="78"/>
      <c r="C6" s="79"/>
      <c r="D6" s="80" t="s">
        <v>191</v>
      </c>
      <c r="E6" s="81" t="s">
        <v>118</v>
      </c>
    </row>
    <row r="7" s="58" customFormat="1" ht="21.95" customHeight="1" spans="1:5">
      <c r="A7" s="77" t="s">
        <v>192</v>
      </c>
      <c r="B7" s="78"/>
      <c r="C7" s="79"/>
      <c r="D7" s="82" t="s">
        <v>193</v>
      </c>
      <c r="E7" s="83" t="s">
        <v>121</v>
      </c>
    </row>
    <row r="8" s="58" customFormat="1" ht="23.1" customHeight="1" spans="1:5">
      <c r="A8" s="84" t="s">
        <v>122</v>
      </c>
      <c r="B8" s="85" t="s">
        <v>194</v>
      </c>
      <c r="C8" s="85"/>
      <c r="D8" s="85"/>
      <c r="E8" s="86"/>
    </row>
    <row r="9" s="58" customFormat="1" ht="24.6" customHeight="1" spans="1:5">
      <c r="A9" s="84"/>
      <c r="B9" s="85" t="s">
        <v>195</v>
      </c>
      <c r="C9" s="85"/>
      <c r="D9" s="85"/>
      <c r="E9" s="86"/>
    </row>
    <row r="10" s="58" customFormat="1" ht="24" customHeight="1" spans="1:5">
      <c r="A10" s="84"/>
      <c r="B10" s="85" t="s">
        <v>196</v>
      </c>
      <c r="C10" s="85"/>
      <c r="D10" s="85"/>
      <c r="E10" s="86"/>
    </row>
    <row r="11" s="58" customFormat="1" ht="27.95" customHeight="1" spans="1:5">
      <c r="A11" s="84"/>
      <c r="B11" s="85" t="s">
        <v>197</v>
      </c>
      <c r="C11" s="85"/>
      <c r="D11" s="85"/>
      <c r="E11" s="86"/>
    </row>
    <row r="12" s="58" customFormat="1" ht="28.5" customHeight="1" spans="1:5">
      <c r="A12" s="84"/>
      <c r="B12" s="85" t="s">
        <v>198</v>
      </c>
      <c r="C12" s="85"/>
      <c r="D12" s="85"/>
      <c r="E12" s="86"/>
    </row>
    <row r="13" s="58" customFormat="1" ht="19.9" customHeight="1" spans="1:5">
      <c r="A13" s="87" t="s">
        <v>199</v>
      </c>
      <c r="B13" s="88"/>
      <c r="C13" s="88"/>
      <c r="D13" s="88"/>
      <c r="E13" s="89"/>
    </row>
    <row r="14" s="58" customFormat="1" ht="21" customHeight="1" spans="1:5">
      <c r="A14" s="87"/>
      <c r="B14" s="88"/>
      <c r="C14" s="88"/>
      <c r="D14" s="88"/>
      <c r="E14" s="89"/>
    </row>
    <row r="15" s="59" customFormat="1" ht="19.9" customHeight="1" spans="1:5">
      <c r="A15" s="90" t="s">
        <v>129</v>
      </c>
      <c r="B15" s="91"/>
      <c r="C15" s="91"/>
      <c r="D15" s="91"/>
      <c r="E15" s="92"/>
    </row>
    <row r="16" s="58" customFormat="1" ht="19.9" customHeight="1" spans="1:5">
      <c r="A16" s="90" t="s">
        <v>200</v>
      </c>
      <c r="B16" s="91"/>
      <c r="C16" s="91"/>
      <c r="D16" s="91"/>
      <c r="E16" s="92"/>
    </row>
    <row r="17" s="58" customFormat="1" ht="21.95" customHeight="1" spans="1:5">
      <c r="A17" s="120" t="s">
        <v>131</v>
      </c>
      <c r="B17" s="91" t="s">
        <v>201</v>
      </c>
      <c r="C17" s="91"/>
      <c r="D17" s="91"/>
      <c r="E17" s="92"/>
    </row>
    <row r="18" s="58" customFormat="1" ht="21.95" customHeight="1" spans="1:5">
      <c r="A18" s="121"/>
      <c r="B18" s="91" t="s">
        <v>202</v>
      </c>
      <c r="C18" s="91"/>
      <c r="D18" s="91"/>
      <c r="E18" s="92"/>
    </row>
    <row r="19" s="58" customFormat="1" ht="28" customHeight="1" spans="1:5">
      <c r="A19" s="121"/>
      <c r="B19" s="98" t="s">
        <v>203</v>
      </c>
      <c r="C19" s="78"/>
      <c r="D19" s="78"/>
      <c r="E19" s="99"/>
    </row>
    <row r="20" s="58" customFormat="1" ht="21.95" customHeight="1" spans="1:5">
      <c r="A20" s="121"/>
      <c r="B20" s="91" t="s">
        <v>204</v>
      </c>
      <c r="C20" s="91"/>
      <c r="D20" s="91"/>
      <c r="E20" s="92"/>
    </row>
    <row r="21" s="58" customFormat="1" ht="21.95" customHeight="1" spans="1:5">
      <c r="A21" s="121"/>
      <c r="B21" s="91" t="s">
        <v>205</v>
      </c>
      <c r="C21" s="91"/>
      <c r="D21" s="91"/>
      <c r="E21" s="92"/>
    </row>
    <row r="22" s="58" customFormat="1" ht="21.95" customHeight="1" spans="1:5">
      <c r="A22" s="122"/>
      <c r="B22" s="98"/>
      <c r="C22" s="78"/>
      <c r="D22" s="78"/>
      <c r="E22" s="99"/>
    </row>
    <row r="23" s="58" customFormat="1" ht="21.95" customHeight="1" spans="1:5">
      <c r="A23" s="84" t="s">
        <v>135</v>
      </c>
      <c r="B23" s="91" t="s">
        <v>206</v>
      </c>
      <c r="C23" s="91"/>
      <c r="D23" s="91"/>
      <c r="E23" s="92"/>
    </row>
    <row r="24" s="58" customFormat="1" ht="19.9" customHeight="1" spans="1:5">
      <c r="A24" s="90" t="s">
        <v>207</v>
      </c>
      <c r="B24" s="91"/>
      <c r="C24" s="91"/>
      <c r="D24" s="91"/>
      <c r="E24" s="92"/>
    </row>
    <row r="25" s="60" customFormat="1" ht="21.95" customHeight="1" spans="1:5">
      <c r="A25" s="100" t="s">
        <v>138</v>
      </c>
      <c r="B25" s="93" t="s">
        <v>208</v>
      </c>
      <c r="C25" s="93"/>
      <c r="D25" s="93"/>
      <c r="E25" s="94"/>
    </row>
    <row r="26" s="60" customFormat="1" ht="21.95" customHeight="1" spans="1:5">
      <c r="A26" s="101"/>
      <c r="B26" s="95" t="s">
        <v>209</v>
      </c>
      <c r="C26" s="96"/>
      <c r="D26" s="96"/>
      <c r="E26" s="97"/>
    </row>
    <row r="27" s="60" customFormat="1" ht="21.95" customHeight="1" spans="1:5">
      <c r="A27" s="101"/>
      <c r="B27" s="95" t="s">
        <v>210</v>
      </c>
      <c r="C27" s="96"/>
      <c r="D27" s="96"/>
      <c r="E27" s="97"/>
    </row>
    <row r="28" s="60" customFormat="1" ht="21.95" customHeight="1" spans="1:5">
      <c r="A28" s="102"/>
      <c r="B28" s="95"/>
      <c r="C28" s="96"/>
      <c r="D28" s="96"/>
      <c r="E28" s="97"/>
    </row>
    <row r="29" s="60" customFormat="1" ht="21.95" customHeight="1" spans="1:5">
      <c r="A29" s="103" t="s">
        <v>143</v>
      </c>
      <c r="B29" s="93" t="s">
        <v>211</v>
      </c>
      <c r="C29" s="93"/>
      <c r="D29" s="93"/>
      <c r="E29" s="94"/>
    </row>
    <row r="30" s="58" customFormat="1" ht="19.9" customHeight="1" spans="1:5">
      <c r="A30" s="77" t="s">
        <v>212</v>
      </c>
      <c r="B30" s="78"/>
      <c r="C30" s="78"/>
      <c r="D30" s="78"/>
      <c r="E30" s="99"/>
    </row>
    <row r="31" s="60" customFormat="1" ht="21.95" customHeight="1" spans="1:5">
      <c r="A31" s="100" t="s">
        <v>138</v>
      </c>
      <c r="B31" s="93" t="s">
        <v>213</v>
      </c>
      <c r="C31" s="93"/>
      <c r="D31" s="93"/>
      <c r="E31" s="94"/>
    </row>
    <row r="32" s="60" customFormat="1" ht="21.95" customHeight="1" spans="1:5">
      <c r="A32" s="101"/>
      <c r="B32" s="95" t="s">
        <v>214</v>
      </c>
      <c r="C32" s="96"/>
      <c r="D32" s="96"/>
      <c r="E32" s="97"/>
    </row>
    <row r="33" s="60" customFormat="1" ht="21.95" customHeight="1" spans="1:5">
      <c r="A33" s="102"/>
      <c r="B33" s="95"/>
      <c r="C33" s="96"/>
      <c r="D33" s="96"/>
      <c r="E33" s="97"/>
    </row>
    <row r="34" s="60" customFormat="1" ht="28.5" customHeight="1" spans="1:5">
      <c r="A34" s="103" t="s">
        <v>143</v>
      </c>
      <c r="B34" s="95" t="s">
        <v>215</v>
      </c>
      <c r="C34" s="96"/>
      <c r="D34" s="96"/>
      <c r="E34" s="97"/>
    </row>
    <row r="35" s="58" customFormat="1" ht="19.9" customHeight="1" spans="1:5">
      <c r="A35" s="77" t="s">
        <v>216</v>
      </c>
      <c r="B35" s="78"/>
      <c r="C35" s="78"/>
      <c r="D35" s="78"/>
      <c r="E35" s="99"/>
    </row>
    <row r="36" s="60" customFormat="1" ht="21.95" customHeight="1" spans="1:5">
      <c r="A36" s="100" t="s">
        <v>138</v>
      </c>
      <c r="B36" s="93" t="s">
        <v>217</v>
      </c>
      <c r="C36" s="93"/>
      <c r="D36" s="93"/>
      <c r="E36" s="94"/>
    </row>
    <row r="37" s="60" customFormat="1" ht="21.95" customHeight="1" spans="1:5">
      <c r="A37" s="101"/>
      <c r="B37" s="95" t="s">
        <v>218</v>
      </c>
      <c r="C37" s="96"/>
      <c r="D37" s="96"/>
      <c r="E37" s="97"/>
    </row>
    <row r="38" s="60" customFormat="1" ht="21.95" customHeight="1" spans="1:5">
      <c r="A38" s="102"/>
      <c r="B38" s="95"/>
      <c r="C38" s="96"/>
      <c r="D38" s="96"/>
      <c r="E38" s="97"/>
    </row>
    <row r="39" s="60" customFormat="1" ht="28.5" customHeight="1" spans="1:5">
      <c r="A39" s="103" t="s">
        <v>143</v>
      </c>
      <c r="B39" s="95" t="s">
        <v>219</v>
      </c>
      <c r="C39" s="96"/>
      <c r="D39" s="96"/>
      <c r="E39" s="97"/>
    </row>
    <row r="40" s="60" customFormat="1" ht="28.5" customHeight="1" spans="1:5">
      <c r="A40" s="90" t="s">
        <v>220</v>
      </c>
      <c r="B40" s="91"/>
      <c r="C40" s="91"/>
      <c r="D40" s="91"/>
      <c r="E40" s="92"/>
    </row>
    <row r="41" s="60" customFormat="1" ht="28.5" customHeight="1" spans="1:5">
      <c r="A41" s="100" t="s">
        <v>138</v>
      </c>
      <c r="B41" s="93" t="s">
        <v>221</v>
      </c>
      <c r="C41" s="93"/>
      <c r="D41" s="93"/>
      <c r="E41" s="94"/>
    </row>
    <row r="42" s="60" customFormat="1" ht="28.5" customHeight="1" spans="1:5">
      <c r="A42" s="101"/>
      <c r="B42" s="95" t="s">
        <v>222</v>
      </c>
      <c r="C42" s="96"/>
      <c r="D42" s="96"/>
      <c r="E42" s="97"/>
    </row>
    <row r="43" s="60" customFormat="1" ht="28.5" customHeight="1" spans="1:5">
      <c r="A43" s="102"/>
      <c r="B43" s="95"/>
      <c r="C43" s="96"/>
      <c r="D43" s="96"/>
      <c r="E43" s="97"/>
    </row>
    <row r="44" s="60" customFormat="1" ht="28.5" customHeight="1" spans="1:5">
      <c r="A44" s="103" t="s">
        <v>143</v>
      </c>
      <c r="B44" s="95" t="s">
        <v>223</v>
      </c>
      <c r="C44" s="96"/>
      <c r="D44" s="96"/>
      <c r="E44" s="97"/>
    </row>
    <row r="45" s="58" customFormat="1" ht="19.9" customHeight="1" spans="1:6">
      <c r="A45" s="90" t="s">
        <v>172</v>
      </c>
      <c r="B45" s="91"/>
      <c r="C45" s="91"/>
      <c r="D45" s="91"/>
      <c r="E45" s="92"/>
      <c r="F45" s="59"/>
    </row>
    <row r="46" s="58" customFormat="1" ht="19.5" customHeight="1" spans="1:5">
      <c r="A46" s="84" t="s">
        <v>173</v>
      </c>
      <c r="B46" s="104" t="s">
        <v>174</v>
      </c>
      <c r="C46" s="98" t="s">
        <v>107</v>
      </c>
      <c r="D46" s="78"/>
      <c r="E46" s="99"/>
    </row>
    <row r="47" s="58" customFormat="1" ht="19.5" customHeight="1" spans="1:5">
      <c r="A47" s="84"/>
      <c r="B47" s="105" t="s">
        <v>176</v>
      </c>
      <c r="C47" s="98" t="s">
        <v>224</v>
      </c>
      <c r="D47" s="78"/>
      <c r="E47" s="99"/>
    </row>
    <row r="48" s="58" customFormat="1" ht="19.5" customHeight="1" spans="1:5">
      <c r="A48" s="84"/>
      <c r="B48" s="106" t="s">
        <v>178</v>
      </c>
      <c r="C48" s="98" t="s">
        <v>225</v>
      </c>
      <c r="D48" s="78"/>
      <c r="E48" s="99"/>
    </row>
    <row r="49" s="58" customFormat="1" ht="24.95" customHeight="1" spans="1:5">
      <c r="A49" s="84" t="s">
        <v>180</v>
      </c>
      <c r="B49" s="91" t="s">
        <v>226</v>
      </c>
      <c r="C49" s="91"/>
      <c r="D49" s="91"/>
      <c r="E49" s="92"/>
    </row>
    <row r="50" s="61" customFormat="1" ht="19.9" customHeight="1" spans="1:5">
      <c r="A50" s="90" t="s">
        <v>182</v>
      </c>
      <c r="B50" s="91"/>
      <c r="C50" s="91"/>
      <c r="D50" s="91"/>
      <c r="E50" s="92"/>
    </row>
    <row r="51" s="58" customFormat="1" ht="19.9" customHeight="1" spans="1:5">
      <c r="A51" s="107" t="s">
        <v>183</v>
      </c>
      <c r="B51" s="108" t="s">
        <v>184</v>
      </c>
      <c r="C51" s="108"/>
      <c r="D51" s="108"/>
      <c r="E51" s="109"/>
    </row>
    <row r="52" s="58" customFormat="1" ht="19.9" customHeight="1" spans="1:5">
      <c r="A52" s="107" t="s">
        <v>185</v>
      </c>
      <c r="B52" s="108" t="s">
        <v>186</v>
      </c>
      <c r="C52" s="108"/>
      <c r="D52" s="108"/>
      <c r="E52" s="109"/>
    </row>
    <row r="53" s="61" customFormat="1" ht="19.9" customHeight="1" spans="1:5">
      <c r="A53" s="90" t="s">
        <v>227</v>
      </c>
      <c r="B53" s="91"/>
      <c r="C53" s="91"/>
      <c r="D53" s="91"/>
      <c r="E53" s="92"/>
    </row>
    <row r="54" s="61" customFormat="1" ht="19.9" customHeight="1" spans="1:5">
      <c r="A54" s="77" t="s">
        <v>228</v>
      </c>
      <c r="B54" s="78"/>
      <c r="C54" s="78"/>
      <c r="D54" s="78"/>
      <c r="E54" s="99"/>
    </row>
    <row r="55" s="58" customFormat="1" ht="19.9" customHeight="1" spans="1:5">
      <c r="A55" s="77" t="s">
        <v>229</v>
      </c>
      <c r="B55" s="78"/>
      <c r="C55" s="78"/>
      <c r="D55" s="78"/>
      <c r="E55" s="99"/>
    </row>
    <row r="56" s="58" customFormat="1" ht="19.9" customHeight="1" spans="1:5">
      <c r="A56" s="77" t="s">
        <v>230</v>
      </c>
      <c r="B56" s="78"/>
      <c r="C56" s="78"/>
      <c r="D56" s="78"/>
      <c r="E56" s="99"/>
    </row>
    <row r="57" s="58" customFormat="1" ht="19.9" customHeight="1" spans="1:5">
      <c r="A57" s="116" t="s">
        <v>189</v>
      </c>
      <c r="B57" s="108"/>
      <c r="C57" s="108"/>
      <c r="D57" s="108"/>
      <c r="E57" s="109"/>
    </row>
    <row r="58" s="59" customFormat="1" ht="48.95" customHeight="1" spans="1:5">
      <c r="A58" s="117"/>
      <c r="B58" s="118"/>
      <c r="C58" s="118"/>
      <c r="D58" s="118"/>
      <c r="E58" s="119"/>
    </row>
  </sheetData>
  <mergeCells count="62">
    <mergeCell ref="A3:D3"/>
    <mergeCell ref="A4:D4"/>
    <mergeCell ref="A5:C5"/>
    <mergeCell ref="A6:C6"/>
    <mergeCell ref="A7:C7"/>
    <mergeCell ref="B8:E8"/>
    <mergeCell ref="B9:E9"/>
    <mergeCell ref="B10:E10"/>
    <mergeCell ref="B11:E11"/>
    <mergeCell ref="B12:E12"/>
    <mergeCell ref="A15:E15"/>
    <mergeCell ref="A16:E16"/>
    <mergeCell ref="B17:E17"/>
    <mergeCell ref="B18:E18"/>
    <mergeCell ref="B19:E19"/>
    <mergeCell ref="B20:E20"/>
    <mergeCell ref="B21:E21"/>
    <mergeCell ref="B22:E22"/>
    <mergeCell ref="B23:E23"/>
    <mergeCell ref="A24:E24"/>
    <mergeCell ref="B25:E25"/>
    <mergeCell ref="B26:E26"/>
    <mergeCell ref="B27:E27"/>
    <mergeCell ref="B28:E28"/>
    <mergeCell ref="B29:E29"/>
    <mergeCell ref="A30:E30"/>
    <mergeCell ref="B31:E31"/>
    <mergeCell ref="B32:E32"/>
    <mergeCell ref="B33:E33"/>
    <mergeCell ref="B34:E34"/>
    <mergeCell ref="A35:E35"/>
    <mergeCell ref="B36:E36"/>
    <mergeCell ref="B37:E37"/>
    <mergeCell ref="B38:E38"/>
    <mergeCell ref="B39:E39"/>
    <mergeCell ref="A40:E40"/>
    <mergeCell ref="B41:E41"/>
    <mergeCell ref="B42:E42"/>
    <mergeCell ref="B43:E43"/>
    <mergeCell ref="B44:E44"/>
    <mergeCell ref="A45:E45"/>
    <mergeCell ref="C46:E46"/>
    <mergeCell ref="C47:E47"/>
    <mergeCell ref="C48:E48"/>
    <mergeCell ref="B49:E49"/>
    <mergeCell ref="A50:E50"/>
    <mergeCell ref="B51:E51"/>
    <mergeCell ref="B52:E52"/>
    <mergeCell ref="A53:E53"/>
    <mergeCell ref="A54:E54"/>
    <mergeCell ref="A55:E55"/>
    <mergeCell ref="A56:E56"/>
    <mergeCell ref="A57:E57"/>
    <mergeCell ref="A58:E58"/>
    <mergeCell ref="A8:A12"/>
    <mergeCell ref="A17:A22"/>
    <mergeCell ref="A25:A28"/>
    <mergeCell ref="A31:A33"/>
    <mergeCell ref="A36:A38"/>
    <mergeCell ref="A41:A43"/>
    <mergeCell ref="A46:A48"/>
    <mergeCell ref="A13:E14"/>
  </mergeCells>
  <pageMargins left="0.7" right="0.7" top="0.75" bottom="0.75" header="0.3" footer="0.3"/>
  <pageSetup paperSize="9" orientation="portrait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62"/>
  <sheetViews>
    <sheetView tabSelected="1" topLeftCell="A45" workbookViewId="0">
      <selection activeCell="F42" sqref="F42"/>
    </sheetView>
  </sheetViews>
  <sheetFormatPr defaultColWidth="9" defaultRowHeight="15.75"/>
  <cols>
    <col min="1" max="1" width="11" style="59" customWidth="1"/>
    <col min="2" max="2" width="7.08333333333333" style="59" customWidth="1"/>
    <col min="3" max="3" width="13.5833333333333" style="59" customWidth="1"/>
    <col min="4" max="4" width="28.8333333333333" style="59" customWidth="1"/>
    <col min="5" max="5" width="28.0833333333333" style="59" customWidth="1"/>
    <col min="6" max="6" width="15.0833333333333" style="59" customWidth="1"/>
    <col min="7" max="16384" width="9" style="59"/>
  </cols>
  <sheetData>
    <row r="1" s="55" customFormat="1" ht="15" customHeight="1" spans="5:5">
      <c r="E1" s="62"/>
    </row>
    <row r="2" s="55" customFormat="1" ht="15" customHeight="1" spans="1:5">
      <c r="A2" s="62" t="s">
        <v>90</v>
      </c>
      <c r="E2" s="63" t="s">
        <v>91</v>
      </c>
    </row>
    <row r="3" s="56" customFormat="1" ht="24" customHeight="1" spans="1:5">
      <c r="A3" s="64" t="s">
        <v>92</v>
      </c>
      <c r="B3" s="65"/>
      <c r="C3" s="65"/>
      <c r="D3" s="66"/>
      <c r="E3" s="67" t="s">
        <v>110</v>
      </c>
    </row>
    <row r="4" s="57" customFormat="1" ht="24" customHeight="1" spans="1:5">
      <c r="A4" s="68" t="s">
        <v>111</v>
      </c>
      <c r="B4" s="69"/>
      <c r="C4" s="69"/>
      <c r="D4" s="70"/>
      <c r="E4" s="71" t="s">
        <v>112</v>
      </c>
    </row>
    <row r="5" s="58" customFormat="1" ht="22" customHeight="1" spans="1:5">
      <c r="A5" s="72" t="s">
        <v>231</v>
      </c>
      <c r="B5" s="73"/>
      <c r="C5" s="74"/>
      <c r="D5" s="75" t="s">
        <v>114</v>
      </c>
      <c r="E5" s="76" t="s">
        <v>115</v>
      </c>
    </row>
    <row r="6" s="58" customFormat="1" ht="22" customHeight="1" spans="1:5">
      <c r="A6" s="77" t="s">
        <v>116</v>
      </c>
      <c r="B6" s="78"/>
      <c r="C6" s="79"/>
      <c r="D6" s="80" t="s">
        <v>232</v>
      </c>
      <c r="E6" s="81" t="s">
        <v>118</v>
      </c>
    </row>
    <row r="7" s="58" customFormat="1" ht="22" customHeight="1" spans="1:5">
      <c r="A7" s="77" t="s">
        <v>192</v>
      </c>
      <c r="B7" s="78"/>
      <c r="C7" s="79"/>
      <c r="D7" s="82" t="s">
        <v>193</v>
      </c>
      <c r="E7" s="83" t="s">
        <v>121</v>
      </c>
    </row>
    <row r="8" s="58" customFormat="1" ht="23" customHeight="1" spans="1:5">
      <c r="A8" s="84" t="s">
        <v>122</v>
      </c>
      <c r="B8" s="85" t="s">
        <v>194</v>
      </c>
      <c r="C8" s="85"/>
      <c r="D8" s="85"/>
      <c r="E8" s="86"/>
    </row>
    <row r="9" s="58" customFormat="1" ht="24.5" customHeight="1" spans="1:5">
      <c r="A9" s="84"/>
      <c r="B9" s="85" t="s">
        <v>233</v>
      </c>
      <c r="C9" s="85"/>
      <c r="D9" s="85"/>
      <c r="E9" s="86"/>
    </row>
    <row r="10" s="58" customFormat="1" ht="24" customHeight="1" spans="1:5">
      <c r="A10" s="84"/>
      <c r="B10" s="85" t="s">
        <v>196</v>
      </c>
      <c r="C10" s="85"/>
      <c r="D10" s="85"/>
      <c r="E10" s="86"/>
    </row>
    <row r="11" s="58" customFormat="1" ht="28" customHeight="1" spans="1:5">
      <c r="A11" s="84"/>
      <c r="B11" s="85" t="s">
        <v>234</v>
      </c>
      <c r="C11" s="85"/>
      <c r="D11" s="85"/>
      <c r="E11" s="86"/>
    </row>
    <row r="12" s="58" customFormat="1" ht="28.5" customHeight="1" spans="1:5">
      <c r="A12" s="84"/>
      <c r="B12" s="85" t="s">
        <v>198</v>
      </c>
      <c r="C12" s="85"/>
      <c r="D12" s="85"/>
      <c r="E12" s="86"/>
    </row>
    <row r="13" s="58" customFormat="1" ht="19.9" customHeight="1" spans="1:5">
      <c r="A13" s="87" t="s">
        <v>235</v>
      </c>
      <c r="B13" s="88"/>
      <c r="C13" s="88"/>
      <c r="D13" s="88"/>
      <c r="E13" s="89"/>
    </row>
    <row r="14" s="58" customFormat="1" ht="21" customHeight="1" spans="1:5">
      <c r="A14" s="87"/>
      <c r="B14" s="88"/>
      <c r="C14" s="88"/>
      <c r="D14" s="88"/>
      <c r="E14" s="89"/>
    </row>
    <row r="15" s="59" customFormat="1" ht="19.9" customHeight="1" spans="1:5">
      <c r="A15" s="90" t="s">
        <v>129</v>
      </c>
      <c r="B15" s="91"/>
      <c r="C15" s="91"/>
      <c r="D15" s="91"/>
      <c r="E15" s="92"/>
    </row>
    <row r="16" s="58" customFormat="1" ht="19.9" customHeight="1" spans="1:5">
      <c r="A16" s="90" t="s">
        <v>236</v>
      </c>
      <c r="B16" s="91"/>
      <c r="C16" s="91"/>
      <c r="D16" s="91"/>
      <c r="E16" s="92"/>
    </row>
    <row r="17" s="58" customFormat="1" ht="22" customHeight="1" spans="1:5">
      <c r="A17" s="120" t="s">
        <v>131</v>
      </c>
      <c r="B17" s="91" t="s">
        <v>237</v>
      </c>
      <c r="C17" s="91"/>
      <c r="D17" s="91"/>
      <c r="E17" s="92"/>
    </row>
    <row r="18" s="58" customFormat="1" ht="22" customHeight="1" spans="1:5">
      <c r="A18" s="121"/>
      <c r="B18" s="91" t="s">
        <v>238</v>
      </c>
      <c r="C18" s="91"/>
      <c r="D18" s="91"/>
      <c r="E18" s="92"/>
    </row>
    <row r="19" s="58" customFormat="1" ht="22" customHeight="1" spans="1:5">
      <c r="A19" s="121"/>
      <c r="B19" s="98" t="s">
        <v>239</v>
      </c>
      <c r="C19" s="78"/>
      <c r="D19" s="78"/>
      <c r="E19" s="99"/>
    </row>
    <row r="20" s="58" customFormat="1" ht="22" customHeight="1" spans="1:5">
      <c r="A20" s="121"/>
      <c r="B20" s="91" t="s">
        <v>240</v>
      </c>
      <c r="C20" s="91"/>
      <c r="D20" s="91"/>
      <c r="E20" s="92"/>
    </row>
    <row r="21" s="58" customFormat="1" ht="22" customHeight="1" spans="1:5">
      <c r="A21" s="121"/>
      <c r="B21" s="91" t="s">
        <v>241</v>
      </c>
      <c r="C21" s="91"/>
      <c r="D21" s="91"/>
      <c r="E21" s="92"/>
    </row>
    <row r="22" s="58" customFormat="1" ht="22" customHeight="1" spans="1:5">
      <c r="A22" s="121"/>
      <c r="B22" s="91" t="s">
        <v>242</v>
      </c>
      <c r="C22" s="91"/>
      <c r="D22" s="91"/>
      <c r="E22" s="92"/>
    </row>
    <row r="23" s="58" customFormat="1" ht="22" customHeight="1" spans="1:5">
      <c r="A23" s="121"/>
      <c r="B23" s="91" t="s">
        <v>243</v>
      </c>
      <c r="C23" s="91"/>
      <c r="D23" s="91"/>
      <c r="E23" s="92"/>
    </row>
    <row r="24" s="58" customFormat="1" ht="22" customHeight="1" spans="1:5">
      <c r="A24" s="122"/>
      <c r="B24" s="91" t="s">
        <v>244</v>
      </c>
      <c r="C24" s="91"/>
      <c r="D24" s="91"/>
      <c r="E24" s="92"/>
    </row>
    <row r="25" s="58" customFormat="1" ht="22" customHeight="1" spans="1:5">
      <c r="A25" s="84" t="s">
        <v>135</v>
      </c>
      <c r="B25" s="91" t="s">
        <v>245</v>
      </c>
      <c r="C25" s="91"/>
      <c r="D25" s="91"/>
      <c r="E25" s="92"/>
    </row>
    <row r="26" s="58" customFormat="1" ht="19.9" customHeight="1" spans="1:5">
      <c r="A26" s="90" t="s">
        <v>246</v>
      </c>
      <c r="B26" s="91"/>
      <c r="C26" s="91"/>
      <c r="D26" s="91"/>
      <c r="E26" s="92"/>
    </row>
    <row r="27" s="60" customFormat="1" ht="22" customHeight="1" spans="1:5">
      <c r="A27" s="123" t="s">
        <v>138</v>
      </c>
      <c r="B27" s="124" t="s">
        <v>247</v>
      </c>
      <c r="C27" s="124"/>
      <c r="D27" s="124"/>
      <c r="E27" s="125"/>
    </row>
    <row r="28" s="60" customFormat="1" ht="22" customHeight="1" spans="1:5">
      <c r="A28" s="126"/>
      <c r="B28" s="124" t="s">
        <v>248</v>
      </c>
      <c r="C28" s="124"/>
      <c r="D28" s="124"/>
      <c r="E28" s="125"/>
    </row>
    <row r="29" s="60" customFormat="1" ht="22" customHeight="1" spans="1:5">
      <c r="A29" s="126"/>
      <c r="B29" s="127" t="s">
        <v>249</v>
      </c>
      <c r="C29" s="128"/>
      <c r="D29" s="128"/>
      <c r="E29" s="129"/>
    </row>
    <row r="30" s="60" customFormat="1" ht="22" customHeight="1" spans="1:5">
      <c r="A30" s="126"/>
      <c r="B30" s="127" t="s">
        <v>250</v>
      </c>
      <c r="C30" s="128"/>
      <c r="D30" s="128"/>
      <c r="E30" s="129"/>
    </row>
    <row r="31" s="60" customFormat="1" ht="24" customHeight="1" spans="1:5">
      <c r="A31" s="130"/>
      <c r="B31" s="127" t="s">
        <v>251</v>
      </c>
      <c r="C31" s="128"/>
      <c r="D31" s="128"/>
      <c r="E31" s="129"/>
    </row>
    <row r="32" s="60" customFormat="1" ht="22" customHeight="1" spans="1:5">
      <c r="A32" s="131" t="s">
        <v>143</v>
      </c>
      <c r="B32" s="124" t="s">
        <v>252</v>
      </c>
      <c r="C32" s="124"/>
      <c r="D32" s="124"/>
      <c r="E32" s="125"/>
    </row>
    <row r="33" s="58" customFormat="1" ht="19.9" customHeight="1" spans="1:5">
      <c r="A33" s="90" t="s">
        <v>253</v>
      </c>
      <c r="B33" s="91"/>
      <c r="C33" s="91"/>
      <c r="D33" s="91"/>
      <c r="E33" s="92"/>
    </row>
    <row r="34" s="60" customFormat="1" ht="25" customHeight="1" spans="1:5">
      <c r="A34" s="123" t="s">
        <v>138</v>
      </c>
      <c r="B34" s="124" t="s">
        <v>254</v>
      </c>
      <c r="C34" s="124"/>
      <c r="D34" s="124"/>
      <c r="E34" s="125"/>
    </row>
    <row r="35" s="60" customFormat="1" ht="22" customHeight="1" spans="1:5">
      <c r="A35" s="126"/>
      <c r="B35" s="127" t="s">
        <v>255</v>
      </c>
      <c r="C35" s="128"/>
      <c r="D35" s="128"/>
      <c r="E35" s="129"/>
    </row>
    <row r="36" s="60" customFormat="1" ht="22" customHeight="1" spans="1:5">
      <c r="A36" s="130"/>
      <c r="B36" s="127" t="s">
        <v>256</v>
      </c>
      <c r="C36" s="128"/>
      <c r="D36" s="128"/>
      <c r="E36" s="129"/>
    </row>
    <row r="37" s="60" customFormat="1" ht="28.5" customHeight="1" spans="1:5">
      <c r="A37" s="131" t="s">
        <v>143</v>
      </c>
      <c r="B37" s="127" t="s">
        <v>257</v>
      </c>
      <c r="C37" s="128"/>
      <c r="D37" s="128"/>
      <c r="E37" s="129"/>
    </row>
    <row r="38" s="60" customFormat="1" ht="28.5" customHeight="1" spans="1:5">
      <c r="A38" s="90" t="s">
        <v>258</v>
      </c>
      <c r="B38" s="91"/>
      <c r="C38" s="91"/>
      <c r="D38" s="91"/>
      <c r="E38" s="92"/>
    </row>
    <row r="39" s="60" customFormat="1" ht="28.5" customHeight="1" spans="1:5">
      <c r="A39" s="131" t="s">
        <v>138</v>
      </c>
      <c r="B39" s="124" t="s">
        <v>259</v>
      </c>
      <c r="C39" s="124"/>
      <c r="D39" s="124"/>
      <c r="E39" s="125"/>
    </row>
    <row r="40" s="60" customFormat="1" ht="28.5" customHeight="1" spans="1:5">
      <c r="A40" s="131" t="s">
        <v>143</v>
      </c>
      <c r="B40" s="124" t="s">
        <v>260</v>
      </c>
      <c r="C40" s="124"/>
      <c r="D40" s="124"/>
      <c r="E40" s="125"/>
    </row>
    <row r="41" s="60" customFormat="1" ht="28.5" customHeight="1" spans="1:5">
      <c r="A41" s="131" t="s">
        <v>143</v>
      </c>
      <c r="B41" s="127" t="s">
        <v>261</v>
      </c>
      <c r="C41" s="128"/>
      <c r="D41" s="128"/>
      <c r="E41" s="129"/>
    </row>
    <row r="42" s="60" customFormat="1" ht="28.5" customHeight="1" spans="1:5">
      <c r="A42" s="77" t="s">
        <v>262</v>
      </c>
      <c r="B42" s="78"/>
      <c r="C42" s="78"/>
      <c r="D42" s="78"/>
      <c r="E42" s="99"/>
    </row>
    <row r="43" s="58" customFormat="1" ht="19.9" customHeight="1" spans="1:12">
      <c r="A43" s="131" t="s">
        <v>138</v>
      </c>
      <c r="B43" s="124" t="s">
        <v>263</v>
      </c>
      <c r="C43" s="124"/>
      <c r="D43" s="124"/>
      <c r="E43" s="125"/>
      <c r="F43" s="60"/>
      <c r="G43" s="60"/>
      <c r="H43" s="60"/>
      <c r="I43" s="60"/>
      <c r="J43" s="60"/>
      <c r="K43" s="60"/>
      <c r="L43" s="60"/>
    </row>
    <row r="44" s="60" customFormat="1" ht="22" customHeight="1" spans="1:5">
      <c r="A44" s="131" t="s">
        <v>143</v>
      </c>
      <c r="B44" s="124" t="s">
        <v>264</v>
      </c>
      <c r="C44" s="124"/>
      <c r="D44" s="124"/>
      <c r="E44" s="125"/>
    </row>
    <row r="45" s="60" customFormat="1" ht="22" customHeight="1" spans="1:5">
      <c r="A45" s="90" t="s">
        <v>265</v>
      </c>
      <c r="B45" s="91"/>
      <c r="C45" s="91"/>
      <c r="D45" s="91"/>
      <c r="E45" s="92"/>
    </row>
    <row r="46" s="58" customFormat="1" ht="19.9" customHeight="1" spans="1:5">
      <c r="A46" s="123" t="s">
        <v>138</v>
      </c>
      <c r="B46" s="128" t="s">
        <v>266</v>
      </c>
      <c r="C46" s="128"/>
      <c r="D46" s="128"/>
      <c r="E46" s="129"/>
    </row>
    <row r="47" s="60" customFormat="1" ht="25" customHeight="1" spans="1:5">
      <c r="A47" s="126"/>
      <c r="B47" s="128" t="s">
        <v>267</v>
      </c>
      <c r="C47" s="128"/>
      <c r="D47" s="128"/>
      <c r="E47" s="129"/>
    </row>
    <row r="48" s="60" customFormat="1" ht="22" customHeight="1" spans="1:5">
      <c r="A48" s="130"/>
      <c r="B48" s="127" t="s">
        <v>268</v>
      </c>
      <c r="C48" s="128"/>
      <c r="D48" s="128"/>
      <c r="E48" s="129"/>
    </row>
    <row r="49" s="60" customFormat="1" ht="22" customHeight="1" spans="1:5">
      <c r="A49" s="131" t="s">
        <v>143</v>
      </c>
      <c r="B49" s="127" t="s">
        <v>261</v>
      </c>
      <c r="C49" s="128"/>
      <c r="D49" s="128"/>
      <c r="E49" s="129"/>
    </row>
    <row r="50" s="59" customFormat="1" ht="19.9" customHeight="1" spans="1:5">
      <c r="A50" s="90" t="s">
        <v>172</v>
      </c>
      <c r="B50" s="91"/>
      <c r="C50" s="91"/>
      <c r="D50" s="91"/>
      <c r="E50" s="92"/>
    </row>
    <row r="51" s="58" customFormat="1" ht="19.5" customHeight="1" spans="1:5">
      <c r="A51" s="84" t="s">
        <v>173</v>
      </c>
      <c r="B51" s="104" t="s">
        <v>174</v>
      </c>
      <c r="C51" s="98" t="s">
        <v>107</v>
      </c>
      <c r="D51" s="78"/>
      <c r="E51" s="99"/>
    </row>
    <row r="52" s="58" customFormat="1" ht="19.5" customHeight="1" spans="1:5">
      <c r="A52" s="84"/>
      <c r="B52" s="105" t="s">
        <v>176</v>
      </c>
      <c r="C52" s="98" t="s">
        <v>269</v>
      </c>
      <c r="D52" s="78"/>
      <c r="E52" s="99"/>
    </row>
    <row r="53" s="58" customFormat="1" ht="19.5" customHeight="1" spans="1:5">
      <c r="A53" s="84"/>
      <c r="B53" s="106" t="s">
        <v>178</v>
      </c>
      <c r="C53" s="98"/>
      <c r="D53" s="78"/>
      <c r="E53" s="99"/>
    </row>
    <row r="54" s="58" customFormat="1" ht="25" customHeight="1" spans="1:5">
      <c r="A54" s="84" t="s">
        <v>180</v>
      </c>
      <c r="B54" s="91" t="s">
        <v>270</v>
      </c>
      <c r="C54" s="91"/>
      <c r="D54" s="91"/>
      <c r="E54" s="92"/>
    </row>
    <row r="55" s="61" customFormat="1" ht="19.9" customHeight="1" spans="1:5">
      <c r="A55" s="90" t="s">
        <v>182</v>
      </c>
      <c r="B55" s="91"/>
      <c r="C55" s="91"/>
      <c r="D55" s="91"/>
      <c r="E55" s="92"/>
    </row>
    <row r="56" s="58" customFormat="1" ht="19.9" customHeight="1" spans="1:5">
      <c r="A56" s="107" t="s">
        <v>183</v>
      </c>
      <c r="B56" s="108" t="s">
        <v>184</v>
      </c>
      <c r="C56" s="108"/>
      <c r="D56" s="108"/>
      <c r="E56" s="109"/>
    </row>
    <row r="57" s="58" customFormat="1" ht="19.9" customHeight="1" spans="1:5">
      <c r="A57" s="107" t="s">
        <v>185</v>
      </c>
      <c r="B57" s="108" t="s">
        <v>186</v>
      </c>
      <c r="C57" s="108"/>
      <c r="D57" s="108"/>
      <c r="E57" s="109"/>
    </row>
    <row r="58" s="61" customFormat="1" ht="19.9" customHeight="1" spans="1:5">
      <c r="A58" s="90" t="s">
        <v>271</v>
      </c>
      <c r="B58" s="91"/>
      <c r="C58" s="91"/>
      <c r="D58" s="91"/>
      <c r="E58" s="92"/>
    </row>
    <row r="59" s="61" customFormat="1" ht="38" customHeight="1" spans="1:5">
      <c r="A59" s="77" t="s">
        <v>272</v>
      </c>
      <c r="B59" s="78"/>
      <c r="C59" s="78"/>
      <c r="D59" s="78"/>
      <c r="E59" s="99"/>
    </row>
    <row r="60" s="58" customFormat="1" ht="19.9" customHeight="1" spans="1:5">
      <c r="A60" s="113"/>
      <c r="B60" s="114"/>
      <c r="C60" s="114"/>
      <c r="D60" s="114"/>
      <c r="E60" s="115"/>
    </row>
    <row r="61" s="58" customFormat="1" ht="19.9" customHeight="1" spans="1:5">
      <c r="A61" s="116" t="s">
        <v>189</v>
      </c>
      <c r="B61" s="108"/>
      <c r="C61" s="108"/>
      <c r="D61" s="108"/>
      <c r="E61" s="109"/>
    </row>
    <row r="62" s="59" customFormat="1" ht="49" customHeight="1" spans="1:5">
      <c r="A62" s="117"/>
      <c r="B62" s="118"/>
      <c r="C62" s="118"/>
      <c r="D62" s="118"/>
      <c r="E62" s="119"/>
    </row>
  </sheetData>
  <mergeCells count="65">
    <mergeCell ref="A3:D3"/>
    <mergeCell ref="A4:D4"/>
    <mergeCell ref="A5:C5"/>
    <mergeCell ref="A6:C6"/>
    <mergeCell ref="A7:C7"/>
    <mergeCell ref="B8:E8"/>
    <mergeCell ref="B9:E9"/>
    <mergeCell ref="B10:E10"/>
    <mergeCell ref="B11:E11"/>
    <mergeCell ref="B12:E12"/>
    <mergeCell ref="A15:E15"/>
    <mergeCell ref="A16:E16"/>
    <mergeCell ref="B17:E17"/>
    <mergeCell ref="B18:E18"/>
    <mergeCell ref="B19:E19"/>
    <mergeCell ref="B20:E20"/>
    <mergeCell ref="B21:E21"/>
    <mergeCell ref="B22:E22"/>
    <mergeCell ref="B23:E23"/>
    <mergeCell ref="B24:E24"/>
    <mergeCell ref="B25:E25"/>
    <mergeCell ref="A26:E26"/>
    <mergeCell ref="B27:E27"/>
    <mergeCell ref="B28:E28"/>
    <mergeCell ref="B29:E29"/>
    <mergeCell ref="B30:E30"/>
    <mergeCell ref="B31:E31"/>
    <mergeCell ref="B32:E32"/>
    <mergeCell ref="A33:E33"/>
    <mergeCell ref="B34:E34"/>
    <mergeCell ref="B35:E35"/>
    <mergeCell ref="B36:E36"/>
    <mergeCell ref="B37:E37"/>
    <mergeCell ref="A38:E38"/>
    <mergeCell ref="B39:E39"/>
    <mergeCell ref="B40:E40"/>
    <mergeCell ref="B41:E41"/>
    <mergeCell ref="A42:E42"/>
    <mergeCell ref="B43:E43"/>
    <mergeCell ref="B44:E44"/>
    <mergeCell ref="A45:E45"/>
    <mergeCell ref="B46:E46"/>
    <mergeCell ref="B47:E47"/>
    <mergeCell ref="B48:E48"/>
    <mergeCell ref="B49:E49"/>
    <mergeCell ref="A50:E50"/>
    <mergeCell ref="C51:E51"/>
    <mergeCell ref="C52:E52"/>
    <mergeCell ref="C53:E53"/>
    <mergeCell ref="B54:E54"/>
    <mergeCell ref="A55:E55"/>
    <mergeCell ref="B56:E56"/>
    <mergeCell ref="B57:E57"/>
    <mergeCell ref="A58:E58"/>
    <mergeCell ref="A59:E59"/>
    <mergeCell ref="A60:E60"/>
    <mergeCell ref="A61:E61"/>
    <mergeCell ref="A62:E62"/>
    <mergeCell ref="A8:A12"/>
    <mergeCell ref="A17:A24"/>
    <mergeCell ref="A27:A31"/>
    <mergeCell ref="A34:A36"/>
    <mergeCell ref="A46:A48"/>
    <mergeCell ref="A51:A53"/>
    <mergeCell ref="A13:E14"/>
  </mergeCells>
  <pageMargins left="0.7" right="0.7" top="0.75" bottom="0.75" header="0.3" footer="0.3"/>
  <pageSetup paperSize="9" orientation="portrait"/>
  <headerFooter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50"/>
  <sheetViews>
    <sheetView topLeftCell="A19" workbookViewId="0">
      <selection activeCell="A38" sqref="$A38:$XFD38"/>
    </sheetView>
  </sheetViews>
  <sheetFormatPr defaultColWidth="9" defaultRowHeight="15.75" outlineLevelCol="4"/>
  <cols>
    <col min="1" max="1" width="11" style="59" customWidth="1"/>
    <col min="2" max="2" width="7.08333333333333" style="59" customWidth="1"/>
    <col min="3" max="3" width="13.5833333333333" style="59" customWidth="1"/>
    <col min="4" max="4" width="28.8333333333333" style="59" customWidth="1"/>
    <col min="5" max="5" width="28.0833333333333" style="59" customWidth="1"/>
    <col min="6" max="16384" width="9" style="59"/>
  </cols>
  <sheetData>
    <row r="1" s="55" customFormat="1" ht="15" customHeight="1" spans="5:5">
      <c r="E1" s="62"/>
    </row>
    <row r="2" s="55" customFormat="1" ht="15" customHeight="1" spans="1:5">
      <c r="A2" s="62" t="s">
        <v>90</v>
      </c>
      <c r="E2" s="63" t="s">
        <v>91</v>
      </c>
    </row>
    <row r="3" s="56" customFormat="1" ht="24" customHeight="1" spans="1:5">
      <c r="A3" s="64" t="s">
        <v>92</v>
      </c>
      <c r="B3" s="65"/>
      <c r="C3" s="65"/>
      <c r="D3" s="66"/>
      <c r="E3" s="67" t="s">
        <v>110</v>
      </c>
    </row>
    <row r="4" s="57" customFormat="1" ht="24" customHeight="1" spans="1:5">
      <c r="A4" s="68" t="s">
        <v>111</v>
      </c>
      <c r="B4" s="69"/>
      <c r="C4" s="69"/>
      <c r="D4" s="70"/>
      <c r="E4" s="71" t="s">
        <v>112</v>
      </c>
    </row>
    <row r="5" s="58" customFormat="1" ht="22" customHeight="1" spans="1:5">
      <c r="A5" s="72" t="s">
        <v>273</v>
      </c>
      <c r="B5" s="73"/>
      <c r="C5" s="74"/>
      <c r="D5" s="75" t="s">
        <v>114</v>
      </c>
      <c r="E5" s="76" t="s">
        <v>115</v>
      </c>
    </row>
    <row r="6" s="58" customFormat="1" ht="22" customHeight="1" spans="1:5">
      <c r="A6" s="77" t="s">
        <v>116</v>
      </c>
      <c r="B6" s="78"/>
      <c r="C6" s="79"/>
      <c r="D6" s="80" t="s">
        <v>274</v>
      </c>
      <c r="E6" s="81" t="s">
        <v>118</v>
      </c>
    </row>
    <row r="7" s="58" customFormat="1" ht="22" customHeight="1" spans="1:5">
      <c r="A7" s="77" t="s">
        <v>192</v>
      </c>
      <c r="B7" s="78"/>
      <c r="C7" s="79"/>
      <c r="D7" s="82" t="s">
        <v>193</v>
      </c>
      <c r="E7" s="83" t="s">
        <v>121</v>
      </c>
    </row>
    <row r="8" s="58" customFormat="1" ht="23" customHeight="1" spans="1:5">
      <c r="A8" s="84" t="s">
        <v>122</v>
      </c>
      <c r="B8" s="85" t="s">
        <v>194</v>
      </c>
      <c r="C8" s="85"/>
      <c r="D8" s="85"/>
      <c r="E8" s="86"/>
    </row>
    <row r="9" s="58" customFormat="1" ht="24.5" customHeight="1" spans="1:5">
      <c r="A9" s="84"/>
      <c r="B9" s="85" t="s">
        <v>275</v>
      </c>
      <c r="C9" s="85"/>
      <c r="D9" s="85"/>
      <c r="E9" s="86"/>
    </row>
    <row r="10" s="58" customFormat="1" ht="24" customHeight="1" spans="1:5">
      <c r="A10" s="84"/>
      <c r="B10" s="85" t="s">
        <v>196</v>
      </c>
      <c r="C10" s="85"/>
      <c r="D10" s="85"/>
      <c r="E10" s="86"/>
    </row>
    <row r="11" s="58" customFormat="1" ht="28" customHeight="1" spans="1:5">
      <c r="A11" s="84"/>
      <c r="B11" s="85" t="s">
        <v>276</v>
      </c>
      <c r="C11" s="85"/>
      <c r="D11" s="85"/>
      <c r="E11" s="86"/>
    </row>
    <row r="12" s="58" customFormat="1" ht="28.5" customHeight="1" spans="1:5">
      <c r="A12" s="84"/>
      <c r="B12" s="85" t="s">
        <v>198</v>
      </c>
      <c r="C12" s="85"/>
      <c r="D12" s="85"/>
      <c r="E12" s="86"/>
    </row>
    <row r="13" s="58" customFormat="1" ht="19.9" customHeight="1" spans="1:5">
      <c r="A13" s="87" t="s">
        <v>277</v>
      </c>
      <c r="B13" s="88"/>
      <c r="C13" s="88"/>
      <c r="D13" s="88"/>
      <c r="E13" s="89"/>
    </row>
    <row r="14" s="58" customFormat="1" ht="21" customHeight="1" spans="1:5">
      <c r="A14" s="87"/>
      <c r="B14" s="88"/>
      <c r="C14" s="88"/>
      <c r="D14" s="88"/>
      <c r="E14" s="89"/>
    </row>
    <row r="15" s="59" customFormat="1" ht="19.9" customHeight="1" spans="1:5">
      <c r="A15" s="90" t="s">
        <v>129</v>
      </c>
      <c r="B15" s="91"/>
      <c r="C15" s="91"/>
      <c r="D15" s="91"/>
      <c r="E15" s="92"/>
    </row>
    <row r="16" s="58" customFormat="1" ht="19.9" customHeight="1" spans="1:5">
      <c r="A16" s="90" t="s">
        <v>278</v>
      </c>
      <c r="B16" s="91"/>
      <c r="C16" s="91"/>
      <c r="D16" s="91"/>
      <c r="E16" s="92"/>
    </row>
    <row r="17" s="58" customFormat="1" ht="22" customHeight="1" spans="1:5">
      <c r="A17" s="84" t="s">
        <v>131</v>
      </c>
      <c r="B17" s="93" t="s">
        <v>279</v>
      </c>
      <c r="C17" s="93"/>
      <c r="D17" s="93"/>
      <c r="E17" s="94"/>
    </row>
    <row r="18" s="58" customFormat="1" ht="22" customHeight="1" spans="1:5">
      <c r="A18" s="84"/>
      <c r="B18" s="95" t="s">
        <v>280</v>
      </c>
      <c r="C18" s="96"/>
      <c r="D18" s="96"/>
      <c r="E18" s="97"/>
    </row>
    <row r="19" s="58" customFormat="1" ht="22" customHeight="1" spans="1:5">
      <c r="A19" s="84"/>
      <c r="B19" s="98" t="s">
        <v>281</v>
      </c>
      <c r="C19" s="78"/>
      <c r="D19" s="78"/>
      <c r="E19" s="99"/>
    </row>
    <row r="20" s="58" customFormat="1" ht="22" customHeight="1" spans="1:5">
      <c r="A20" s="84"/>
      <c r="B20" s="91" t="s">
        <v>282</v>
      </c>
      <c r="C20" s="91"/>
      <c r="D20" s="91"/>
      <c r="E20" s="92"/>
    </row>
    <row r="21" s="58" customFormat="1" ht="22" customHeight="1" spans="1:5">
      <c r="A21" s="84" t="s">
        <v>135</v>
      </c>
      <c r="B21" s="91" t="s">
        <v>283</v>
      </c>
      <c r="C21" s="91"/>
      <c r="D21" s="91"/>
      <c r="E21" s="92"/>
    </row>
    <row r="22" s="58" customFormat="1" ht="19.9" customHeight="1" spans="1:5">
      <c r="A22" s="90" t="s">
        <v>284</v>
      </c>
      <c r="B22" s="91"/>
      <c r="C22" s="91"/>
      <c r="D22" s="91"/>
      <c r="E22" s="92"/>
    </row>
    <row r="23" s="60" customFormat="1" ht="22" customHeight="1" spans="1:5">
      <c r="A23" s="100" t="s">
        <v>138</v>
      </c>
      <c r="B23" s="91" t="s">
        <v>285</v>
      </c>
      <c r="C23" s="91"/>
      <c r="D23" s="91"/>
      <c r="E23" s="92"/>
    </row>
    <row r="24" s="60" customFormat="1" ht="22" customHeight="1" spans="1:5">
      <c r="A24" s="101"/>
      <c r="B24" s="91" t="s">
        <v>286</v>
      </c>
      <c r="C24" s="91"/>
      <c r="D24" s="91"/>
      <c r="E24" s="92"/>
    </row>
    <row r="25" s="60" customFormat="1" ht="22" customHeight="1" spans="1:5">
      <c r="A25" s="101"/>
      <c r="B25" s="91" t="s">
        <v>287</v>
      </c>
      <c r="C25" s="91"/>
      <c r="D25" s="91"/>
      <c r="E25" s="92"/>
    </row>
    <row r="26" s="60" customFormat="1" ht="22" customHeight="1" spans="1:5">
      <c r="A26" s="102"/>
      <c r="B26" s="95"/>
      <c r="C26" s="96"/>
      <c r="D26" s="96"/>
      <c r="E26" s="97"/>
    </row>
    <row r="27" s="60" customFormat="1" ht="22" customHeight="1" spans="1:5">
      <c r="A27" s="103" t="s">
        <v>143</v>
      </c>
      <c r="B27" s="93" t="s">
        <v>288</v>
      </c>
      <c r="C27" s="93"/>
      <c r="D27" s="93"/>
      <c r="E27" s="94"/>
    </row>
    <row r="28" s="58" customFormat="1" ht="19.9" customHeight="1" spans="1:5">
      <c r="A28" s="90" t="s">
        <v>289</v>
      </c>
      <c r="B28" s="91"/>
      <c r="C28" s="91"/>
      <c r="D28" s="91"/>
      <c r="E28" s="92"/>
    </row>
    <row r="29" s="60" customFormat="1" ht="22" customHeight="1" spans="1:5">
      <c r="A29" s="100" t="s">
        <v>138</v>
      </c>
      <c r="B29" s="93" t="s">
        <v>290</v>
      </c>
      <c r="C29" s="93"/>
      <c r="D29" s="93"/>
      <c r="E29" s="94"/>
    </row>
    <row r="30" s="60" customFormat="1" ht="22" customHeight="1" spans="1:5">
      <c r="A30" s="101"/>
      <c r="B30" s="95" t="s">
        <v>291</v>
      </c>
      <c r="C30" s="96"/>
      <c r="D30" s="96"/>
      <c r="E30" s="97"/>
    </row>
    <row r="31" s="60" customFormat="1" ht="22" customHeight="1" spans="1:5">
      <c r="A31" s="102"/>
      <c r="B31" s="95"/>
      <c r="C31" s="96"/>
      <c r="D31" s="96"/>
      <c r="E31" s="97"/>
    </row>
    <row r="32" s="60" customFormat="1" ht="28.5" customHeight="1" spans="1:5">
      <c r="A32" s="103" t="s">
        <v>143</v>
      </c>
      <c r="B32" s="95" t="s">
        <v>292</v>
      </c>
      <c r="C32" s="96"/>
      <c r="D32" s="96"/>
      <c r="E32" s="97"/>
    </row>
    <row r="33" s="58" customFormat="1" ht="19.9" customHeight="1" spans="1:5">
      <c r="A33" s="77" t="s">
        <v>293</v>
      </c>
      <c r="B33" s="78"/>
      <c r="C33" s="78"/>
      <c r="D33" s="78"/>
      <c r="E33" s="99"/>
    </row>
    <row r="34" s="60" customFormat="1" ht="22" customHeight="1" spans="1:5">
      <c r="A34" s="100" t="s">
        <v>138</v>
      </c>
      <c r="B34" s="93" t="s">
        <v>294</v>
      </c>
      <c r="C34" s="93"/>
      <c r="D34" s="93"/>
      <c r="E34" s="94"/>
    </row>
    <row r="35" s="60" customFormat="1" ht="22" customHeight="1" spans="1:5">
      <c r="A35" s="101"/>
      <c r="B35" s="95" t="s">
        <v>295</v>
      </c>
      <c r="C35" s="96"/>
      <c r="D35" s="96"/>
      <c r="E35" s="97"/>
    </row>
    <row r="36" s="60" customFormat="1" ht="22" customHeight="1" spans="1:5">
      <c r="A36" s="102"/>
      <c r="B36" s="95" t="s">
        <v>296</v>
      </c>
      <c r="C36" s="96"/>
      <c r="D36" s="96"/>
      <c r="E36" s="97"/>
    </row>
    <row r="37" s="60" customFormat="1" ht="22" customHeight="1" spans="1:5">
      <c r="A37" s="103" t="s">
        <v>143</v>
      </c>
      <c r="B37" s="93" t="s">
        <v>297</v>
      </c>
      <c r="C37" s="93"/>
      <c r="D37" s="93"/>
      <c r="E37" s="94"/>
    </row>
    <row r="38" s="59" customFormat="1" ht="19.9" customHeight="1" spans="1:5">
      <c r="A38" s="90" t="s">
        <v>172</v>
      </c>
      <c r="B38" s="91"/>
      <c r="C38" s="91"/>
      <c r="D38" s="91"/>
      <c r="E38" s="92"/>
    </row>
    <row r="39" s="58" customFormat="1" ht="19.5" customHeight="1" spans="1:5">
      <c r="A39" s="84" t="s">
        <v>173</v>
      </c>
      <c r="B39" s="104" t="s">
        <v>174</v>
      </c>
      <c r="C39" s="98" t="s">
        <v>298</v>
      </c>
      <c r="D39" s="78"/>
      <c r="E39" s="99"/>
    </row>
    <row r="40" s="58" customFormat="1" ht="19.5" customHeight="1" spans="1:5">
      <c r="A40" s="84"/>
      <c r="B40" s="105" t="s">
        <v>176</v>
      </c>
      <c r="C40" s="98" t="s">
        <v>299</v>
      </c>
      <c r="D40" s="78"/>
      <c r="E40" s="99"/>
    </row>
    <row r="41" s="58" customFormat="1" ht="19.5" customHeight="1" spans="1:5">
      <c r="A41" s="84"/>
      <c r="B41" s="106" t="s">
        <v>178</v>
      </c>
      <c r="C41" s="98" t="s">
        <v>31</v>
      </c>
      <c r="D41" s="78"/>
      <c r="E41" s="99"/>
    </row>
    <row r="42" s="58" customFormat="1" ht="25" customHeight="1" spans="1:5">
      <c r="A42" s="84" t="s">
        <v>180</v>
      </c>
      <c r="B42" s="91"/>
      <c r="C42" s="91"/>
      <c r="D42" s="91"/>
      <c r="E42" s="92"/>
    </row>
    <row r="43" s="61" customFormat="1" ht="19.9" customHeight="1" spans="1:5">
      <c r="A43" s="90" t="s">
        <v>182</v>
      </c>
      <c r="B43" s="91"/>
      <c r="C43" s="91"/>
      <c r="D43" s="91"/>
      <c r="E43" s="92"/>
    </row>
    <row r="44" s="58" customFormat="1" ht="19.9" customHeight="1" spans="1:5">
      <c r="A44" s="107" t="s">
        <v>183</v>
      </c>
      <c r="B44" s="108" t="s">
        <v>184</v>
      </c>
      <c r="C44" s="108"/>
      <c r="D44" s="108"/>
      <c r="E44" s="109"/>
    </row>
    <row r="45" s="58" customFormat="1" ht="19.9" customHeight="1" spans="1:5">
      <c r="A45" s="107" t="s">
        <v>185</v>
      </c>
      <c r="B45" s="108" t="s">
        <v>186</v>
      </c>
      <c r="C45" s="108"/>
      <c r="D45" s="108"/>
      <c r="E45" s="109"/>
    </row>
    <row r="46" s="61" customFormat="1" ht="19.9" customHeight="1" spans="1:5">
      <c r="A46" s="90" t="s">
        <v>187</v>
      </c>
      <c r="B46" s="91"/>
      <c r="C46" s="91"/>
      <c r="D46" s="91"/>
      <c r="E46" s="92"/>
    </row>
    <row r="47" s="61" customFormat="1" ht="19.9" customHeight="1" spans="1:5">
      <c r="A47" s="110" t="s">
        <v>300</v>
      </c>
      <c r="B47" s="111"/>
      <c r="C47" s="111"/>
      <c r="D47" s="111"/>
      <c r="E47" s="112"/>
    </row>
    <row r="48" s="58" customFormat="1" ht="19.9" customHeight="1" spans="1:5">
      <c r="A48" s="113"/>
      <c r="B48" s="114"/>
      <c r="C48" s="114"/>
      <c r="D48" s="114"/>
      <c r="E48" s="115"/>
    </row>
    <row r="49" s="58" customFormat="1" ht="19.9" customHeight="1" spans="1:5">
      <c r="A49" s="116" t="s">
        <v>189</v>
      </c>
      <c r="B49" s="108"/>
      <c r="C49" s="108"/>
      <c r="D49" s="108"/>
      <c r="E49" s="109"/>
    </row>
    <row r="50" s="59" customFormat="1" ht="49" customHeight="1" spans="1:5">
      <c r="A50" s="117"/>
      <c r="B50" s="118"/>
      <c r="C50" s="118"/>
      <c r="D50" s="118"/>
      <c r="E50" s="119"/>
    </row>
  </sheetData>
  <mergeCells count="53">
    <mergeCell ref="A3:D3"/>
    <mergeCell ref="A4:D4"/>
    <mergeCell ref="A5:C5"/>
    <mergeCell ref="A6:C6"/>
    <mergeCell ref="A7:C7"/>
    <mergeCell ref="B8:E8"/>
    <mergeCell ref="B9:E9"/>
    <mergeCell ref="B10:E10"/>
    <mergeCell ref="B11:E11"/>
    <mergeCell ref="B12:E12"/>
    <mergeCell ref="A15:E15"/>
    <mergeCell ref="A16:E16"/>
    <mergeCell ref="B17:E17"/>
    <mergeCell ref="B18:E18"/>
    <mergeCell ref="B19:E19"/>
    <mergeCell ref="B20:E20"/>
    <mergeCell ref="B21:E21"/>
    <mergeCell ref="A22:E22"/>
    <mergeCell ref="B23:E23"/>
    <mergeCell ref="B24:E24"/>
    <mergeCell ref="B25:E25"/>
    <mergeCell ref="B26:E26"/>
    <mergeCell ref="B27:E27"/>
    <mergeCell ref="A28:E28"/>
    <mergeCell ref="B29:E29"/>
    <mergeCell ref="B30:E30"/>
    <mergeCell ref="B31:E31"/>
    <mergeCell ref="B32:E32"/>
    <mergeCell ref="A33:E33"/>
    <mergeCell ref="B34:E34"/>
    <mergeCell ref="B35:E35"/>
    <mergeCell ref="B36:E36"/>
    <mergeCell ref="B37:E37"/>
    <mergeCell ref="A38:E38"/>
    <mergeCell ref="C39:E39"/>
    <mergeCell ref="C40:E40"/>
    <mergeCell ref="C41:E41"/>
    <mergeCell ref="B42:E42"/>
    <mergeCell ref="A43:E43"/>
    <mergeCell ref="B44:E44"/>
    <mergeCell ref="B45:E45"/>
    <mergeCell ref="A46:E46"/>
    <mergeCell ref="A47:E47"/>
    <mergeCell ref="A48:E48"/>
    <mergeCell ref="A49:E49"/>
    <mergeCell ref="A50:E50"/>
    <mergeCell ref="A8:A12"/>
    <mergeCell ref="A17:A20"/>
    <mergeCell ref="A23:A26"/>
    <mergeCell ref="A29:A31"/>
    <mergeCell ref="A34:A36"/>
    <mergeCell ref="A39:A41"/>
    <mergeCell ref="A13:E14"/>
  </mergeCells>
  <pageMargins left="0.7" right="0.7" top="0.75" bottom="0.75" header="0.3" footer="0.3"/>
  <pageSetup paperSize="9" orientation="portrait"/>
  <headerFooter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1:AA67"/>
  <sheetViews>
    <sheetView zoomScale="71" zoomScaleNormal="71" workbookViewId="0">
      <selection activeCell="Q31" sqref="Q31"/>
    </sheetView>
  </sheetViews>
  <sheetFormatPr defaultColWidth="8.25" defaultRowHeight="14.25"/>
  <cols>
    <col min="1" max="1" width="1.50833333333333" style="35" customWidth="1"/>
    <col min="2" max="2" width="22.8083333333333" style="24" customWidth="1"/>
    <col min="3" max="3" width="32.1583333333333" style="24" customWidth="1"/>
    <col min="4" max="5" width="19.6666666666667" style="24" customWidth="1"/>
    <col min="6" max="6" width="6.66666666666667" style="24" customWidth="1"/>
    <col min="7" max="7" width="10.3333333333333" style="24" customWidth="1"/>
    <col min="8" max="8" width="39.0833333333333" style="36" customWidth="1"/>
    <col min="9" max="9" width="7.90833333333333" style="24" customWidth="1"/>
    <col min="10" max="11" width="9.16666666666667" style="24" customWidth="1"/>
    <col min="12" max="13" width="8.25" style="35"/>
    <col min="14" max="14" width="13.6166666666667" style="37" customWidth="1"/>
    <col min="15" max="15" width="8.40833333333333" style="37" customWidth="1"/>
    <col min="16" max="16" width="1.95" style="37" customWidth="1"/>
    <col min="17" max="17" width="7.85833333333333" style="37" customWidth="1"/>
    <col min="18" max="18" width="1.90833333333333" style="37" customWidth="1"/>
    <col min="19" max="19" width="1.25833333333333" style="37" customWidth="1"/>
    <col min="20" max="20" width="1.45833333333333" style="37" customWidth="1"/>
    <col min="21" max="21" width="1.8" style="37" customWidth="1"/>
    <col min="22" max="22" width="3.13333333333333" style="37" customWidth="1"/>
    <col min="23" max="23" width="1.38333333333333" style="37" customWidth="1"/>
    <col min="24" max="24" width="3.96666666666667" style="37" customWidth="1"/>
    <col min="25" max="25" width="2.00833333333333" style="37" customWidth="1"/>
    <col min="26" max="26" width="11.25" style="37" customWidth="1"/>
    <col min="27" max="27" width="33.6916666666667" style="37" customWidth="1"/>
    <col min="28" max="16384" width="8.25" style="35"/>
  </cols>
  <sheetData>
    <row r="1" s="33" customFormat="1" ht="18" customHeight="1" spans="2:24">
      <c r="B1" s="38"/>
      <c r="C1" s="38"/>
      <c r="D1" s="38"/>
      <c r="E1" s="38"/>
      <c r="F1" s="38"/>
      <c r="G1" s="38"/>
      <c r="H1" s="39" t="s">
        <v>82</v>
      </c>
      <c r="J1" s="35"/>
      <c r="K1" s="37"/>
      <c r="L1" s="37"/>
      <c r="M1" s="37"/>
      <c r="N1" s="37"/>
      <c r="O1" s="37"/>
      <c r="P1" s="37"/>
      <c r="Q1" s="37"/>
      <c r="R1" s="37"/>
      <c r="S1" s="37"/>
      <c r="T1" s="37"/>
      <c r="U1" s="37"/>
      <c r="V1" s="37"/>
      <c r="W1" s="37"/>
      <c r="X1" s="37"/>
    </row>
    <row r="2" s="33" customFormat="1" ht="18" customHeight="1" spans="2:24">
      <c r="B2" s="38"/>
      <c r="C2" s="38"/>
      <c r="D2" s="38"/>
      <c r="E2" s="38"/>
      <c r="F2" s="38"/>
      <c r="G2" s="38"/>
      <c r="H2" s="39" t="s">
        <v>301</v>
      </c>
      <c r="J2" s="35"/>
      <c r="K2" s="37"/>
      <c r="L2" s="37"/>
      <c r="M2" s="37"/>
      <c r="N2" s="37"/>
      <c r="O2" s="37"/>
      <c r="P2" s="37"/>
      <c r="Q2" s="37"/>
      <c r="R2" s="37"/>
      <c r="S2" s="37"/>
      <c r="T2" s="37"/>
      <c r="U2" s="37"/>
      <c r="V2" s="37"/>
      <c r="W2" s="37"/>
      <c r="X2" s="37"/>
    </row>
    <row r="3" s="33" customFormat="1" ht="23.25" customHeight="1" spans="2:24">
      <c r="B3" s="40"/>
      <c r="C3" s="41"/>
      <c r="D3" s="41"/>
      <c r="E3" s="41"/>
      <c r="F3" s="41"/>
      <c r="G3" s="41"/>
      <c r="H3" s="38"/>
      <c r="J3" s="35"/>
      <c r="K3" s="37"/>
      <c r="L3" s="37"/>
      <c r="M3" s="37"/>
      <c r="N3" s="37"/>
      <c r="O3" s="37"/>
      <c r="P3" s="37"/>
      <c r="Q3" s="37"/>
      <c r="R3" s="37"/>
      <c r="S3" s="37"/>
      <c r="T3" s="37"/>
      <c r="U3" s="37"/>
      <c r="V3" s="37"/>
      <c r="W3" s="37"/>
      <c r="X3" s="37"/>
    </row>
    <row r="4" ht="31" customHeight="1" spans="2:27">
      <c r="B4" s="42" t="s">
        <v>302</v>
      </c>
      <c r="C4" s="42"/>
      <c r="D4" s="42"/>
      <c r="E4" s="42"/>
      <c r="F4" s="42"/>
      <c r="G4" s="42"/>
      <c r="H4" s="42"/>
      <c r="I4" s="35"/>
      <c r="J4" s="35"/>
      <c r="K4" s="37"/>
      <c r="L4" s="37"/>
      <c r="M4" s="37"/>
      <c r="Y4" s="35"/>
      <c r="Z4" s="35"/>
      <c r="AA4" s="35"/>
    </row>
    <row r="5" s="34" customFormat="1" ht="37" customHeight="1" spans="2:8">
      <c r="B5" s="43" t="s">
        <v>303</v>
      </c>
      <c r="C5" s="43"/>
      <c r="D5" s="43"/>
      <c r="E5" s="43"/>
      <c r="F5" s="43"/>
      <c r="G5" s="43"/>
      <c r="H5" s="43"/>
    </row>
    <row r="6" ht="37" customHeight="1" spans="2:27">
      <c r="B6" s="44" t="s">
        <v>304</v>
      </c>
      <c r="C6" s="44" t="str">
        <f>_xlfn.DISPIMG("ID_748810A729AD4F9CB534B572E01F4FD3",1)</f>
        <v>=DISPIMG("ID_748810A729AD4F9CB534B572E01F4FD3",1)</v>
      </c>
      <c r="D6" s="44"/>
      <c r="E6" s="44"/>
      <c r="F6" s="44"/>
      <c r="G6" s="44"/>
      <c r="H6" s="45" t="s">
        <v>305</v>
      </c>
      <c r="I6" s="35"/>
      <c r="J6" s="35"/>
      <c r="K6" s="35"/>
      <c r="N6" s="35"/>
      <c r="O6" s="35"/>
      <c r="P6" s="35"/>
      <c r="Q6" s="35"/>
      <c r="R6" s="35"/>
      <c r="S6" s="35"/>
      <c r="T6" s="35"/>
      <c r="U6" s="35"/>
      <c r="V6" s="35"/>
      <c r="W6" s="35"/>
      <c r="X6" s="35"/>
      <c r="Y6" s="35"/>
      <c r="Z6" s="35"/>
      <c r="AA6" s="35"/>
    </row>
    <row r="7" ht="37" customHeight="1" spans="2:27">
      <c r="B7" s="46" t="s">
        <v>306</v>
      </c>
      <c r="C7" s="44"/>
      <c r="D7" s="44"/>
      <c r="E7" s="44"/>
      <c r="F7" s="44"/>
      <c r="G7" s="44"/>
      <c r="H7" s="47" t="s">
        <v>307</v>
      </c>
      <c r="I7" s="35"/>
      <c r="J7" s="35"/>
      <c r="K7" s="35"/>
      <c r="N7" s="35"/>
      <c r="O7" s="35"/>
      <c r="P7" s="35"/>
      <c r="Q7" s="35"/>
      <c r="R7" s="35"/>
      <c r="S7" s="35"/>
      <c r="T7" s="35"/>
      <c r="U7" s="35"/>
      <c r="V7" s="35"/>
      <c r="W7" s="35"/>
      <c r="X7" s="35"/>
      <c r="Y7" s="35"/>
      <c r="Z7" s="35"/>
      <c r="AA7" s="35"/>
    </row>
    <row r="8" ht="37" customHeight="1" spans="2:27">
      <c r="B8" s="44"/>
      <c r="C8" s="44"/>
      <c r="D8" s="44"/>
      <c r="E8" s="44"/>
      <c r="F8" s="44"/>
      <c r="G8" s="44"/>
      <c r="H8" s="48"/>
      <c r="I8" s="35"/>
      <c r="J8" s="35"/>
      <c r="K8" s="35"/>
      <c r="N8" s="35"/>
      <c r="O8" s="35"/>
      <c r="P8" s="35"/>
      <c r="Q8" s="35"/>
      <c r="R8" s="35"/>
      <c r="S8" s="35"/>
      <c r="T8" s="35"/>
      <c r="U8" s="35"/>
      <c r="V8" s="35"/>
      <c r="W8" s="35"/>
      <c r="X8" s="35"/>
      <c r="Y8" s="35"/>
      <c r="Z8" s="35"/>
      <c r="AA8" s="35"/>
    </row>
    <row r="9" ht="37" customHeight="1" spans="2:27">
      <c r="B9" s="45" t="s">
        <v>308</v>
      </c>
      <c r="C9" s="44"/>
      <c r="D9" s="44"/>
      <c r="E9" s="44"/>
      <c r="F9" s="44"/>
      <c r="G9" s="44"/>
      <c r="H9" s="45" t="s">
        <v>309</v>
      </c>
      <c r="I9" s="35"/>
      <c r="J9" s="35"/>
      <c r="K9" s="35"/>
      <c r="N9" s="35"/>
      <c r="O9" s="35"/>
      <c r="P9" s="35"/>
      <c r="Q9" s="35"/>
      <c r="R9" s="35"/>
      <c r="S9" s="35"/>
      <c r="T9" s="35"/>
      <c r="U9" s="35"/>
      <c r="V9" s="35"/>
      <c r="W9" s="35"/>
      <c r="X9" s="35"/>
      <c r="Y9" s="35"/>
      <c r="Z9" s="35"/>
      <c r="AA9" s="35"/>
    </row>
    <row r="10" ht="37" customHeight="1" spans="2:27">
      <c r="B10" s="48"/>
      <c r="C10" s="44"/>
      <c r="D10" s="44"/>
      <c r="E10" s="44"/>
      <c r="F10" s="44"/>
      <c r="G10" s="44"/>
      <c r="H10" s="48"/>
      <c r="I10" s="35"/>
      <c r="J10" s="35"/>
      <c r="K10" s="35"/>
      <c r="N10" s="35"/>
      <c r="O10" s="35"/>
      <c r="P10" s="35"/>
      <c r="Q10" s="35"/>
      <c r="R10" s="35"/>
      <c r="S10" s="35"/>
      <c r="T10" s="35"/>
      <c r="U10" s="35"/>
      <c r="V10" s="35"/>
      <c r="W10" s="35"/>
      <c r="X10" s="35"/>
      <c r="Y10" s="35"/>
      <c r="Z10" s="35"/>
      <c r="AA10" s="35"/>
    </row>
    <row r="11" ht="37" customHeight="1" spans="2:27">
      <c r="B11" s="45" t="s">
        <v>308</v>
      </c>
      <c r="C11" s="44"/>
      <c r="D11" s="44"/>
      <c r="E11" s="44"/>
      <c r="F11" s="44"/>
      <c r="G11" s="44"/>
      <c r="H11" s="45" t="s">
        <v>310</v>
      </c>
      <c r="I11" s="35"/>
      <c r="J11" s="35"/>
      <c r="K11" s="35"/>
      <c r="N11" s="35"/>
      <c r="O11" s="35"/>
      <c r="P11" s="35"/>
      <c r="Q11" s="35"/>
      <c r="R11" s="35"/>
      <c r="S11" s="35"/>
      <c r="T11" s="35"/>
      <c r="U11" s="35"/>
      <c r="V11" s="35"/>
      <c r="W11" s="35"/>
      <c r="X11" s="35"/>
      <c r="Y11" s="35"/>
      <c r="Z11" s="35"/>
      <c r="AA11" s="35"/>
    </row>
    <row r="12" ht="37" customHeight="1" spans="2:27">
      <c r="B12" s="48"/>
      <c r="C12" s="44"/>
      <c r="D12" s="44"/>
      <c r="E12" s="44"/>
      <c r="F12" s="44"/>
      <c r="G12" s="44"/>
      <c r="H12" s="48"/>
      <c r="I12" s="35"/>
      <c r="J12" s="35"/>
      <c r="K12" s="35"/>
      <c r="N12" s="35"/>
      <c r="O12" s="35"/>
      <c r="P12" s="35"/>
      <c r="Q12" s="35"/>
      <c r="R12" s="35"/>
      <c r="S12" s="35"/>
      <c r="T12" s="35"/>
      <c r="U12" s="35"/>
      <c r="V12" s="35"/>
      <c r="W12" s="35"/>
      <c r="X12" s="35"/>
      <c r="Y12" s="35"/>
      <c r="Z12" s="35"/>
      <c r="AA12" s="35"/>
    </row>
    <row r="13" ht="37" customHeight="1" spans="2:27">
      <c r="B13" s="45" t="s">
        <v>311</v>
      </c>
      <c r="C13" s="44"/>
      <c r="D13" s="44"/>
      <c r="E13" s="44"/>
      <c r="F13" s="44"/>
      <c r="G13" s="44"/>
      <c r="H13" s="45" t="s">
        <v>312</v>
      </c>
      <c r="I13" s="35"/>
      <c r="J13" s="35"/>
      <c r="K13" s="35"/>
      <c r="N13" s="35"/>
      <c r="O13" s="35"/>
      <c r="P13" s="35"/>
      <c r="Q13" s="35"/>
      <c r="R13" s="35"/>
      <c r="S13" s="35"/>
      <c r="T13" s="35"/>
      <c r="U13" s="35"/>
      <c r="V13" s="35"/>
      <c r="W13" s="35"/>
      <c r="X13" s="35"/>
      <c r="Y13" s="35"/>
      <c r="Z13" s="35"/>
      <c r="AA13" s="35"/>
    </row>
    <row r="14" ht="37" customHeight="1" spans="2:27">
      <c r="B14" s="49" t="s">
        <v>313</v>
      </c>
      <c r="C14" s="44"/>
      <c r="D14" s="44"/>
      <c r="E14" s="44"/>
      <c r="F14" s="44"/>
      <c r="G14" s="44"/>
      <c r="H14" s="50" t="s">
        <v>314</v>
      </c>
      <c r="I14" s="35"/>
      <c r="J14" s="35"/>
      <c r="K14" s="35"/>
      <c r="N14" s="35"/>
      <c r="O14" s="35"/>
      <c r="P14" s="35"/>
      <c r="Q14" s="35"/>
      <c r="R14" s="35"/>
      <c r="S14" s="35"/>
      <c r="T14" s="35"/>
      <c r="U14" s="35"/>
      <c r="V14" s="35"/>
      <c r="W14" s="35"/>
      <c r="X14" s="35"/>
      <c r="Y14" s="35"/>
      <c r="Z14" s="35"/>
      <c r="AA14" s="35"/>
    </row>
    <row r="15" ht="37" customHeight="1" spans="2:27">
      <c r="B15" s="48"/>
      <c r="C15" s="44"/>
      <c r="D15" s="44"/>
      <c r="E15" s="44"/>
      <c r="F15" s="44"/>
      <c r="G15" s="44"/>
      <c r="H15" s="48"/>
      <c r="I15" s="35"/>
      <c r="J15" s="35"/>
      <c r="K15" s="35"/>
      <c r="N15" s="35"/>
      <c r="O15" s="35"/>
      <c r="P15" s="35"/>
      <c r="Q15" s="35"/>
      <c r="R15" s="35"/>
      <c r="S15" s="35"/>
      <c r="T15" s="35"/>
      <c r="U15" s="35"/>
      <c r="V15" s="35"/>
      <c r="W15" s="35"/>
      <c r="X15" s="35"/>
      <c r="Y15" s="35"/>
      <c r="Z15" s="35"/>
      <c r="AA15" s="35"/>
    </row>
    <row r="16" ht="37" customHeight="1" spans="2:27">
      <c r="B16" s="48"/>
      <c r="C16" s="44"/>
      <c r="D16" s="44"/>
      <c r="E16" s="44"/>
      <c r="F16" s="44"/>
      <c r="G16" s="44"/>
      <c r="H16" s="48"/>
      <c r="I16" s="35"/>
      <c r="J16" s="35"/>
      <c r="K16" s="35"/>
      <c r="N16" s="35"/>
      <c r="O16" s="35"/>
      <c r="P16" s="35"/>
      <c r="Q16" s="35"/>
      <c r="R16" s="35"/>
      <c r="S16" s="35"/>
      <c r="T16" s="35"/>
      <c r="U16" s="35"/>
      <c r="V16" s="35"/>
      <c r="W16" s="35"/>
      <c r="X16" s="35"/>
      <c r="Y16" s="35"/>
      <c r="Z16" s="35"/>
      <c r="AA16" s="35"/>
    </row>
    <row r="17" ht="37" customHeight="1" spans="2:27">
      <c r="B17" s="45" t="s">
        <v>315</v>
      </c>
      <c r="C17" s="44"/>
      <c r="D17" s="44"/>
      <c r="E17" s="44"/>
      <c r="F17" s="44"/>
      <c r="G17" s="44"/>
      <c r="H17" s="50" t="s">
        <v>316</v>
      </c>
      <c r="I17" s="35"/>
      <c r="J17" s="35"/>
      <c r="K17" s="35"/>
      <c r="N17" s="35"/>
      <c r="O17" s="35"/>
      <c r="P17" s="35"/>
      <c r="Q17" s="35"/>
      <c r="R17" s="35"/>
      <c r="S17" s="35"/>
      <c r="T17" s="35"/>
      <c r="U17" s="35"/>
      <c r="V17" s="35"/>
      <c r="W17" s="35"/>
      <c r="X17" s="35"/>
      <c r="Y17" s="35"/>
      <c r="Z17" s="35"/>
      <c r="AA17" s="35"/>
    </row>
    <row r="18" ht="37" customHeight="1" spans="2:27">
      <c r="B18" s="48"/>
      <c r="C18" s="44"/>
      <c r="D18" s="44"/>
      <c r="E18" s="44"/>
      <c r="F18" s="44"/>
      <c r="G18" s="44"/>
      <c r="H18" s="48"/>
      <c r="I18" s="35"/>
      <c r="J18" s="35"/>
      <c r="K18" s="35"/>
      <c r="N18" s="35"/>
      <c r="O18" s="35"/>
      <c r="P18" s="35"/>
      <c r="Q18" s="35"/>
      <c r="R18" s="35"/>
      <c r="S18" s="35"/>
      <c r="T18" s="35"/>
      <c r="U18" s="35"/>
      <c r="V18" s="35"/>
      <c r="W18" s="35"/>
      <c r="X18" s="35"/>
      <c r="Y18" s="35"/>
      <c r="Z18" s="35"/>
      <c r="AA18" s="35"/>
    </row>
    <row r="19" ht="37" customHeight="1" spans="2:27">
      <c r="B19" s="45" t="s">
        <v>308</v>
      </c>
      <c r="C19" s="44"/>
      <c r="D19" s="44"/>
      <c r="E19" s="44"/>
      <c r="F19" s="44"/>
      <c r="G19" s="44"/>
      <c r="H19" s="45" t="s">
        <v>317</v>
      </c>
      <c r="I19" s="35"/>
      <c r="J19" s="35"/>
      <c r="K19" s="35"/>
      <c r="N19" s="35"/>
      <c r="O19" s="35"/>
      <c r="P19" s="35"/>
      <c r="Q19" s="35"/>
      <c r="R19" s="35"/>
      <c r="S19" s="35"/>
      <c r="T19" s="35"/>
      <c r="U19" s="35"/>
      <c r="V19" s="35"/>
      <c r="W19" s="35"/>
      <c r="X19" s="35"/>
      <c r="Y19" s="35"/>
      <c r="Z19" s="35"/>
      <c r="AA19" s="35"/>
    </row>
    <row r="20" ht="37" customHeight="1" spans="2:27">
      <c r="B20" s="48"/>
      <c r="C20" s="44"/>
      <c r="D20" s="44"/>
      <c r="E20" s="44"/>
      <c r="F20" s="44"/>
      <c r="G20" s="44"/>
      <c r="H20" s="48"/>
      <c r="I20" s="35"/>
      <c r="J20" s="35"/>
      <c r="K20" s="35"/>
      <c r="N20" s="35"/>
      <c r="O20" s="35"/>
      <c r="P20" s="35"/>
      <c r="Q20" s="35"/>
      <c r="R20" s="35"/>
      <c r="S20" s="35"/>
      <c r="T20" s="35"/>
      <c r="U20" s="35"/>
      <c r="V20" s="35"/>
      <c r="W20" s="35"/>
      <c r="X20" s="35"/>
      <c r="Y20" s="35"/>
      <c r="Z20" s="35"/>
      <c r="AA20" s="35"/>
    </row>
    <row r="21" ht="37" customHeight="1" spans="2:27">
      <c r="B21" s="48"/>
      <c r="C21" s="44"/>
      <c r="D21" s="44"/>
      <c r="E21" s="44"/>
      <c r="F21" s="44"/>
      <c r="G21" s="44"/>
      <c r="H21" s="48"/>
      <c r="I21" s="35"/>
      <c r="J21" s="35"/>
      <c r="K21" s="35"/>
      <c r="N21" s="35"/>
      <c r="O21" s="35"/>
      <c r="P21" s="35"/>
      <c r="Q21" s="35"/>
      <c r="R21" s="35"/>
      <c r="S21" s="35"/>
      <c r="T21" s="35"/>
      <c r="U21" s="35"/>
      <c r="V21" s="35"/>
      <c r="W21" s="35"/>
      <c r="X21" s="35"/>
      <c r="Y21" s="35"/>
      <c r="Z21" s="35"/>
      <c r="AA21" s="35"/>
    </row>
    <row r="22" ht="37" customHeight="1" spans="2:27">
      <c r="B22" s="45" t="s">
        <v>318</v>
      </c>
      <c r="C22" s="44"/>
      <c r="D22" s="44"/>
      <c r="E22" s="44"/>
      <c r="F22" s="44"/>
      <c r="G22" s="44"/>
      <c r="H22" s="45" t="s">
        <v>317</v>
      </c>
      <c r="I22" s="35"/>
      <c r="J22" s="35"/>
      <c r="K22" s="35"/>
      <c r="N22" s="35"/>
      <c r="O22" s="35"/>
      <c r="P22" s="35"/>
      <c r="Q22" s="35"/>
      <c r="R22" s="35"/>
      <c r="S22" s="35"/>
      <c r="T22" s="35"/>
      <c r="U22" s="35"/>
      <c r="V22" s="35"/>
      <c r="W22" s="35"/>
      <c r="X22" s="35"/>
      <c r="Y22" s="35"/>
      <c r="Z22" s="35"/>
      <c r="AA22" s="35"/>
    </row>
    <row r="23" ht="37" customHeight="1" spans="2:27">
      <c r="B23" s="48"/>
      <c r="C23" s="44"/>
      <c r="D23" s="44"/>
      <c r="E23" s="44"/>
      <c r="F23" s="44"/>
      <c r="G23" s="44"/>
      <c r="H23" s="48"/>
      <c r="I23" s="35"/>
      <c r="J23" s="35"/>
      <c r="K23" s="35"/>
      <c r="N23" s="35"/>
      <c r="O23" s="35"/>
      <c r="P23" s="35"/>
      <c r="Q23" s="35"/>
      <c r="R23" s="35"/>
      <c r="S23" s="35"/>
      <c r="T23" s="35"/>
      <c r="U23" s="35"/>
      <c r="V23" s="35"/>
      <c r="W23" s="35"/>
      <c r="X23" s="35"/>
      <c r="Y23" s="35"/>
      <c r="Z23" s="35"/>
      <c r="AA23" s="35"/>
    </row>
    <row r="24" ht="37" customHeight="1" spans="2:27">
      <c r="B24" s="48"/>
      <c r="C24" s="44"/>
      <c r="D24" s="44"/>
      <c r="E24" s="44"/>
      <c r="F24" s="44"/>
      <c r="G24" s="44"/>
      <c r="H24" s="48"/>
      <c r="I24" s="35"/>
      <c r="J24" s="35"/>
      <c r="K24" s="35"/>
      <c r="N24" s="35"/>
      <c r="O24" s="35"/>
      <c r="P24" s="35"/>
      <c r="Q24" s="35"/>
      <c r="R24" s="35"/>
      <c r="S24" s="35"/>
      <c r="T24" s="35"/>
      <c r="U24" s="35"/>
      <c r="V24" s="35"/>
      <c r="W24" s="35"/>
      <c r="X24" s="35"/>
      <c r="Y24" s="35"/>
      <c r="Z24" s="35"/>
      <c r="AA24" s="35"/>
    </row>
    <row r="25" ht="37" customHeight="1" spans="3:27">
      <c r="C25" s="51" t="s">
        <v>319</v>
      </c>
      <c r="D25" s="37"/>
      <c r="E25" s="37"/>
      <c r="F25" s="37"/>
      <c r="G25" s="37"/>
      <c r="H25" s="37"/>
      <c r="I25" s="35"/>
      <c r="J25" s="35"/>
      <c r="K25" s="35"/>
      <c r="N25" s="35"/>
      <c r="O25" s="35"/>
      <c r="P25" s="35"/>
      <c r="Q25" s="35"/>
      <c r="R25" s="35"/>
      <c r="S25" s="35"/>
      <c r="T25" s="35"/>
      <c r="U25" s="35"/>
      <c r="V25" s="35"/>
      <c r="W25" s="35"/>
      <c r="X25" s="35"/>
      <c r="Y25" s="35"/>
      <c r="Z25" s="35"/>
      <c r="AA25" s="35"/>
    </row>
    <row r="26" ht="165" customHeight="1" spans="3:27">
      <c r="C26" s="52" t="str">
        <f>_xlfn.DISPIMG("ID_4F7350FEB75C4953906E7EF7330823CD",1)</f>
        <v>=DISPIMG("ID_4F7350FEB75C4953906E7EF7330823CD",1)</v>
      </c>
      <c r="D26" s="52"/>
      <c r="E26" s="52"/>
      <c r="F26" s="52"/>
      <c r="G26" s="52"/>
      <c r="H26" s="37"/>
      <c r="I26" s="35"/>
      <c r="J26" s="35"/>
      <c r="K26" s="35"/>
      <c r="N26" s="35"/>
      <c r="O26" s="35"/>
      <c r="P26" s="35"/>
      <c r="Q26" s="35"/>
      <c r="R26" s="35"/>
      <c r="S26" s="35"/>
      <c r="T26" s="35"/>
      <c r="U26" s="35"/>
      <c r="V26" s="35"/>
      <c r="W26" s="35"/>
      <c r="X26" s="35"/>
      <c r="Y26" s="35"/>
      <c r="Z26" s="35"/>
      <c r="AA26" s="35"/>
    </row>
    <row r="27" ht="19.5" customHeight="1" spans="3:27">
      <c r="C27" s="37"/>
      <c r="D27" s="37"/>
      <c r="E27" s="37"/>
      <c r="F27" s="37"/>
      <c r="G27" s="37"/>
      <c r="H27" s="37"/>
      <c r="I27" s="35"/>
      <c r="J27" s="35"/>
      <c r="K27" s="35"/>
      <c r="N27" s="35"/>
      <c r="O27" s="35"/>
      <c r="P27" s="35"/>
      <c r="Q27" s="35"/>
      <c r="R27" s="35"/>
      <c r="S27" s="35"/>
      <c r="T27" s="35"/>
      <c r="U27" s="35"/>
      <c r="V27" s="35"/>
      <c r="W27" s="35"/>
      <c r="X27" s="35"/>
      <c r="Y27" s="35"/>
      <c r="Z27" s="35"/>
      <c r="AA27" s="35"/>
    </row>
    <row r="28" ht="19.5" customHeight="1" spans="3:27">
      <c r="C28" s="37"/>
      <c r="D28" s="37"/>
      <c r="E28" s="37"/>
      <c r="F28" s="37"/>
      <c r="G28" s="37"/>
      <c r="H28" s="37"/>
      <c r="I28" s="35"/>
      <c r="J28" s="35"/>
      <c r="K28" s="35"/>
      <c r="N28" s="35"/>
      <c r="O28" s="35"/>
      <c r="P28" s="35"/>
      <c r="Q28" s="35"/>
      <c r="R28" s="35"/>
      <c r="S28" s="35"/>
      <c r="T28" s="35"/>
      <c r="U28" s="35"/>
      <c r="V28" s="35"/>
      <c r="W28" s="35"/>
      <c r="X28" s="35"/>
      <c r="Y28" s="35"/>
      <c r="Z28" s="35"/>
      <c r="AA28" s="35"/>
    </row>
    <row r="29" ht="19.5" customHeight="1" spans="3:27">
      <c r="C29" s="53" t="s">
        <v>320</v>
      </c>
      <c r="D29" s="53"/>
      <c r="E29" s="53" t="s">
        <v>321</v>
      </c>
      <c r="F29" s="53"/>
      <c r="G29" s="53"/>
      <c r="H29" s="53"/>
      <c r="I29" s="35"/>
      <c r="J29" s="35"/>
      <c r="K29" s="35"/>
      <c r="N29" s="35"/>
      <c r="O29" s="35"/>
      <c r="P29" s="35"/>
      <c r="Q29" s="35"/>
      <c r="R29" s="35"/>
      <c r="S29" s="35"/>
      <c r="T29" s="35"/>
      <c r="U29" s="35"/>
      <c r="V29" s="35"/>
      <c r="W29" s="35"/>
      <c r="X29" s="35"/>
      <c r="Y29" s="35"/>
      <c r="Z29" s="35"/>
      <c r="AA29" s="35"/>
    </row>
    <row r="30" ht="19.5" customHeight="1" spans="3:27">
      <c r="C30" s="37"/>
      <c r="D30" s="37"/>
      <c r="E30" s="37"/>
      <c r="F30" s="37"/>
      <c r="G30" s="37"/>
      <c r="H30" s="37"/>
      <c r="I30" s="35"/>
      <c r="J30" s="35"/>
      <c r="K30" s="35"/>
      <c r="N30" s="35"/>
      <c r="O30" s="35"/>
      <c r="P30" s="35"/>
      <c r="Q30" s="35"/>
      <c r="R30" s="35"/>
      <c r="S30" s="35"/>
      <c r="T30" s="35"/>
      <c r="U30" s="35"/>
      <c r="V30" s="35"/>
      <c r="W30" s="35"/>
      <c r="X30" s="35"/>
      <c r="Y30" s="35"/>
      <c r="Z30" s="35"/>
      <c r="AA30" s="35"/>
    </row>
    <row r="31" ht="186" customHeight="1" spans="2:27">
      <c r="B31" s="35"/>
      <c r="C31" s="24" t="str">
        <f>_xlfn.DISPIMG("ID_E6DC4C45B7D4454D98FA89B0EED4E192",1)</f>
        <v>=DISPIMG("ID_E6DC4C45B7D4454D98FA89B0EED4E192",1)</v>
      </c>
      <c r="D31" s="37"/>
      <c r="E31" s="37" t="str">
        <f>_xlfn.DISPIMG("ID_F1A3F9A9E23D4A32B146B1F598D39269",1)</f>
        <v>=DISPIMG("ID_F1A3F9A9E23D4A32B146B1F598D39269",1)</v>
      </c>
      <c r="F31" s="37"/>
      <c r="G31" s="37"/>
      <c r="H31" s="37"/>
      <c r="I31" s="35"/>
      <c r="J31" s="35"/>
      <c r="K31" s="35"/>
      <c r="N31" s="35"/>
      <c r="O31" s="35"/>
      <c r="P31" s="35"/>
      <c r="Q31" s="35"/>
      <c r="R31" s="35"/>
      <c r="S31" s="35"/>
      <c r="T31" s="35"/>
      <c r="U31" s="35"/>
      <c r="V31" s="35"/>
      <c r="W31" s="35"/>
      <c r="X31" s="35"/>
      <c r="Y31" s="35"/>
      <c r="Z31" s="35"/>
      <c r="AA31" s="35"/>
    </row>
    <row r="32" ht="19.5" customHeight="1" spans="3:27">
      <c r="C32" s="37"/>
      <c r="D32" s="37"/>
      <c r="E32" s="37"/>
      <c r="F32" s="37"/>
      <c r="G32" s="37"/>
      <c r="H32" s="37"/>
      <c r="I32" s="35"/>
      <c r="J32" s="35"/>
      <c r="K32" s="35"/>
      <c r="N32" s="35"/>
      <c r="O32" s="35"/>
      <c r="P32" s="35"/>
      <c r="Q32" s="35"/>
      <c r="R32" s="35"/>
      <c r="S32" s="35"/>
      <c r="T32" s="35"/>
      <c r="U32" s="35"/>
      <c r="V32" s="35"/>
      <c r="W32" s="35"/>
      <c r="X32" s="35"/>
      <c r="Y32" s="35"/>
      <c r="Z32" s="35"/>
      <c r="AA32" s="35"/>
    </row>
    <row r="33" ht="19.5" customHeight="1" spans="3:27">
      <c r="C33" s="37"/>
      <c r="D33" s="37"/>
      <c r="E33" s="37"/>
      <c r="F33" s="37"/>
      <c r="G33" s="37"/>
      <c r="H33" s="37"/>
      <c r="I33" s="35"/>
      <c r="J33" s="35"/>
      <c r="K33" s="35"/>
      <c r="N33" s="35"/>
      <c r="O33" s="35"/>
      <c r="P33" s="35"/>
      <c r="Q33" s="35"/>
      <c r="R33" s="35"/>
      <c r="S33" s="35"/>
      <c r="T33" s="35"/>
      <c r="U33" s="35"/>
      <c r="V33" s="35"/>
      <c r="W33" s="35"/>
      <c r="X33" s="35"/>
      <c r="Y33" s="35"/>
      <c r="Z33" s="35"/>
      <c r="AA33" s="35"/>
    </row>
    <row r="34" ht="19.5" customHeight="1" spans="3:27">
      <c r="C34" s="37"/>
      <c r="D34" s="37"/>
      <c r="E34" s="37"/>
      <c r="F34" s="37"/>
      <c r="G34" s="37"/>
      <c r="H34" s="37"/>
      <c r="I34" s="35"/>
      <c r="J34" s="35"/>
      <c r="K34" s="35"/>
      <c r="N34" s="35"/>
      <c r="O34" s="35"/>
      <c r="P34" s="35"/>
      <c r="Q34" s="35"/>
      <c r="R34" s="35"/>
      <c r="S34" s="35"/>
      <c r="T34" s="35"/>
      <c r="U34" s="35"/>
      <c r="V34" s="35"/>
      <c r="W34" s="35"/>
      <c r="X34" s="35"/>
      <c r="Y34" s="35"/>
      <c r="Z34" s="35"/>
      <c r="AA34" s="35"/>
    </row>
    <row r="35" ht="19.5" customHeight="1" spans="3:27">
      <c r="C35" s="37"/>
      <c r="D35" s="37"/>
      <c r="E35" s="37"/>
      <c r="F35" s="37"/>
      <c r="G35" s="37"/>
      <c r="H35" s="37"/>
      <c r="I35" s="35"/>
      <c r="J35" s="35"/>
      <c r="K35" s="35"/>
      <c r="N35" s="35"/>
      <c r="O35" s="35"/>
      <c r="P35" s="35"/>
      <c r="Q35" s="35"/>
      <c r="R35" s="35"/>
      <c r="S35" s="35"/>
      <c r="T35" s="35"/>
      <c r="U35" s="35"/>
      <c r="V35" s="35"/>
      <c r="W35" s="35"/>
      <c r="X35" s="35"/>
      <c r="Y35" s="35"/>
      <c r="Z35" s="35"/>
      <c r="AA35" s="35"/>
    </row>
    <row r="36" ht="19.5" customHeight="1" spans="3:27">
      <c r="C36" s="37"/>
      <c r="D36" s="37"/>
      <c r="E36" s="37"/>
      <c r="F36" s="37"/>
      <c r="G36" s="37"/>
      <c r="H36" s="37"/>
      <c r="I36" s="35"/>
      <c r="J36" s="35"/>
      <c r="K36" s="35"/>
      <c r="N36" s="35"/>
      <c r="O36" s="35"/>
      <c r="P36" s="35"/>
      <c r="Q36" s="35"/>
      <c r="R36" s="35"/>
      <c r="S36" s="35"/>
      <c r="T36" s="35"/>
      <c r="U36" s="35"/>
      <c r="V36" s="35"/>
      <c r="W36" s="35"/>
      <c r="X36" s="35"/>
      <c r="Y36" s="35"/>
      <c r="Z36" s="35"/>
      <c r="AA36" s="35"/>
    </row>
    <row r="37" ht="19.5" customHeight="1" spans="3:27">
      <c r="C37" s="37"/>
      <c r="D37" s="37"/>
      <c r="E37" s="37"/>
      <c r="F37" s="37"/>
      <c r="G37" s="37"/>
      <c r="H37" s="37"/>
      <c r="I37" s="35"/>
      <c r="J37" s="35"/>
      <c r="K37" s="35"/>
      <c r="N37" s="35"/>
      <c r="O37" s="35"/>
      <c r="P37" s="35"/>
      <c r="Q37" s="35"/>
      <c r="R37" s="35"/>
      <c r="S37" s="35"/>
      <c r="T37" s="35"/>
      <c r="U37" s="35"/>
      <c r="V37" s="35"/>
      <c r="W37" s="35"/>
      <c r="X37" s="35"/>
      <c r="Y37" s="35"/>
      <c r="Z37" s="35"/>
      <c r="AA37" s="35"/>
    </row>
    <row r="38" ht="19.5" customHeight="1" spans="3:27">
      <c r="C38" s="37"/>
      <c r="D38" s="37"/>
      <c r="E38" s="37"/>
      <c r="F38" s="37"/>
      <c r="G38" s="37"/>
      <c r="H38" s="37"/>
      <c r="I38" s="35"/>
      <c r="J38" s="35"/>
      <c r="K38" s="35"/>
      <c r="N38" s="35"/>
      <c r="O38" s="35"/>
      <c r="P38" s="35"/>
      <c r="Q38" s="35"/>
      <c r="R38" s="35"/>
      <c r="S38" s="35"/>
      <c r="T38" s="35"/>
      <c r="U38" s="35"/>
      <c r="V38" s="35"/>
      <c r="W38" s="35"/>
      <c r="X38" s="35"/>
      <c r="Y38" s="35"/>
      <c r="Z38" s="35"/>
      <c r="AA38" s="35"/>
    </row>
    <row r="39" ht="19.5" customHeight="1" spans="3:27">
      <c r="C39" s="37"/>
      <c r="D39" s="37"/>
      <c r="E39" s="37"/>
      <c r="F39" s="37"/>
      <c r="G39" s="37"/>
      <c r="H39" s="37"/>
      <c r="I39" s="35"/>
      <c r="J39" s="35"/>
      <c r="K39" s="35"/>
      <c r="N39" s="35"/>
      <c r="O39" s="35"/>
      <c r="P39" s="35"/>
      <c r="Q39" s="35"/>
      <c r="R39" s="35"/>
      <c r="S39" s="35"/>
      <c r="T39" s="35"/>
      <c r="U39" s="35"/>
      <c r="V39" s="35"/>
      <c r="W39" s="35"/>
      <c r="X39" s="35"/>
      <c r="Y39" s="35"/>
      <c r="Z39" s="35"/>
      <c r="AA39" s="35"/>
    </row>
    <row r="40" ht="19.5" customHeight="1" spans="3:27">
      <c r="C40" s="37"/>
      <c r="D40" s="37"/>
      <c r="E40" s="37"/>
      <c r="F40" s="37"/>
      <c r="G40" s="37"/>
      <c r="H40" s="37"/>
      <c r="I40" s="35"/>
      <c r="J40" s="35"/>
      <c r="K40" s="35"/>
      <c r="N40" s="35"/>
      <c r="O40" s="35"/>
      <c r="P40" s="35"/>
      <c r="Q40" s="35"/>
      <c r="R40" s="35"/>
      <c r="S40" s="35"/>
      <c r="T40" s="35"/>
      <c r="U40" s="35"/>
      <c r="V40" s="35"/>
      <c r="W40" s="35"/>
      <c r="X40" s="35"/>
      <c r="Y40" s="35"/>
      <c r="Z40" s="35"/>
      <c r="AA40" s="35"/>
    </row>
    <row r="41" ht="19.5" customHeight="1" spans="3:27">
      <c r="C41" s="37"/>
      <c r="D41" s="37"/>
      <c r="E41" s="37"/>
      <c r="F41" s="37"/>
      <c r="G41" s="37"/>
      <c r="H41" s="37"/>
      <c r="I41" s="35"/>
      <c r="J41" s="35"/>
      <c r="K41" s="35"/>
      <c r="N41" s="35"/>
      <c r="O41" s="35"/>
      <c r="P41" s="35"/>
      <c r="Q41" s="35"/>
      <c r="R41" s="35"/>
      <c r="S41" s="35"/>
      <c r="T41" s="35"/>
      <c r="U41" s="35"/>
      <c r="V41" s="35"/>
      <c r="W41" s="35"/>
      <c r="X41" s="35"/>
      <c r="Y41" s="35"/>
      <c r="Z41" s="35"/>
      <c r="AA41" s="35"/>
    </row>
    <row r="42" ht="19.5" customHeight="1" spans="3:27">
      <c r="C42" s="37"/>
      <c r="D42" s="37"/>
      <c r="E42" s="37"/>
      <c r="F42" s="37"/>
      <c r="G42" s="37"/>
      <c r="H42" s="37"/>
      <c r="I42" s="35"/>
      <c r="J42" s="35"/>
      <c r="K42" s="35"/>
      <c r="N42" s="35"/>
      <c r="O42" s="35"/>
      <c r="P42" s="35"/>
      <c r="Q42" s="35"/>
      <c r="R42" s="35"/>
      <c r="S42" s="35"/>
      <c r="T42" s="35"/>
      <c r="U42" s="35"/>
      <c r="V42" s="35"/>
      <c r="W42" s="35"/>
      <c r="X42" s="35"/>
      <c r="Y42" s="35"/>
      <c r="Z42" s="35"/>
      <c r="AA42" s="35"/>
    </row>
    <row r="43" ht="19.5" customHeight="1" spans="3:27">
      <c r="C43" s="37"/>
      <c r="D43" s="37"/>
      <c r="E43" s="37"/>
      <c r="F43" s="37"/>
      <c r="G43" s="37"/>
      <c r="H43" s="37"/>
      <c r="I43" s="35"/>
      <c r="J43" s="35"/>
      <c r="K43" s="35"/>
      <c r="N43" s="35"/>
      <c r="O43" s="35"/>
      <c r="P43" s="35"/>
      <c r="Q43" s="35"/>
      <c r="R43" s="35"/>
      <c r="S43" s="35"/>
      <c r="T43" s="35"/>
      <c r="U43" s="35"/>
      <c r="V43" s="35"/>
      <c r="W43" s="35"/>
      <c r="X43" s="35"/>
      <c r="Y43" s="35"/>
      <c r="Z43" s="35"/>
      <c r="AA43" s="35"/>
    </row>
    <row r="44" ht="19.5" customHeight="1" spans="3:27">
      <c r="C44" s="37"/>
      <c r="D44" s="37"/>
      <c r="E44" s="37"/>
      <c r="F44" s="37"/>
      <c r="G44" s="37"/>
      <c r="H44" s="37"/>
      <c r="I44" s="35"/>
      <c r="J44" s="35"/>
      <c r="K44" s="35"/>
      <c r="N44" s="35"/>
      <c r="O44" s="35"/>
      <c r="P44" s="35"/>
      <c r="Q44" s="35"/>
      <c r="R44" s="35"/>
      <c r="S44" s="35"/>
      <c r="T44" s="35"/>
      <c r="U44" s="35"/>
      <c r="V44" s="35"/>
      <c r="W44" s="35"/>
      <c r="X44" s="35"/>
      <c r="Y44" s="35"/>
      <c r="Z44" s="35"/>
      <c r="AA44" s="35"/>
    </row>
    <row r="45" ht="19.5" customHeight="1" spans="3:27">
      <c r="C45" s="37"/>
      <c r="D45" s="37"/>
      <c r="E45" s="37"/>
      <c r="F45" s="37"/>
      <c r="G45" s="37"/>
      <c r="H45" s="37"/>
      <c r="I45" s="35"/>
      <c r="J45" s="35"/>
      <c r="K45" s="35"/>
      <c r="N45" s="35"/>
      <c r="O45" s="35"/>
      <c r="P45" s="35"/>
      <c r="Q45" s="35"/>
      <c r="R45" s="35"/>
      <c r="S45" s="35"/>
      <c r="T45" s="35"/>
      <c r="U45" s="35"/>
      <c r="V45" s="35"/>
      <c r="W45" s="35"/>
      <c r="X45" s="35"/>
      <c r="Y45" s="35"/>
      <c r="Z45" s="35"/>
      <c r="AA45" s="35"/>
    </row>
    <row r="46" ht="19.5" customHeight="1" spans="3:27">
      <c r="C46" s="37"/>
      <c r="D46" s="37"/>
      <c r="E46" s="37"/>
      <c r="F46" s="37"/>
      <c r="G46" s="37"/>
      <c r="H46" s="37"/>
      <c r="I46" s="35"/>
      <c r="J46" s="35"/>
      <c r="K46" s="35"/>
      <c r="N46" s="35"/>
      <c r="O46" s="35"/>
      <c r="P46" s="35"/>
      <c r="Q46" s="35"/>
      <c r="R46" s="35"/>
      <c r="S46" s="35"/>
      <c r="T46" s="35"/>
      <c r="U46" s="35"/>
      <c r="V46" s="35"/>
      <c r="W46" s="35"/>
      <c r="X46" s="35"/>
      <c r="Y46" s="35"/>
      <c r="Z46" s="35"/>
      <c r="AA46" s="35"/>
    </row>
    <row r="47" ht="19.5" customHeight="1" spans="3:27">
      <c r="C47" s="37"/>
      <c r="D47" s="37"/>
      <c r="E47" s="37"/>
      <c r="F47" s="37"/>
      <c r="G47" s="37"/>
      <c r="H47" s="37"/>
      <c r="I47" s="35"/>
      <c r="J47" s="35"/>
      <c r="K47" s="35"/>
      <c r="N47" s="35"/>
      <c r="O47" s="35"/>
      <c r="P47" s="35"/>
      <c r="Q47" s="35"/>
      <c r="R47" s="35"/>
      <c r="S47" s="35"/>
      <c r="T47" s="35"/>
      <c r="U47" s="35"/>
      <c r="V47" s="35"/>
      <c r="W47" s="35"/>
      <c r="X47" s="35"/>
      <c r="Y47" s="35"/>
      <c r="Z47" s="35"/>
      <c r="AA47" s="35"/>
    </row>
    <row r="48" ht="19.5" customHeight="1" spans="3:27">
      <c r="C48" s="37"/>
      <c r="D48" s="37"/>
      <c r="E48" s="37"/>
      <c r="F48" s="37"/>
      <c r="G48" s="37"/>
      <c r="H48" s="37"/>
      <c r="I48" s="35"/>
      <c r="J48" s="35"/>
      <c r="K48" s="35"/>
      <c r="N48" s="35"/>
      <c r="O48" s="35"/>
      <c r="P48" s="35"/>
      <c r="Q48" s="35"/>
      <c r="R48" s="35"/>
      <c r="S48" s="35"/>
      <c r="T48" s="35"/>
      <c r="U48" s="35"/>
      <c r="V48" s="35"/>
      <c r="W48" s="35"/>
      <c r="X48" s="35"/>
      <c r="Y48" s="35"/>
      <c r="Z48" s="35"/>
      <c r="AA48" s="35"/>
    </row>
    <row r="49" ht="19.5" customHeight="1" spans="3:27">
      <c r="C49" s="37"/>
      <c r="D49" s="37"/>
      <c r="E49" s="37"/>
      <c r="F49" s="37"/>
      <c r="G49" s="37"/>
      <c r="H49" s="37"/>
      <c r="I49" s="35"/>
      <c r="J49" s="35"/>
      <c r="K49" s="35"/>
      <c r="N49" s="35"/>
      <c r="O49" s="35"/>
      <c r="P49" s="35"/>
      <c r="Q49" s="35"/>
      <c r="R49" s="35"/>
      <c r="S49" s="35"/>
      <c r="T49" s="35"/>
      <c r="U49" s="35"/>
      <c r="V49" s="35"/>
      <c r="W49" s="35"/>
      <c r="X49" s="35"/>
      <c r="Y49" s="35"/>
      <c r="Z49" s="35"/>
      <c r="AA49" s="35"/>
    </row>
    <row r="50" ht="19.5" customHeight="1" spans="3:27">
      <c r="C50" s="37"/>
      <c r="D50" s="37"/>
      <c r="E50" s="37"/>
      <c r="F50" s="37"/>
      <c r="G50" s="37"/>
      <c r="H50" s="37"/>
      <c r="I50" s="35"/>
      <c r="J50" s="35"/>
      <c r="K50" s="35"/>
      <c r="N50" s="35"/>
      <c r="O50" s="35"/>
      <c r="P50" s="35"/>
      <c r="Q50" s="35"/>
      <c r="R50" s="35"/>
      <c r="S50" s="35"/>
      <c r="T50" s="35"/>
      <c r="U50" s="35"/>
      <c r="V50" s="35"/>
      <c r="W50" s="35"/>
      <c r="X50" s="35"/>
      <c r="Y50" s="35"/>
      <c r="Z50" s="35"/>
      <c r="AA50" s="35"/>
    </row>
    <row r="51" ht="19.5" customHeight="1" spans="3:27">
      <c r="C51" s="37"/>
      <c r="D51" s="37"/>
      <c r="E51" s="37"/>
      <c r="F51" s="37"/>
      <c r="G51" s="37"/>
      <c r="H51" s="37"/>
      <c r="I51" s="35"/>
      <c r="J51" s="35"/>
      <c r="K51" s="35"/>
      <c r="N51" s="35"/>
      <c r="O51" s="35"/>
      <c r="P51" s="35"/>
      <c r="Q51" s="35"/>
      <c r="R51" s="35"/>
      <c r="S51" s="35"/>
      <c r="T51" s="35"/>
      <c r="U51" s="35"/>
      <c r="V51" s="35"/>
      <c r="W51" s="35"/>
      <c r="X51" s="35"/>
      <c r="Y51" s="35"/>
      <c r="Z51" s="35"/>
      <c r="AA51" s="35"/>
    </row>
    <row r="52" ht="19.5" customHeight="1" spans="3:27">
      <c r="C52" s="37"/>
      <c r="D52" s="37"/>
      <c r="E52" s="37"/>
      <c r="F52" s="37"/>
      <c r="G52" s="37"/>
      <c r="H52" s="37"/>
      <c r="I52" s="35"/>
      <c r="J52" s="35"/>
      <c r="K52" s="35"/>
      <c r="N52" s="35"/>
      <c r="O52" s="35"/>
      <c r="P52" s="35"/>
      <c r="Q52" s="35"/>
      <c r="R52" s="35"/>
      <c r="S52" s="35"/>
      <c r="T52" s="35"/>
      <c r="U52" s="35"/>
      <c r="V52" s="35"/>
      <c r="W52" s="35"/>
      <c r="X52" s="35"/>
      <c r="Y52" s="35"/>
      <c r="Z52" s="35"/>
      <c r="AA52" s="35"/>
    </row>
    <row r="53" ht="19.5" customHeight="1" spans="3:27">
      <c r="C53" s="37"/>
      <c r="D53" s="37"/>
      <c r="E53" s="37"/>
      <c r="F53" s="37"/>
      <c r="G53" s="37"/>
      <c r="H53" s="37"/>
      <c r="I53" s="35"/>
      <c r="J53" s="35"/>
      <c r="K53" s="35"/>
      <c r="N53" s="35"/>
      <c r="O53" s="35"/>
      <c r="P53" s="35"/>
      <c r="Q53" s="35"/>
      <c r="R53" s="35"/>
      <c r="S53" s="35"/>
      <c r="T53" s="35"/>
      <c r="U53" s="35"/>
      <c r="V53" s="35"/>
      <c r="W53" s="35"/>
      <c r="X53" s="35"/>
      <c r="Y53" s="35"/>
      <c r="Z53" s="35"/>
      <c r="AA53" s="35"/>
    </row>
    <row r="54" ht="19.5" customHeight="1" spans="3:27">
      <c r="C54" s="37"/>
      <c r="D54" s="37"/>
      <c r="E54" s="37"/>
      <c r="F54" s="37"/>
      <c r="G54" s="37"/>
      <c r="H54" s="37"/>
      <c r="I54" s="35"/>
      <c r="J54" s="35"/>
      <c r="K54" s="35"/>
      <c r="N54" s="35"/>
      <c r="O54" s="35"/>
      <c r="P54" s="35"/>
      <c r="Q54" s="35"/>
      <c r="R54" s="35"/>
      <c r="S54" s="35"/>
      <c r="T54" s="35"/>
      <c r="U54" s="35"/>
      <c r="V54" s="35"/>
      <c r="W54" s="35"/>
      <c r="X54" s="35"/>
      <c r="Y54" s="35"/>
      <c r="Z54" s="35"/>
      <c r="AA54" s="35"/>
    </row>
    <row r="55" ht="19.5" customHeight="1" spans="3:27">
      <c r="C55" s="37"/>
      <c r="D55" s="37"/>
      <c r="E55" s="37"/>
      <c r="F55" s="37"/>
      <c r="G55" s="37"/>
      <c r="H55" s="37"/>
      <c r="I55" s="35"/>
      <c r="J55" s="35"/>
      <c r="K55" s="35"/>
      <c r="N55" s="35"/>
      <c r="O55" s="35"/>
      <c r="P55" s="35"/>
      <c r="Q55" s="35"/>
      <c r="R55" s="35"/>
      <c r="S55" s="35"/>
      <c r="T55" s="35"/>
      <c r="U55" s="35"/>
      <c r="V55" s="35"/>
      <c r="W55" s="35"/>
      <c r="X55" s="35"/>
      <c r="Y55" s="35"/>
      <c r="Z55" s="35"/>
      <c r="AA55" s="35"/>
    </row>
    <row r="56" ht="19.5" customHeight="1" spans="3:27">
      <c r="C56" s="37"/>
      <c r="D56" s="37"/>
      <c r="E56" s="37"/>
      <c r="F56" s="37"/>
      <c r="G56" s="37"/>
      <c r="H56" s="37"/>
      <c r="I56" s="35"/>
      <c r="J56" s="35"/>
      <c r="K56" s="35"/>
      <c r="N56" s="35"/>
      <c r="O56" s="35"/>
      <c r="P56" s="35"/>
      <c r="Q56" s="35"/>
      <c r="R56" s="35"/>
      <c r="S56" s="35"/>
      <c r="T56" s="35"/>
      <c r="U56" s="35"/>
      <c r="V56" s="35"/>
      <c r="W56" s="35"/>
      <c r="X56" s="35"/>
      <c r="Y56" s="35"/>
      <c r="Z56" s="35"/>
      <c r="AA56" s="35"/>
    </row>
    <row r="57" ht="19.5" customHeight="1" spans="3:27">
      <c r="C57" s="37"/>
      <c r="D57" s="37"/>
      <c r="E57" s="37"/>
      <c r="F57" s="37"/>
      <c r="G57" s="37"/>
      <c r="H57" s="37"/>
      <c r="I57" s="35"/>
      <c r="J57" s="35"/>
      <c r="K57" s="35"/>
      <c r="N57" s="35"/>
      <c r="O57" s="35"/>
      <c r="P57" s="35"/>
      <c r="Q57" s="35"/>
      <c r="R57" s="35"/>
      <c r="S57" s="35"/>
      <c r="T57" s="35"/>
      <c r="U57" s="35"/>
      <c r="V57" s="35"/>
      <c r="W57" s="35"/>
      <c r="X57" s="35"/>
      <c r="Y57" s="35"/>
      <c r="Z57" s="35"/>
      <c r="AA57" s="35"/>
    </row>
    <row r="58" ht="19.5" customHeight="1" spans="3:27">
      <c r="C58" s="37"/>
      <c r="D58" s="37"/>
      <c r="E58" s="37"/>
      <c r="F58" s="37"/>
      <c r="G58" s="37"/>
      <c r="H58" s="37"/>
      <c r="I58" s="35"/>
      <c r="J58" s="35"/>
      <c r="K58" s="35"/>
      <c r="N58" s="35"/>
      <c r="O58" s="35"/>
      <c r="P58" s="35"/>
      <c r="Q58" s="35"/>
      <c r="R58" s="35"/>
      <c r="S58" s="35"/>
      <c r="T58" s="35"/>
      <c r="U58" s="35"/>
      <c r="V58" s="35"/>
      <c r="W58" s="35"/>
      <c r="X58" s="35"/>
      <c r="Y58" s="35"/>
      <c r="Z58" s="35"/>
      <c r="AA58" s="35"/>
    </row>
    <row r="59" ht="19.5" customHeight="1" spans="3:27">
      <c r="C59" s="37"/>
      <c r="D59" s="37"/>
      <c r="E59" s="37"/>
      <c r="F59" s="37"/>
      <c r="G59" s="37"/>
      <c r="H59" s="37"/>
      <c r="I59" s="35"/>
      <c r="J59" s="35"/>
      <c r="K59" s="35"/>
      <c r="N59" s="35"/>
      <c r="O59" s="35"/>
      <c r="P59" s="35"/>
      <c r="Q59" s="35"/>
      <c r="R59" s="35"/>
      <c r="S59" s="35"/>
      <c r="T59" s="35"/>
      <c r="U59" s="35"/>
      <c r="V59" s="35"/>
      <c r="W59" s="35"/>
      <c r="X59" s="35"/>
      <c r="Y59" s="35"/>
      <c r="Z59" s="35"/>
      <c r="AA59" s="35"/>
    </row>
    <row r="60" ht="19.5" customHeight="1" spans="3:27">
      <c r="C60" s="37"/>
      <c r="D60" s="37"/>
      <c r="E60" s="37"/>
      <c r="F60" s="37"/>
      <c r="G60" s="37"/>
      <c r="H60" s="37"/>
      <c r="I60" s="35"/>
      <c r="J60" s="35"/>
      <c r="K60" s="35"/>
      <c r="N60" s="35"/>
      <c r="O60" s="35"/>
      <c r="P60" s="35"/>
      <c r="Q60" s="35"/>
      <c r="R60" s="35"/>
      <c r="S60" s="35"/>
      <c r="T60" s="35"/>
      <c r="U60" s="35"/>
      <c r="V60" s="35"/>
      <c r="W60" s="35"/>
      <c r="X60" s="35"/>
      <c r="Y60" s="35"/>
      <c r="Z60" s="35"/>
      <c r="AA60" s="35"/>
    </row>
    <row r="61" ht="19.5" customHeight="1" spans="3:27">
      <c r="C61" s="37"/>
      <c r="D61" s="37"/>
      <c r="E61" s="37"/>
      <c r="F61" s="37"/>
      <c r="G61" s="37"/>
      <c r="H61" s="37"/>
      <c r="I61" s="35"/>
      <c r="J61" s="35"/>
      <c r="K61" s="35"/>
      <c r="N61" s="35"/>
      <c r="O61" s="35"/>
      <c r="P61" s="35"/>
      <c r="Q61" s="35"/>
      <c r="R61" s="35"/>
      <c r="S61" s="35"/>
      <c r="T61" s="35"/>
      <c r="U61" s="35"/>
      <c r="V61" s="35"/>
      <c r="W61" s="35"/>
      <c r="X61" s="35"/>
      <c r="Y61" s="35"/>
      <c r="Z61" s="35"/>
      <c r="AA61" s="35"/>
    </row>
    <row r="62" ht="19.5" customHeight="1" spans="3:27">
      <c r="C62" s="37"/>
      <c r="D62" s="37"/>
      <c r="E62" s="37"/>
      <c r="F62" s="37"/>
      <c r="G62" s="37"/>
      <c r="H62" s="37"/>
      <c r="I62" s="35"/>
      <c r="J62" s="35"/>
      <c r="K62" s="35"/>
      <c r="N62" s="35"/>
      <c r="O62" s="35"/>
      <c r="P62" s="35"/>
      <c r="Q62" s="35"/>
      <c r="R62" s="35"/>
      <c r="S62" s="35"/>
      <c r="T62" s="35"/>
      <c r="U62" s="35"/>
      <c r="V62" s="35"/>
      <c r="W62" s="35"/>
      <c r="X62" s="35"/>
      <c r="Y62" s="35"/>
      <c r="Z62" s="35"/>
      <c r="AA62" s="35"/>
    </row>
    <row r="63" ht="19.5" customHeight="1" spans="3:27">
      <c r="C63" s="37"/>
      <c r="D63" s="37"/>
      <c r="E63" s="37"/>
      <c r="F63" s="37"/>
      <c r="G63" s="37"/>
      <c r="H63" s="37"/>
      <c r="I63" s="35"/>
      <c r="J63" s="35"/>
      <c r="K63" s="35"/>
      <c r="N63" s="35"/>
      <c r="O63" s="35"/>
      <c r="P63" s="35"/>
      <c r="Q63" s="35"/>
      <c r="R63" s="35"/>
      <c r="S63" s="35"/>
      <c r="T63" s="35"/>
      <c r="U63" s="35"/>
      <c r="V63" s="35"/>
      <c r="W63" s="35"/>
      <c r="X63" s="35"/>
      <c r="Y63" s="35"/>
      <c r="Z63" s="35"/>
      <c r="AA63" s="35"/>
    </row>
    <row r="64" spans="3:27">
      <c r="C64" s="37"/>
      <c r="D64" s="37"/>
      <c r="E64" s="37"/>
      <c r="F64" s="37"/>
      <c r="G64" s="37"/>
      <c r="H64" s="37"/>
      <c r="I64" s="35"/>
      <c r="J64" s="35"/>
      <c r="K64" s="35"/>
      <c r="N64" s="35"/>
      <c r="O64" s="35"/>
      <c r="P64" s="35"/>
      <c r="Q64" s="35"/>
      <c r="R64" s="35"/>
      <c r="S64" s="35"/>
      <c r="T64" s="35"/>
      <c r="U64" s="35"/>
      <c r="V64" s="35"/>
      <c r="W64" s="35"/>
      <c r="X64" s="35"/>
      <c r="Y64" s="35"/>
      <c r="Z64" s="35"/>
      <c r="AA64" s="35"/>
    </row>
    <row r="65" spans="3:27">
      <c r="C65" s="37"/>
      <c r="D65" s="37"/>
      <c r="E65" s="37"/>
      <c r="F65" s="37"/>
      <c r="G65" s="37"/>
      <c r="H65" s="37"/>
      <c r="I65" s="35"/>
      <c r="J65" s="35"/>
      <c r="K65" s="35"/>
      <c r="N65" s="35"/>
      <c r="O65" s="35"/>
      <c r="P65" s="35"/>
      <c r="Q65" s="35"/>
      <c r="R65" s="35"/>
      <c r="S65" s="35"/>
      <c r="T65" s="35"/>
      <c r="U65" s="35"/>
      <c r="V65" s="35"/>
      <c r="W65" s="35"/>
      <c r="X65" s="35"/>
      <c r="Y65" s="35"/>
      <c r="Z65" s="35"/>
      <c r="AA65" s="35"/>
    </row>
    <row r="67" ht="21.75" customHeight="1" spans="8:8">
      <c r="H67" s="54" t="s">
        <v>322</v>
      </c>
    </row>
  </sheetData>
  <mergeCells count="20">
    <mergeCell ref="B4:H4"/>
    <mergeCell ref="B5:H5"/>
    <mergeCell ref="C25:H25"/>
    <mergeCell ref="C26:G26"/>
    <mergeCell ref="C30:H30"/>
    <mergeCell ref="B7:B8"/>
    <mergeCell ref="B9:B10"/>
    <mergeCell ref="B11:B12"/>
    <mergeCell ref="B14:B16"/>
    <mergeCell ref="B17:B18"/>
    <mergeCell ref="B19:B21"/>
    <mergeCell ref="B22:B24"/>
    <mergeCell ref="H7:H8"/>
    <mergeCell ref="H9:H10"/>
    <mergeCell ref="H11:H12"/>
    <mergeCell ref="H14:H16"/>
    <mergeCell ref="H17:H18"/>
    <mergeCell ref="H19:H21"/>
    <mergeCell ref="H22:H24"/>
    <mergeCell ref="C6:G24"/>
  </mergeCells>
  <pageMargins left="0.7" right="0.7" top="0.75" bottom="0.75" header="0.3" footer="0.3"/>
  <headerFooter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M21" sqref="M21"/>
    </sheetView>
  </sheetViews>
  <sheetFormatPr defaultColWidth="8.25" defaultRowHeight="14.25"/>
  <sheetData/>
  <pageMargins left="0.7" right="0.7" top="0.75" bottom="0.75" header="0.3" footer="0.3"/>
  <headerFooter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21"/>
  <sheetViews>
    <sheetView workbookViewId="0">
      <selection activeCell="C17" sqref="C17"/>
    </sheetView>
  </sheetViews>
  <sheetFormatPr defaultColWidth="9" defaultRowHeight="14.25" outlineLevelCol="7"/>
  <cols>
    <col min="1" max="1" width="10.0833333333333" style="24" customWidth="1"/>
    <col min="2" max="2" width="49" style="24" customWidth="1"/>
    <col min="3" max="3" width="13.6666666666667" style="24" customWidth="1"/>
    <col min="4" max="4" width="13.25" style="24" customWidth="1"/>
    <col min="5" max="6" width="14.75" style="24" customWidth="1"/>
    <col min="7" max="7" width="13.6666666666667" style="24" customWidth="1"/>
    <col min="8" max="8" width="13.25" style="24" customWidth="1"/>
  </cols>
  <sheetData>
    <row r="1" ht="29.5" customHeight="1" spans="1:8">
      <c r="A1" s="25" t="s">
        <v>323</v>
      </c>
      <c r="B1" s="25"/>
      <c r="C1" s="25"/>
      <c r="D1" s="25"/>
      <c r="E1" s="25"/>
      <c r="F1" s="25"/>
      <c r="G1" s="25"/>
      <c r="H1" s="25"/>
    </row>
    <row r="2" ht="24.5" customHeight="1" spans="1:8">
      <c r="A2" s="26" t="s">
        <v>100</v>
      </c>
      <c r="B2" s="26" t="s">
        <v>324</v>
      </c>
      <c r="C2" s="26" t="s">
        <v>325</v>
      </c>
      <c r="D2" s="26" t="s">
        <v>326</v>
      </c>
      <c r="E2" s="26" t="s">
        <v>327</v>
      </c>
      <c r="F2" s="26" t="s">
        <v>328</v>
      </c>
      <c r="G2" s="26" t="s">
        <v>329</v>
      </c>
      <c r="H2" s="26" t="s">
        <v>106</v>
      </c>
    </row>
    <row r="3" ht="23" customHeight="1" spans="1:8">
      <c r="A3" s="27" t="s">
        <v>330</v>
      </c>
      <c r="B3" s="27" t="s">
        <v>331</v>
      </c>
      <c r="C3" s="28"/>
      <c r="D3" s="28"/>
      <c r="E3" s="28"/>
      <c r="F3" s="28"/>
      <c r="G3" s="28"/>
      <c r="H3" s="28"/>
    </row>
    <row r="4" ht="20" customHeight="1" spans="1:8">
      <c r="A4" s="29">
        <v>1</v>
      </c>
      <c r="B4" s="30" t="s">
        <v>332</v>
      </c>
      <c r="C4" s="31"/>
      <c r="D4" s="29"/>
      <c r="E4" s="26" t="s">
        <v>333</v>
      </c>
      <c r="F4" s="26"/>
      <c r="G4" s="29"/>
      <c r="H4" s="29"/>
    </row>
    <row r="5" ht="20" customHeight="1" spans="1:8">
      <c r="A5" s="29">
        <v>2</v>
      </c>
      <c r="B5" s="30" t="s">
        <v>334</v>
      </c>
      <c r="C5" s="31"/>
      <c r="D5" s="29"/>
      <c r="E5" s="26" t="s">
        <v>32</v>
      </c>
      <c r="F5" s="26"/>
      <c r="G5" s="29"/>
      <c r="H5" s="29"/>
    </row>
    <row r="6" ht="20" customHeight="1" spans="1:8">
      <c r="A6" s="29">
        <v>3</v>
      </c>
      <c r="B6" s="30" t="s">
        <v>335</v>
      </c>
      <c r="C6" s="31"/>
      <c r="D6" s="26"/>
      <c r="E6" s="26" t="s">
        <v>35</v>
      </c>
      <c r="F6" s="26"/>
      <c r="G6" s="29"/>
      <c r="H6" s="29"/>
    </row>
    <row r="7" ht="20" customHeight="1" spans="1:8">
      <c r="A7" s="29">
        <v>4</v>
      </c>
      <c r="B7" s="30" t="s">
        <v>336</v>
      </c>
      <c r="C7" s="31"/>
      <c r="D7" s="29"/>
      <c r="E7" s="26" t="s">
        <v>337</v>
      </c>
      <c r="F7" s="26"/>
      <c r="G7" s="29"/>
      <c r="H7" s="29"/>
    </row>
    <row r="8" ht="20" customHeight="1" spans="1:8">
      <c r="A8" s="29">
        <v>6</v>
      </c>
      <c r="B8" s="30"/>
      <c r="C8" s="29"/>
      <c r="D8" s="29"/>
      <c r="E8" s="26"/>
      <c r="F8" s="26"/>
      <c r="G8" s="29"/>
      <c r="H8" s="29"/>
    </row>
    <row r="9" ht="22.5" customHeight="1" spans="1:8">
      <c r="A9" s="27" t="s">
        <v>338</v>
      </c>
      <c r="B9" s="27" t="s">
        <v>339</v>
      </c>
      <c r="C9" s="28"/>
      <c r="D9" s="28"/>
      <c r="E9" s="28"/>
      <c r="F9" s="28"/>
      <c r="G9" s="28"/>
      <c r="H9" s="28"/>
    </row>
    <row r="10" ht="20" customHeight="1" spans="1:8">
      <c r="A10" s="29">
        <v>1</v>
      </c>
      <c r="B10" s="30" t="s">
        <v>340</v>
      </c>
      <c r="C10" s="31" t="s">
        <v>341</v>
      </c>
      <c r="D10" s="29"/>
      <c r="E10" s="26" t="s">
        <v>42</v>
      </c>
      <c r="F10" s="29"/>
      <c r="G10" s="29"/>
      <c r="H10" s="29"/>
    </row>
    <row r="11" ht="20" customHeight="1" spans="1:8">
      <c r="A11" s="29">
        <v>2</v>
      </c>
      <c r="B11" s="30" t="s">
        <v>342</v>
      </c>
      <c r="C11" s="31" t="s">
        <v>343</v>
      </c>
      <c r="D11" s="29"/>
      <c r="E11" s="26" t="s">
        <v>344</v>
      </c>
      <c r="F11" s="29"/>
      <c r="G11" s="29"/>
      <c r="H11" s="29"/>
    </row>
    <row r="12" ht="22.5" customHeight="1" spans="1:8">
      <c r="A12" s="29">
        <v>3</v>
      </c>
      <c r="B12" s="30" t="s">
        <v>345</v>
      </c>
      <c r="C12" s="31"/>
      <c r="D12" s="29"/>
      <c r="E12" s="26" t="s">
        <v>35</v>
      </c>
      <c r="F12" s="29"/>
      <c r="G12" s="29"/>
      <c r="H12" s="29"/>
    </row>
    <row r="13" ht="20" customHeight="1" spans="1:8">
      <c r="A13" s="29">
        <v>5</v>
      </c>
      <c r="B13" s="30" t="s">
        <v>346</v>
      </c>
      <c r="C13" s="31" t="s">
        <v>347</v>
      </c>
      <c r="D13" s="29"/>
      <c r="E13" s="32" t="s">
        <v>50</v>
      </c>
      <c r="F13" s="29"/>
      <c r="G13" s="29"/>
      <c r="H13" s="29"/>
    </row>
    <row r="14" ht="20" customHeight="1" spans="1:8">
      <c r="A14" s="29">
        <v>6</v>
      </c>
      <c r="B14" s="30"/>
      <c r="C14" s="31"/>
      <c r="D14" s="29"/>
      <c r="E14" s="26"/>
      <c r="F14" s="29"/>
      <c r="G14" s="29"/>
      <c r="H14" s="29"/>
    </row>
    <row r="15" ht="20" customHeight="1" spans="1:8">
      <c r="A15" s="29">
        <v>7</v>
      </c>
      <c r="B15" s="30"/>
      <c r="C15" s="31"/>
      <c r="D15" s="29"/>
      <c r="E15" s="26"/>
      <c r="F15" s="29"/>
      <c r="G15" s="29"/>
      <c r="H15" s="29"/>
    </row>
    <row r="16" ht="20" customHeight="1" spans="1:8">
      <c r="A16" s="29">
        <v>8</v>
      </c>
      <c r="B16" s="30"/>
      <c r="C16" s="31"/>
      <c r="D16" s="29"/>
      <c r="E16" s="26"/>
      <c r="F16" s="29"/>
      <c r="G16" s="29"/>
      <c r="H16" s="29"/>
    </row>
    <row r="17" ht="20" customHeight="1" spans="1:8">
      <c r="A17" s="29">
        <v>9</v>
      </c>
      <c r="B17" s="30"/>
      <c r="C17" s="31"/>
      <c r="D17" s="29"/>
      <c r="E17" s="26"/>
      <c r="F17" s="29"/>
      <c r="G17" s="29"/>
      <c r="H17" s="29"/>
    </row>
    <row r="18" ht="20" customHeight="1"/>
    <row r="19" ht="20" customHeight="1"/>
    <row r="20" ht="20" customHeight="1"/>
    <row r="21" ht="20" customHeight="1"/>
  </sheetData>
  <mergeCells count="1">
    <mergeCell ref="A1:H1"/>
  </mergeCells>
  <conditionalFormatting sqref="E13">
    <cfRule type="duplicateValues" dxfId="0" priority="1"/>
  </conditionalFormatting>
  <pageMargins left="0.7" right="0.7" top="0.75" bottom="0.75" header="0.3" footer="0.3"/>
  <headerFooter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XFD20"/>
  <sheetViews>
    <sheetView workbookViewId="0">
      <selection activeCell="D17" sqref="D17"/>
    </sheetView>
  </sheetViews>
  <sheetFormatPr defaultColWidth="8.325" defaultRowHeight="11.25"/>
  <cols>
    <col min="1" max="2" width="8.325" style="1"/>
    <col min="3" max="3" width="15.8416666666667" style="1" customWidth="1"/>
    <col min="4" max="4" width="50.6416666666667" style="1" customWidth="1"/>
    <col min="5" max="16381" width="8.325" style="1"/>
    <col min="16382" max="16384" width="8.325" style="5"/>
  </cols>
  <sheetData>
    <row r="1" s="1" customFormat="1" ht="36" customHeight="1" spans="1:4">
      <c r="A1" s="6" t="s">
        <v>348</v>
      </c>
      <c r="B1" s="6"/>
      <c r="C1" s="6"/>
      <c r="D1" s="6"/>
    </row>
    <row r="2" s="2" customFormat="1" ht="17" customHeight="1" spans="1:16384">
      <c r="A2" s="7"/>
      <c r="B2" s="7"/>
      <c r="C2" s="7"/>
      <c r="D2" s="8" t="s">
        <v>349</v>
      </c>
      <c r="XFB2" s="20"/>
      <c r="XFC2" s="20"/>
      <c r="XFD2" s="20"/>
    </row>
    <row r="3" s="3" customFormat="1" ht="30" customHeight="1" spans="1:16384">
      <c r="A3" s="9" t="s">
        <v>350</v>
      </c>
      <c r="B3" s="9" t="s">
        <v>351</v>
      </c>
      <c r="C3" s="9" t="s">
        <v>352</v>
      </c>
      <c r="D3" s="9" t="s">
        <v>353</v>
      </c>
      <c r="XFB3" s="21"/>
      <c r="XFC3" s="21"/>
      <c r="XFD3" s="21"/>
    </row>
    <row r="4" s="4" customFormat="1" ht="50" customHeight="1" spans="1:16384">
      <c r="A4" s="10" t="s">
        <v>71</v>
      </c>
      <c r="B4" s="10" t="s">
        <v>354</v>
      </c>
      <c r="C4" s="11" t="s">
        <v>355</v>
      </c>
      <c r="D4" s="12" t="s">
        <v>356</v>
      </c>
      <c r="XFB4" s="22"/>
      <c r="XFC4" s="22"/>
      <c r="XFD4" s="22"/>
    </row>
    <row r="5" s="4" customFormat="1" ht="56" customHeight="1" spans="1:16384">
      <c r="A5" s="13"/>
      <c r="B5" s="13"/>
      <c r="C5" s="11" t="s">
        <v>357</v>
      </c>
      <c r="D5" s="12" t="s">
        <v>358</v>
      </c>
      <c r="XFB5" s="23"/>
      <c r="XFC5" s="23"/>
      <c r="XFD5" s="23"/>
    </row>
    <row r="6" s="4" customFormat="1" ht="36" customHeight="1" spans="1:16384">
      <c r="A6" s="13"/>
      <c r="B6" s="13"/>
      <c r="C6" s="11"/>
      <c r="D6" s="14" t="s">
        <v>359</v>
      </c>
      <c r="XFB6" s="23"/>
      <c r="XFC6" s="23"/>
      <c r="XFD6" s="23"/>
    </row>
    <row r="7" s="4" customFormat="1" ht="48" customHeight="1" spans="1:16384">
      <c r="A7" s="13"/>
      <c r="B7" s="13"/>
      <c r="C7" s="10" t="s">
        <v>360</v>
      </c>
      <c r="D7" s="14" t="s">
        <v>361</v>
      </c>
      <c r="XFB7" s="23"/>
      <c r="XFC7" s="23"/>
      <c r="XFD7" s="23"/>
    </row>
    <row r="8" s="4" customFormat="1" ht="34" customHeight="1" spans="1:16384">
      <c r="A8" s="13"/>
      <c r="B8" s="13"/>
      <c r="C8" s="13"/>
      <c r="D8" s="14" t="s">
        <v>362</v>
      </c>
      <c r="XFB8" s="23"/>
      <c r="XFC8" s="23"/>
      <c r="XFD8" s="23"/>
    </row>
    <row r="9" s="4" customFormat="1" ht="100" customHeight="1" spans="1:16384">
      <c r="A9" s="13"/>
      <c r="B9" s="13"/>
      <c r="C9" s="15"/>
      <c r="D9" s="12" t="s">
        <v>363</v>
      </c>
      <c r="XFB9" s="23"/>
      <c r="XFC9" s="23"/>
      <c r="XFD9" s="23"/>
    </row>
    <row r="10" s="4" customFormat="1" ht="44" customHeight="1" spans="1:16384">
      <c r="A10" s="13"/>
      <c r="B10" s="13"/>
      <c r="C10" s="13" t="s">
        <v>364</v>
      </c>
      <c r="D10" s="12" t="s">
        <v>365</v>
      </c>
      <c r="XFB10" s="23"/>
      <c r="XFC10" s="23"/>
      <c r="XFD10" s="23"/>
    </row>
    <row r="11" s="4" customFormat="1" ht="43" customHeight="1" spans="1:16384">
      <c r="A11" s="13"/>
      <c r="B11" s="13"/>
      <c r="C11" s="13"/>
      <c r="D11" s="12" t="s">
        <v>366</v>
      </c>
      <c r="XFB11" s="23"/>
      <c r="XFC11" s="23"/>
      <c r="XFD11" s="23"/>
    </row>
    <row r="12" s="4" customFormat="1" ht="55" customHeight="1" spans="1:16384">
      <c r="A12" s="13"/>
      <c r="B12" s="13"/>
      <c r="C12" s="15"/>
      <c r="D12" s="12" t="s">
        <v>367</v>
      </c>
      <c r="XFB12" s="23"/>
      <c r="XFC12" s="23"/>
      <c r="XFD12" s="23"/>
    </row>
    <row r="13" s="4" customFormat="1" ht="45" customHeight="1" spans="1:16384">
      <c r="A13" s="13"/>
      <c r="B13" s="13"/>
      <c r="C13" s="16" t="s">
        <v>368</v>
      </c>
      <c r="D13" s="12" t="s">
        <v>369</v>
      </c>
      <c r="XFB13" s="23"/>
      <c r="XFC13" s="23"/>
      <c r="XFD13" s="23"/>
    </row>
    <row r="14" s="4" customFormat="1" ht="33" customHeight="1" spans="1:16384">
      <c r="A14" s="13"/>
      <c r="B14" s="13"/>
      <c r="C14" s="17"/>
      <c r="D14" s="12" t="s">
        <v>370</v>
      </c>
      <c r="XFB14" s="23"/>
      <c r="XFC14" s="23"/>
      <c r="XFD14" s="23"/>
    </row>
    <row r="15" s="4" customFormat="1" ht="33" customHeight="1" spans="1:16384">
      <c r="A15" s="13"/>
      <c r="B15" s="13"/>
      <c r="C15" s="17"/>
      <c r="D15" s="12" t="s">
        <v>371</v>
      </c>
      <c r="XFB15" s="23"/>
      <c r="XFC15" s="23"/>
      <c r="XFD15" s="23"/>
    </row>
    <row r="16" s="4" customFormat="1" ht="29" customHeight="1" spans="1:16384">
      <c r="A16" s="13"/>
      <c r="B16" s="13"/>
      <c r="C16" s="18"/>
      <c r="D16" s="12" t="s">
        <v>372</v>
      </c>
      <c r="XFB16" s="23"/>
      <c r="XFC16" s="23"/>
      <c r="XFD16" s="23"/>
    </row>
    <row r="17" s="4" customFormat="1" ht="47" customHeight="1" spans="1:16384">
      <c r="A17" s="13"/>
      <c r="B17" s="13"/>
      <c r="C17" s="19" t="s">
        <v>373</v>
      </c>
      <c r="D17" s="12" t="s">
        <v>374</v>
      </c>
      <c r="XFB17" s="23"/>
      <c r="XFC17" s="23"/>
      <c r="XFD17" s="23"/>
    </row>
    <row r="18" s="4" customFormat="1" ht="47" customHeight="1" spans="1:16384">
      <c r="A18" s="13"/>
      <c r="B18" s="13"/>
      <c r="C18" s="19" t="s">
        <v>375</v>
      </c>
      <c r="D18" s="12" t="s">
        <v>376</v>
      </c>
      <c r="XFB18" s="23"/>
      <c r="XFC18" s="23"/>
      <c r="XFD18" s="23"/>
    </row>
    <row r="19" s="4" customFormat="1" ht="43" customHeight="1" spans="1:16384">
      <c r="A19" s="13"/>
      <c r="B19" s="13"/>
      <c r="C19" s="19" t="s">
        <v>377</v>
      </c>
      <c r="D19" s="12" t="s">
        <v>378</v>
      </c>
      <c r="XFB19" s="23"/>
      <c r="XFC19" s="23"/>
      <c r="XFD19" s="23"/>
    </row>
    <row r="20" s="4" customFormat="1" ht="56" customHeight="1" spans="1:16384">
      <c r="A20" s="15"/>
      <c r="B20" s="15"/>
      <c r="C20" s="19" t="s">
        <v>379</v>
      </c>
      <c r="D20" s="12" t="s">
        <v>380</v>
      </c>
      <c r="XFB20" s="23"/>
      <c r="XFC20" s="23"/>
      <c r="XFD20" s="23"/>
    </row>
  </sheetData>
  <mergeCells count="7">
    <mergeCell ref="A1:D1"/>
    <mergeCell ref="A4:A20"/>
    <mergeCell ref="B4:B20"/>
    <mergeCell ref="C5:C6"/>
    <mergeCell ref="C7:C9"/>
    <mergeCell ref="C10:C12"/>
    <mergeCell ref="C13:C16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11</vt:i4>
      </vt:variant>
    </vt:vector>
  </HeadingPairs>
  <TitlesOfParts>
    <vt:vector size="11" baseType="lpstr">
      <vt:lpstr>组织图</vt:lpstr>
      <vt:lpstr>财务部组织图</vt:lpstr>
      <vt:lpstr>财务部岗位清单</vt:lpstr>
      <vt:lpstr>岗位说明书-财务经理（余丽）</vt:lpstr>
      <vt:lpstr>岗位说明书-往来会计（潘佳敏）</vt:lpstr>
      <vt:lpstr>岗位说明书-总账会计（王金平）</vt:lpstr>
      <vt:lpstr>岗位说明书-出纳（杨婷）</vt:lpstr>
      <vt:lpstr>工作流程样式</vt:lpstr>
      <vt:lpstr>流程图工作符号说明</vt:lpstr>
      <vt:lpstr>工作推进计划</vt:lpstr>
      <vt:lpstr>库管岗位职责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余丽</cp:lastModifiedBy>
  <dcterms:created xsi:type="dcterms:W3CDTF">2024-03-06T02:23:00Z</dcterms:created>
  <cp:lastPrinted>2024-03-16T08:05:00Z</cp:lastPrinted>
  <dcterms:modified xsi:type="dcterms:W3CDTF">2025-11-07T09:05:11Z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0909FC3110C344178052374AF17C278D_13</vt:lpwstr>
  </property>
  <property fmtid="{D5CDD505-2E9C-101B-9397-08002B2CF9AE}" pid="3" name="KSOProductBuildVer">
    <vt:lpwstr>2052-12.1.0.23125</vt:lpwstr>
  </property>
</Properties>
</file>