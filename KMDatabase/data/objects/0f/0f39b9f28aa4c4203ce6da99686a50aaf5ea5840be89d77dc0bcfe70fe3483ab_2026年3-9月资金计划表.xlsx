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总表" sheetId="2" r:id="rId1"/>
    <sheet name="25年实际" sheetId="1" r:id="rId2"/>
    <sheet name="待完工项目" sheetId="3" r:id="rId3"/>
  </sheets>
  <externalReferences>
    <externalReference r:id="rId4"/>
  </externalReferences>
  <definedNames>
    <definedName name="_xlnm._FilterDatabase" localSheetId="2" hidden="1">待完工项目!$A$1:$V$25</definedName>
    <definedName name="收支类别">[1]资金账户!$K$3:$W$3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武汉开明</author>
  </authors>
  <commentList>
    <comment ref="B5" authorId="0">
      <text>
        <r>
          <rPr>
            <b/>
            <sz val="9"/>
            <rFont val="宋体"/>
            <charset val="134"/>
          </rPr>
          <t>武汉开明:</t>
        </r>
        <r>
          <rPr>
            <sz val="9"/>
            <rFont val="宋体"/>
            <charset val="134"/>
          </rPr>
          <t xml:space="preserve">
山东日照250万合同回款率估50%
</t>
        </r>
      </text>
    </comment>
    <comment ref="B8" authorId="0">
      <text>
        <r>
          <rPr>
            <b/>
            <sz val="9"/>
            <rFont val="宋体"/>
            <charset val="134"/>
          </rPr>
          <t>武汉开明:</t>
        </r>
        <r>
          <rPr>
            <sz val="9"/>
            <rFont val="宋体"/>
            <charset val="134"/>
          </rPr>
          <t xml:space="preserve">
按1-2月份平均金额估</t>
        </r>
      </text>
    </comment>
    <comment ref="B13" authorId="0">
      <text>
        <r>
          <rPr>
            <b/>
            <sz val="9"/>
            <rFont val="宋体"/>
            <charset val="134"/>
          </rPr>
          <t>武汉开明:</t>
        </r>
        <r>
          <rPr>
            <sz val="9"/>
            <rFont val="宋体"/>
            <charset val="134"/>
          </rPr>
          <t xml:space="preserve">
以去年一整年平均值计算</t>
        </r>
      </text>
    </comment>
  </commentList>
</comments>
</file>

<file path=xl/comments2.xml><?xml version="1.0" encoding="utf-8"?>
<comments xmlns="http://schemas.openxmlformats.org/spreadsheetml/2006/main">
  <authors>
    <author>武汉开明</author>
  </authors>
  <commentList>
    <comment ref="D4" authorId="0">
      <text>
        <r>
          <rPr>
            <b/>
            <sz val="9"/>
            <rFont val="宋体"/>
            <charset val="134"/>
          </rPr>
          <t>武汉开明:</t>
        </r>
        <r>
          <rPr>
            <sz val="9"/>
            <rFont val="宋体"/>
            <charset val="134"/>
          </rPr>
          <t xml:space="preserve">
4月份收江西贵溪南方水泥有限公司19700元，扣贴现300元。</t>
        </r>
      </text>
    </comment>
    <comment ref="D10" authorId="0">
      <text>
        <r>
          <rPr>
            <b/>
            <sz val="9"/>
            <rFont val="宋体"/>
            <charset val="134"/>
          </rPr>
          <t>武汉开明:</t>
        </r>
        <r>
          <rPr>
            <sz val="9"/>
            <rFont val="宋体"/>
            <charset val="134"/>
          </rPr>
          <t xml:space="preserve">
武汉开明工行贷款300万相比2024年500万减少200万，新增交行贷款220万，湖北工行还贷380万。新增湖北中行200万</t>
        </r>
      </text>
    </comment>
    <comment ref="E10" authorId="0">
      <text>
        <r>
          <rPr>
            <b/>
            <sz val="9"/>
            <rFont val="宋体"/>
            <charset val="134"/>
          </rPr>
          <t>武汉开明:</t>
        </r>
        <r>
          <rPr>
            <sz val="9"/>
            <rFont val="宋体"/>
            <charset val="134"/>
          </rPr>
          <t xml:space="preserve">
新增武汉浦发贷款100万，湖北工行还贷70万</t>
        </r>
      </text>
    </comment>
    <comment ref="F10" authorId="0">
      <text>
        <r>
          <rPr>
            <b/>
            <sz val="9"/>
            <rFont val="宋体"/>
            <charset val="134"/>
          </rPr>
          <t>武汉开明:</t>
        </r>
        <r>
          <rPr>
            <sz val="9"/>
            <rFont val="宋体"/>
            <charset val="134"/>
          </rPr>
          <t xml:space="preserve">
新增湖北开明中行贷款300万，新增武汉微众100万</t>
        </r>
      </text>
    </comment>
    <comment ref="G10" authorId="0">
      <text>
        <r>
          <rPr>
            <b/>
            <sz val="9"/>
            <rFont val="宋体"/>
            <charset val="134"/>
          </rPr>
          <t>武汉开明:</t>
        </r>
        <r>
          <rPr>
            <sz val="9"/>
            <rFont val="宋体"/>
            <charset val="134"/>
          </rPr>
          <t xml:space="preserve">
新增武汉微众200万</t>
        </r>
      </text>
    </comment>
    <comment ref="H10" authorId="0">
      <text>
        <r>
          <rPr>
            <b/>
            <sz val="9"/>
            <rFont val="宋体"/>
            <charset val="134"/>
          </rPr>
          <t>武汉开明:</t>
        </r>
        <r>
          <rPr>
            <sz val="9"/>
            <rFont val="宋体"/>
            <charset val="134"/>
          </rPr>
          <t xml:space="preserve">
新增湖北微众180万，还武汉微众200万</t>
        </r>
      </text>
    </comment>
    <comment ref="I10" authorId="0">
      <text>
        <r>
          <rPr>
            <b/>
            <sz val="9"/>
            <rFont val="宋体"/>
            <charset val="134"/>
          </rPr>
          <t>武汉开明:</t>
        </r>
        <r>
          <rPr>
            <sz val="9"/>
            <rFont val="宋体"/>
            <charset val="134"/>
          </rPr>
          <t xml:space="preserve">
新增武汉微众290万，新增岚丹微众50万，农商行续贷贷款减少10万，浦发还贷600万，</t>
        </r>
      </text>
    </comment>
    <comment ref="H16" authorId="0">
      <text>
        <r>
          <rPr>
            <b/>
            <sz val="9"/>
            <rFont val="宋体"/>
            <charset val="134"/>
          </rPr>
          <t>武汉开明:</t>
        </r>
        <r>
          <rPr>
            <sz val="9"/>
            <rFont val="宋体"/>
            <charset val="134"/>
          </rPr>
          <t xml:space="preserve">
江西贵溪南方水泥有限公司2万元，贴现300元扣款，实收19700元</t>
        </r>
      </text>
    </comment>
    <comment ref="I16" authorId="0">
      <text>
        <r>
          <rPr>
            <b/>
            <sz val="9"/>
            <rFont val="宋体"/>
            <charset val="134"/>
          </rPr>
          <t>武汉开明:</t>
        </r>
        <r>
          <rPr>
            <sz val="9"/>
            <rFont val="宋体"/>
            <charset val="134"/>
          </rPr>
          <t xml:space="preserve">
农商行还贷800万，9月份批复790万 ，贷款减少10万，还浦发贷款本金600万
</t>
        </r>
      </text>
    </comment>
    <comment ref="H19" authorId="0">
      <text>
        <r>
          <rPr>
            <b/>
            <sz val="9"/>
            <rFont val="宋体"/>
            <charset val="134"/>
          </rPr>
          <t>武汉开明:</t>
        </r>
        <r>
          <rPr>
            <sz val="9"/>
            <rFont val="宋体"/>
            <charset val="134"/>
          </rPr>
          <t xml:space="preserve">
过桥费41000元</t>
        </r>
      </text>
    </comment>
    <comment ref="I19" authorId="0">
      <text>
        <r>
          <rPr>
            <b/>
            <sz val="9"/>
            <rFont val="宋体"/>
            <charset val="134"/>
          </rPr>
          <t>武汉开明:</t>
        </r>
        <r>
          <rPr>
            <sz val="9"/>
            <rFont val="宋体"/>
            <charset val="134"/>
          </rPr>
          <t xml:space="preserve">
居间费用8万元，过桥费用246000元</t>
        </r>
      </text>
    </comment>
  </commentList>
</comments>
</file>

<file path=xl/sharedStrings.xml><?xml version="1.0" encoding="utf-8"?>
<sst xmlns="http://schemas.openxmlformats.org/spreadsheetml/2006/main" count="335" uniqueCount="186">
  <si>
    <t>2026年3-9月份期资金使用计划表</t>
  </si>
  <si>
    <t>项目内容</t>
  </si>
  <si>
    <t>26年3-9月计划金额</t>
  </si>
  <si>
    <t>25年3-9月实际金额</t>
  </si>
  <si>
    <t>1、销售回款（2023及以前）</t>
  </si>
  <si>
    <t>2、销售回款（2024）</t>
  </si>
  <si>
    <t>3、销售回款（2025）</t>
  </si>
  <si>
    <t>4、销售回款（2026）</t>
  </si>
  <si>
    <t>5、保证金回款（2026)</t>
  </si>
  <si>
    <t>6、其他回款（借支、付款 退回等）</t>
  </si>
  <si>
    <t>7、旧物、利息及补贴收入</t>
  </si>
  <si>
    <t>8、贷款增加</t>
  </si>
  <si>
    <t>合计</t>
  </si>
  <si>
    <t>26年3-9月</t>
  </si>
  <si>
    <t>25年3-9月</t>
  </si>
  <si>
    <t>1、日常费用支出</t>
  </si>
  <si>
    <t>2、项目成本支出</t>
  </si>
  <si>
    <t>3、保证金支出</t>
  </si>
  <si>
    <t>4、还本金额及利息</t>
  </si>
  <si>
    <t>其中：当期本金</t>
  </si>
  <si>
    <t xml:space="preserve">    ：利息</t>
  </si>
  <si>
    <t>5、贷款居间及过桥费</t>
  </si>
  <si>
    <t>6、贴现</t>
  </si>
  <si>
    <t>7、其他支出（借支+押金）</t>
  </si>
  <si>
    <t>8、购置车辆</t>
  </si>
  <si>
    <t>9、其他（林总+小张总）</t>
  </si>
  <si>
    <t>业绩需求：</t>
  </si>
  <si>
    <t>2025年3-9月份</t>
  </si>
  <si>
    <t>资金总流入</t>
  </si>
  <si>
    <t>3月</t>
  </si>
  <si>
    <t>4月</t>
  </si>
  <si>
    <t>5月</t>
  </si>
  <si>
    <t>6月</t>
  </si>
  <si>
    <t>7月</t>
  </si>
  <si>
    <t>8月</t>
  </si>
  <si>
    <t>9月</t>
  </si>
  <si>
    <t>占比</t>
  </si>
  <si>
    <t>1、销售回款（2024）</t>
  </si>
  <si>
    <t>1、销售回款（2025）</t>
  </si>
  <si>
    <t>其中  ：2025年回2024年及以前合同款</t>
  </si>
  <si>
    <t>： 2025年回2025年合同款</t>
  </si>
  <si>
    <t>2、保证金回款（2025)</t>
  </si>
  <si>
    <t>3、其他回款（借支、付款 退回等）</t>
  </si>
  <si>
    <t>4、旧物、利息及补贴收入</t>
  </si>
  <si>
    <t>5、贷款增加</t>
  </si>
  <si>
    <t>资金总流出</t>
  </si>
  <si>
    <t>6、贴现（贴现总额14033207.31元）</t>
  </si>
  <si>
    <t>8、购置房产</t>
  </si>
  <si>
    <t>总流出的 其中：投资活动流出</t>
  </si>
  <si>
    <t>资金净流量</t>
  </si>
  <si>
    <t>合同名称</t>
  </si>
  <si>
    <t>合同编号</t>
  </si>
  <si>
    <t>创建时间</t>
  </si>
  <si>
    <t>施工状态</t>
  </si>
  <si>
    <t>甲方</t>
  </si>
  <si>
    <t>完工日期（产值上报）</t>
  </si>
  <si>
    <t>乙方</t>
  </si>
  <si>
    <t>含税合同额(元)</t>
  </si>
  <si>
    <t>税率(%)</t>
  </si>
  <si>
    <t>结算应收款(元)</t>
  </si>
  <si>
    <t>结算未开票</t>
  </si>
  <si>
    <t>累计开票</t>
  </si>
  <si>
    <t>开票应收款(元)</t>
  </si>
  <si>
    <t>项目收款金额</t>
  </si>
  <si>
    <t>质保金(元)</t>
  </si>
  <si>
    <t>保证金支付金额</t>
  </si>
  <si>
    <t>保证金退还金额</t>
  </si>
  <si>
    <t>待退保证金</t>
  </si>
  <si>
    <t>验收日期</t>
  </si>
  <si>
    <t>合同工 期</t>
  </si>
  <si>
    <t>预计完工日期</t>
  </si>
  <si>
    <t>3-9月份回款比例</t>
  </si>
  <si>
    <t>湘潭瑞通球团2026 年 2 月回转窑带托轮车削及调整项目26-009</t>
  </si>
  <si>
    <t>KMX2026227-009</t>
  </si>
  <si>
    <t>2026-02-27 15:17</t>
  </si>
  <si>
    <t>施工中</t>
  </si>
  <si>
    <t>湘潭瑞通球团有限公司</t>
  </si>
  <si>
    <t/>
  </si>
  <si>
    <t>武汉开明</t>
  </si>
  <si>
    <t>13%</t>
  </si>
  <si>
    <t>189天</t>
  </si>
  <si>
    <t>江西福丰新材料科技有限公司反应炉托轮、轮带维修及调整项目26-008</t>
  </si>
  <si>
    <t>KMX2026127-008</t>
  </si>
  <si>
    <t>2026-01-27 15:01</t>
  </si>
  <si>
    <t>江西福丰新材料科技有限公司</t>
  </si>
  <si>
    <t>武汉开明高新科技有限公司</t>
  </si>
  <si>
    <t>9%</t>
  </si>
  <si>
    <t>青海盐湖镁业纯碱厂6#压缩机委外维护保养项目26-007</t>
  </si>
  <si>
    <t>KMX2026122-007</t>
  </si>
  <si>
    <t>2026-01-22 10:56</t>
  </si>
  <si>
    <t>待入场</t>
  </si>
  <si>
    <t>青海盐湖镁业有限公司</t>
  </si>
  <si>
    <t>30天</t>
  </si>
  <si>
    <t>盐湖海纳甘河水泥厂波纹膨胀节、管道更换项目</t>
  </si>
  <si>
    <t>KMX2026122-006</t>
  </si>
  <si>
    <t>2026-01-22 09:41</t>
  </si>
  <si>
    <t>青海盐湖海纳化工有限公司</t>
  </si>
  <si>
    <t>20天</t>
  </si>
  <si>
    <t>设备更新改造-甘河水泥厂4600T/D回转窑维修合同</t>
  </si>
  <si>
    <t>KMX2026121-005</t>
  </si>
  <si>
    <t>2026-01-21 15:16</t>
  </si>
  <si>
    <t>天</t>
  </si>
  <si>
    <t>回转窑外委检测施工项目</t>
  </si>
  <si>
    <t>KMX2026120-004</t>
  </si>
  <si>
    <t>2026-01-20 09:10</t>
  </si>
  <si>
    <t>贵州凯里瑞安建材有限公司</t>
  </si>
  <si>
    <t>6%</t>
  </si>
  <si>
    <t>福建鼎信托轮轮带剥落掉块焊补维修</t>
  </si>
  <si>
    <t>KMX2026116-003</t>
  </si>
  <si>
    <t>2026-01-16 10:03</t>
  </si>
  <si>
    <t>福建鼎信实业有限公司</t>
  </si>
  <si>
    <t>25天</t>
  </si>
  <si>
    <t>青海盐湖镁业有限公司纯碱厂轻灰煅烧炉炉头滚圈更换委外维修合同25-083</t>
  </si>
  <si>
    <t>KMX20251217 -083</t>
  </si>
  <si>
    <t>2025-12-17 20:02</t>
  </si>
  <si>
    <t>维修周期为15天/台</t>
  </si>
  <si>
    <t>青海盐湖镁业纯碱厂细粉回用重新结晶提质项目设备安装</t>
  </si>
  <si>
    <t>KMX20251210 - 082</t>
  </si>
  <si>
    <t>2025-12-10 09:06</t>
  </si>
  <si>
    <t>山东圣川-武汉开明-回转窑检修合同25-081</t>
  </si>
  <si>
    <t>KMX2025125-081</t>
  </si>
  <si>
    <t>2025-12-05 15:55</t>
  </si>
  <si>
    <t>部分施工</t>
  </si>
  <si>
    <t>山东圣川新材料科技股份有限公司</t>
  </si>
  <si>
    <t>10天</t>
  </si>
  <si>
    <t>新疆宜化4#5#电石炉技改项目安装工程</t>
  </si>
  <si>
    <t>KMX2025121-080</t>
  </si>
  <si>
    <t>2025-12-01 09:04</t>
  </si>
  <si>
    <t>新疆宜化化工有限公司</t>
  </si>
  <si>
    <t>广安台泥回转窑调整及拖轮/轮带在线调整合同</t>
  </si>
  <si>
    <t>KMX20251119-079</t>
  </si>
  <si>
    <t>2025-11-19 16:02</t>
  </si>
  <si>
    <t>广安昌兴水泥有限公司</t>
  </si>
  <si>
    <t>江苏金峰水泥设备修复年度合同25-075</t>
  </si>
  <si>
    <t>KMX20251017-075</t>
  </si>
  <si>
    <t>2025-10-17 13:29</t>
  </si>
  <si>
    <t>江苏金峰水泥集团有限公司</t>
  </si>
  <si>
    <t>2025-10-27</t>
  </si>
  <si>
    <t>2025-12-20</t>
  </si>
  <si>
    <t>阜阳皖润电力有限公司磨煤机大齿轮安全防护隐患治理项目</t>
  </si>
  <si>
    <t>KMX2025101 - 073</t>
  </si>
  <si>
    <t>2025-10-01 09:00</t>
  </si>
  <si>
    <t>阜阳皖润电力有限公司</t>
  </si>
  <si>
    <t>2025-11-11</t>
  </si>
  <si>
    <t>池州恒鑫材料科技有限公司回转窑托轮、挡轮更换和维修项目</t>
  </si>
  <si>
    <t>KMX250721-061</t>
  </si>
  <si>
    <t>2025-07-21 17:15</t>
  </si>
  <si>
    <t>池州恒鑫材料科技有限公司</t>
  </si>
  <si>
    <t>2025-12-01</t>
  </si>
  <si>
    <t>2025-11-09</t>
  </si>
  <si>
    <t>芜湖新兴铸管炼铁部烧结混合机隐患治理项目</t>
  </si>
  <si>
    <t>KMX250715-059</t>
  </si>
  <si>
    <t>2025-07-15 16:35</t>
  </si>
  <si>
    <t>芜湖新兴铸管有限责任公司</t>
  </si>
  <si>
    <t>内蒙古宜化转化器总管更换安装项目</t>
  </si>
  <si>
    <t>KMX250711-057</t>
  </si>
  <si>
    <t>2025-07-11 09:03</t>
  </si>
  <si>
    <t>内蒙古宜化化工有限公司</t>
  </si>
  <si>
    <t>湖北岚丹建设工程有限公司</t>
  </si>
  <si>
    <t>青海发投碱业有限公司热电车间锅炉喷水减温器更换项目</t>
  </si>
  <si>
    <t>KMX250618-050</t>
  </si>
  <si>
    <t>2025-06-18 15:33</t>
  </si>
  <si>
    <t>青海发投碱业有限公司</t>
  </si>
  <si>
    <t>江苏唐电电力有限公司</t>
  </si>
  <si>
    <t>江西玉山万年青回转窑维修项目</t>
  </si>
  <si>
    <t>KMX250610-043</t>
  </si>
  <si>
    <t>2025-06-10 09:34</t>
  </si>
  <si>
    <t>江西玉山万年青水泥有限公司</t>
  </si>
  <si>
    <t>2025-08-29</t>
  </si>
  <si>
    <t>河南华润电力首阳山有限公司2024 年-2025 年磨煤机大齿轮修理项目</t>
  </si>
  <si>
    <t>KMX2503014-018-XF</t>
  </si>
  <si>
    <t>2025-03-14 15:40</t>
  </si>
  <si>
    <t>河南华润电力首阳山有限公司</t>
  </si>
  <si>
    <t>2025-03-28</t>
  </si>
  <si>
    <t>青海发投碱业有限公司重灰2#、3#、5#重灰炉炉头总成技改项目</t>
  </si>
  <si>
    <t>KMX250307-014-XF</t>
  </si>
  <si>
    <t>2025-03-07 17:28</t>
  </si>
  <si>
    <t>萍乡萍钢安源钢铁有限公司08m2烧结混合机、制粒机进出口轮带堆焊修复项目检修承包合同</t>
  </si>
  <si>
    <t>KMX250226-012-XF</t>
  </si>
  <si>
    <t>2025-02-26 11:28</t>
  </si>
  <si>
    <t>萍乡萍钢安源钢铁有限公司</t>
  </si>
  <si>
    <t>日照钢铁控股集团有限公司+长型材制造部压力容器更换项 目</t>
  </si>
  <si>
    <t>KMX250210-007-XF</t>
  </si>
  <si>
    <t>2025-02-10 10:05</t>
  </si>
  <si>
    <t>日照钢铁有限公司</t>
  </si>
  <si>
    <t>合计金额：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</si>
</sst>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1"/>
      <color theme="1"/>
      <name val="宋体"/>
      <charset val="134"/>
      <scheme val="minor"/>
    </font>
    <font>
      <sz val="11"/>
      <color indexed="8"/>
      <name val="宋体"/>
      <charset val="134"/>
      <scheme val="minor"/>
    </font>
    <font>
      <b/>
      <sz val="11"/>
      <color indexed="8"/>
      <name val="宋体"/>
      <charset val="134"/>
      <scheme val="minor"/>
    </font>
    <font>
      <b/>
      <sz val="14"/>
      <name val="Calibri"/>
      <charset val="134"/>
    </font>
    <font>
      <b/>
      <sz val="14"/>
      <name val="宋体"/>
      <charset val="134"/>
    </font>
    <font>
      <sz val="12"/>
      <name val="宋体"/>
      <charset val="134"/>
    </font>
    <font>
      <b/>
      <sz val="16"/>
      <name val="宋体"/>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9">
    <fill>
      <patternFill patternType="none"/>
    </fill>
    <fill>
      <patternFill patternType="gray125"/>
    </fill>
    <fill>
      <patternFill patternType="solid">
        <fgColor rgb="FF7EB5E3"/>
        <bgColor indexed="64"/>
      </patternFill>
    </fill>
    <fill>
      <patternFill patternType="solid">
        <fgColor rgb="FFFFFF00"/>
        <bgColor indexed="64"/>
      </patternFill>
    </fill>
    <fill>
      <patternFill patternType="solid">
        <fgColor rgb="FFFF0000"/>
        <bgColor indexed="64"/>
      </patternFill>
    </fill>
    <fill>
      <patternFill patternType="solid">
        <fgColor rgb="FF33CCCC"/>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rgb="FFD9E1F4"/>
        <bgColor indexed="64"/>
      </patternFill>
    </fill>
    <fill>
      <patternFill patternType="solid">
        <fgColor theme="6" tint="0.599993896298105"/>
        <bgColor indexed="64"/>
      </patternFill>
    </fill>
    <fill>
      <patternFill patternType="solid">
        <fgColor rgb="FF92D050"/>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8"/>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bottom/>
      <diagonal/>
    </border>
    <border>
      <left style="thin">
        <color auto="1"/>
      </left>
      <right style="thin">
        <color indexed="8"/>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3" borderId="1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3" applyNumberFormat="0" applyFill="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5" fillId="0" borderId="0" applyNumberFormat="0" applyFill="0" applyBorder="0" applyAlignment="0" applyProtection="0">
      <alignment vertical="center"/>
    </xf>
    <xf numFmtId="0" fontId="16" fillId="14" borderId="15" applyNumberFormat="0" applyAlignment="0" applyProtection="0">
      <alignment vertical="center"/>
    </xf>
    <xf numFmtId="0" fontId="17" fillId="15" borderId="16" applyNumberFormat="0" applyAlignment="0" applyProtection="0">
      <alignment vertical="center"/>
    </xf>
    <xf numFmtId="0" fontId="18" fillId="15" borderId="15" applyNumberFormat="0" applyAlignment="0" applyProtection="0">
      <alignment vertical="center"/>
    </xf>
    <xf numFmtId="0" fontId="19" fillId="16" borderId="17" applyNumberFormat="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12"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9"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11"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6" borderId="0" applyNumberFormat="0" applyBorder="0" applyAlignment="0" applyProtection="0">
      <alignment vertical="center"/>
    </xf>
    <xf numFmtId="0" fontId="26" fillId="7" borderId="0" applyNumberFormat="0" applyBorder="0" applyAlignment="0" applyProtection="0">
      <alignment vertical="center"/>
    </xf>
    <xf numFmtId="0" fontId="25" fillId="38" borderId="0" applyNumberFormat="0" applyBorder="0" applyAlignment="0" applyProtection="0">
      <alignment vertical="center"/>
    </xf>
  </cellStyleXfs>
  <cellXfs count="56">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2" borderId="1" xfId="0" applyFont="1" applyFill="1" applyBorder="1" applyAlignment="1">
      <alignment horizontal="left" vertical="center"/>
    </xf>
    <xf numFmtId="0" fontId="3" fillId="3" borderId="1" xfId="0" applyFont="1" applyFill="1" applyBorder="1" applyAlignment="1">
      <alignment horizontal="left" vertical="center"/>
    </xf>
    <xf numFmtId="0" fontId="4" fillId="4" borderId="1" xfId="0" applyFont="1" applyFill="1" applyBorder="1" applyAlignment="1">
      <alignment horizontal="left" vertical="center"/>
    </xf>
    <xf numFmtId="0" fontId="1" fillId="0" borderId="1" xfId="0" applyFont="1" applyFill="1" applyBorder="1" applyAlignment="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right" vertical="center" wrapText="1"/>
    </xf>
    <xf numFmtId="14" fontId="1" fillId="0" borderId="1" xfId="0" applyNumberFormat="1" applyFont="1" applyFill="1" applyBorder="1" applyAlignment="1">
      <alignment horizontal="left" vertical="center" wrapText="1"/>
    </xf>
    <xf numFmtId="0" fontId="2" fillId="0" borderId="1" xfId="0" applyFont="1" applyFill="1" applyBorder="1" applyAlignment="1">
      <alignment vertical="center"/>
    </xf>
    <xf numFmtId="0" fontId="5" fillId="0" borderId="0" xfId="0" applyFont="1" applyFill="1" applyBorder="1" applyAlignment="1">
      <alignment vertical="center"/>
    </xf>
    <xf numFmtId="0" fontId="5" fillId="5" borderId="0" xfId="0" applyFont="1" applyFill="1" applyBorder="1" applyAlignment="1">
      <alignment vertical="center"/>
    </xf>
    <xf numFmtId="0" fontId="6" fillId="0" borderId="0" xfId="0" applyFont="1" applyFill="1" applyBorder="1" applyAlignment="1">
      <alignment horizontal="center" vertical="center"/>
    </xf>
    <xf numFmtId="0" fontId="7" fillId="6" borderId="2" xfId="0" applyFont="1" applyFill="1" applyBorder="1" applyAlignment="1">
      <alignment horizontal="center" vertical="center"/>
    </xf>
    <xf numFmtId="0" fontId="7"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7" fillId="6" borderId="5" xfId="0" applyFont="1" applyFill="1" applyBorder="1" applyAlignment="1">
      <alignment horizontal="center" vertical="center"/>
    </xf>
    <xf numFmtId="0" fontId="5" fillId="8" borderId="1" xfId="0" applyFont="1" applyFill="1" applyBorder="1" applyAlignment="1">
      <alignment horizontal="left" vertical="center"/>
    </xf>
    <xf numFmtId="176" fontId="7" fillId="8" borderId="1" xfId="0" applyNumberFormat="1" applyFont="1" applyFill="1" applyBorder="1" applyAlignment="1">
      <alignment horizontal="center" vertical="center"/>
    </xf>
    <xf numFmtId="0" fontId="5" fillId="0" borderId="6" xfId="0" applyFont="1" applyFill="1" applyBorder="1" applyAlignment="1">
      <alignment vertical="center"/>
    </xf>
    <xf numFmtId="0" fontId="7" fillId="8" borderId="1" xfId="0" applyFont="1" applyFill="1" applyBorder="1" applyAlignment="1">
      <alignment horizontal="left" vertical="center"/>
    </xf>
    <xf numFmtId="176" fontId="5" fillId="8" borderId="1" xfId="0" applyNumberFormat="1" applyFont="1" applyFill="1" applyBorder="1" applyAlignment="1">
      <alignment vertical="center"/>
    </xf>
    <xf numFmtId="176" fontId="5" fillId="8" borderId="1" xfId="0" applyNumberFormat="1" applyFont="1" applyFill="1" applyBorder="1" applyAlignment="1">
      <alignment horizontal="center" vertical="center"/>
    </xf>
    <xf numFmtId="10" fontId="5" fillId="3" borderId="6" xfId="3" applyNumberFormat="1" applyFont="1" applyFill="1" applyBorder="1">
      <alignment vertical="center"/>
    </xf>
    <xf numFmtId="0" fontId="5" fillId="8" borderId="1" xfId="0" applyFont="1" applyFill="1" applyBorder="1" applyAlignment="1">
      <alignment horizontal="center" vertical="center"/>
    </xf>
    <xf numFmtId="176" fontId="5" fillId="0" borderId="6" xfId="0" applyNumberFormat="1" applyFont="1" applyFill="1" applyBorder="1" applyAlignment="1">
      <alignment vertical="center"/>
    </xf>
    <xf numFmtId="0" fontId="7" fillId="6" borderId="7" xfId="0" applyFont="1" applyFill="1" applyBorder="1" applyAlignment="1">
      <alignment horizontal="center" vertical="center"/>
    </xf>
    <xf numFmtId="0" fontId="7" fillId="8" borderId="1" xfId="0" applyFont="1" applyFill="1" applyBorder="1" applyAlignment="1">
      <alignment horizontal="center" vertical="center"/>
    </xf>
    <xf numFmtId="0" fontId="7" fillId="6" borderId="8" xfId="0" applyFont="1" applyFill="1" applyBorder="1" applyAlignment="1">
      <alignment horizontal="center" vertical="center"/>
    </xf>
    <xf numFmtId="0" fontId="7" fillId="7" borderId="1" xfId="0" applyFont="1" applyFill="1" applyBorder="1" applyAlignment="1">
      <alignment horizontal="center" vertical="center"/>
    </xf>
    <xf numFmtId="0" fontId="5" fillId="7" borderId="6" xfId="0" applyFont="1" applyFill="1" applyBorder="1" applyAlignment="1">
      <alignment vertical="center"/>
    </xf>
    <xf numFmtId="0" fontId="5" fillId="9" borderId="1" xfId="0" applyFont="1" applyFill="1" applyBorder="1" applyAlignment="1">
      <alignment vertical="center"/>
    </xf>
    <xf numFmtId="176" fontId="5" fillId="9" borderId="1" xfId="0" applyNumberFormat="1" applyFont="1" applyFill="1" applyBorder="1" applyAlignment="1">
      <alignment horizontal="center" vertical="center"/>
    </xf>
    <xf numFmtId="10" fontId="5" fillId="10" borderId="6" xfId="3" applyNumberFormat="1" applyFont="1" applyFill="1" applyBorder="1">
      <alignment vertical="center"/>
    </xf>
    <xf numFmtId="0" fontId="5" fillId="9" borderId="1" xfId="0" applyFont="1" applyFill="1" applyBorder="1" applyAlignment="1">
      <alignment horizontal="left" vertical="center"/>
    </xf>
    <xf numFmtId="0" fontId="7" fillId="9" borderId="1" xfId="0" applyFont="1" applyFill="1" applyBorder="1" applyAlignment="1">
      <alignment horizontal="center" vertical="center"/>
    </xf>
    <xf numFmtId="176" fontId="7" fillId="9"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5" fillId="6" borderId="9" xfId="0" applyFont="1" applyFill="1" applyBorder="1" applyAlignment="1">
      <alignment vertical="center"/>
    </xf>
    <xf numFmtId="0" fontId="5" fillId="11" borderId="1" xfId="0" applyFont="1" applyFill="1" applyBorder="1" applyAlignment="1">
      <alignment horizontal="center" vertical="center"/>
    </xf>
    <xf numFmtId="0" fontId="5" fillId="11" borderId="1" xfId="0" applyFont="1" applyFill="1" applyBorder="1" applyAlignment="1">
      <alignment vertical="center"/>
    </xf>
    <xf numFmtId="10" fontId="5" fillId="0" borderId="6" xfId="3" applyNumberFormat="1" applyFont="1" applyBorder="1">
      <alignment vertical="center"/>
    </xf>
    <xf numFmtId="0" fontId="7" fillId="6" borderId="10" xfId="0" applyFont="1" applyFill="1" applyBorder="1" applyAlignment="1">
      <alignment horizontal="center" vertical="center"/>
    </xf>
    <xf numFmtId="0" fontId="5" fillId="12" borderId="9" xfId="0" applyFont="1" applyFill="1" applyBorder="1" applyAlignment="1">
      <alignment vertical="center"/>
    </xf>
    <xf numFmtId="0" fontId="7" fillId="12" borderId="9" xfId="0" applyFont="1" applyFill="1" applyBorder="1" applyAlignment="1">
      <alignment vertical="center"/>
    </xf>
    <xf numFmtId="0" fontId="7" fillId="12" borderId="9" xfId="0" applyFont="1" applyFill="1" applyBorder="1" applyAlignment="1">
      <alignment horizontal="center" vertical="center"/>
    </xf>
    <xf numFmtId="0" fontId="5" fillId="0" borderId="11" xfId="0" applyFont="1" applyFill="1" applyBorder="1" applyAlignment="1">
      <alignment vertical="center"/>
    </xf>
    <xf numFmtId="0" fontId="7" fillId="0" borderId="0" xfId="0" applyFont="1" applyFill="1" applyBorder="1" applyAlignment="1">
      <alignment vertical="center"/>
    </xf>
    <xf numFmtId="0" fontId="5" fillId="0" borderId="0" xfId="0" applyFont="1" applyFill="1" applyBorder="1" applyAlignment="1">
      <alignment horizontal="center" vertical="center"/>
    </xf>
    <xf numFmtId="0" fontId="6" fillId="0" borderId="0" xfId="0" applyFont="1" applyFill="1" applyAlignment="1">
      <alignment horizontal="center" vertical="center"/>
    </xf>
    <xf numFmtId="0" fontId="7" fillId="7" borderId="7" xfId="0" applyFont="1" applyFill="1" applyBorder="1" applyAlignment="1">
      <alignment horizontal="center" vertical="center"/>
    </xf>
    <xf numFmtId="43" fontId="7" fillId="8" borderId="1" xfId="0" applyNumberFormat="1" applyFont="1" applyFill="1" applyBorder="1" applyAlignment="1">
      <alignment horizontal="center" vertical="center"/>
    </xf>
    <xf numFmtId="43" fontId="5" fillId="9" borderId="1" xfId="0" applyNumberFormat="1" applyFont="1" applyFill="1" applyBorder="1" applyAlignment="1">
      <alignment horizontal="center" vertical="center"/>
    </xf>
    <xf numFmtId="43" fontId="7" fillId="9" borderId="1" xfId="0" applyNumberFormat="1" applyFont="1" applyFill="1" applyBorder="1" applyAlignment="1">
      <alignment horizontal="center" vertical="center"/>
    </xf>
    <xf numFmtId="43" fontId="7" fillId="12" borderId="9"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27494;&#27721;&#24320;&#26126;\Desktop\&#36164;&#37329;\2025.1&#26376;-9&#26376;&#26085;&#35760;&#36134;2%20-%20&#21103;&#26412;(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档案"/>
      <sheetName val="资金账户"/>
      <sheetName val="日期汇总"/>
      <sheetName val="流水汇总"/>
      <sheetName val="单日流水"/>
      <sheetName val="9"/>
      <sheetName val="1"/>
      <sheetName val="2"/>
      <sheetName val="3"/>
      <sheetName val="4"/>
      <sheetName val="5"/>
      <sheetName val="6"/>
      <sheetName val="7"/>
      <sheetName val="8"/>
      <sheetName val="10"/>
      <sheetName val="11"/>
      <sheetName val="12"/>
      <sheetName val="16"/>
      <sheetName val="17"/>
      <sheetName val="18"/>
      <sheetName val="19"/>
      <sheetName val="20"/>
      <sheetName val="21"/>
      <sheetName val="25"/>
      <sheetName val="26"/>
      <sheetName val="27"/>
      <sheetName val="28"/>
      <sheetName val="29"/>
      <sheetName val="30"/>
      <sheetName val="31"/>
      <sheetName val="32"/>
      <sheetName val="36"/>
      <sheetName val="37"/>
      <sheetName val="38"/>
      <sheetName val="42"/>
      <sheetName val="43"/>
      <sheetName val="44"/>
      <sheetName val="45"/>
      <sheetName val="50"/>
      <sheetName val="51"/>
      <sheetName val="52"/>
      <sheetName val="53"/>
      <sheetName val="46"/>
      <sheetName val="47"/>
      <sheetName val="48"/>
      <sheetName val="49"/>
      <sheetName val="13"/>
      <sheetName val="14"/>
      <sheetName val="15"/>
      <sheetName val="22"/>
      <sheetName val="23"/>
      <sheetName val="24"/>
      <sheetName val="33"/>
      <sheetName val="34"/>
      <sheetName val="35"/>
      <sheetName val="39"/>
      <sheetName val="40"/>
      <sheetName val="41"/>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zoomScale="90" zoomScaleNormal="90" workbookViewId="0">
      <selection activeCell="G14" sqref="G14"/>
    </sheetView>
  </sheetViews>
  <sheetFormatPr defaultColWidth="9" defaultRowHeight="28" customHeight="1" outlineLevelCol="3"/>
  <cols>
    <col min="1" max="1" width="31.3833333333333" style="11" customWidth="1"/>
    <col min="2" max="2" width="20.375" style="11" customWidth="1"/>
    <col min="3" max="3" width="19.125" customWidth="1"/>
    <col min="4" max="4" width="17.2166666666667" customWidth="1"/>
    <col min="6" max="6" width="11.5"/>
  </cols>
  <sheetData>
    <row r="1" customHeight="1" spans="1:4">
      <c r="A1" s="50" t="s">
        <v>0</v>
      </c>
      <c r="B1" s="50"/>
      <c r="C1" s="50"/>
      <c r="D1" s="50"/>
    </row>
    <row r="2" customHeight="1" spans="1:4">
      <c r="A2" s="51" t="s">
        <v>1</v>
      </c>
      <c r="B2" s="51" t="s">
        <v>2</v>
      </c>
      <c r="C2" s="51" t="s">
        <v>3</v>
      </c>
      <c r="D2" s="51"/>
    </row>
    <row r="3" customHeight="1" spans="1:4">
      <c r="A3" s="18" t="s">
        <v>4</v>
      </c>
      <c r="B3" s="52">
        <f>8269029.42*10%+1437623.09*50%</f>
        <v>1545714.487</v>
      </c>
      <c r="C3" s="52">
        <v>0</v>
      </c>
      <c r="D3" s="19"/>
    </row>
    <row r="4" customHeight="1" spans="1:4">
      <c r="A4" s="18" t="s">
        <v>5</v>
      </c>
      <c r="B4" s="52">
        <f>3890399.61*60%</f>
        <v>2334239.766</v>
      </c>
      <c r="C4" s="52">
        <f>'25年实际'!J5</f>
        <v>11933112.31</v>
      </c>
      <c r="D4" s="22"/>
    </row>
    <row r="5" customHeight="1" spans="1:4">
      <c r="A5" s="18" t="s">
        <v>6</v>
      </c>
      <c r="B5" s="52">
        <f>2437266.86*0.7+3790321.13*0.5</f>
        <v>3601247.367</v>
      </c>
      <c r="C5" s="52">
        <f>'25年实际'!J6</f>
        <v>1603895.67</v>
      </c>
      <c r="D5" s="23"/>
    </row>
    <row r="6" customHeight="1" spans="1:4">
      <c r="A6" s="18" t="s">
        <v>7</v>
      </c>
      <c r="B6" s="52">
        <f>待完工项目!V25</f>
        <v>1333373.7904</v>
      </c>
      <c r="C6" s="52"/>
      <c r="D6" s="23"/>
    </row>
    <row r="7" customHeight="1" spans="1:4">
      <c r="A7" s="18" t="s">
        <v>8</v>
      </c>
      <c r="B7" s="52">
        <f>687751.86*10%</f>
        <v>68775.186</v>
      </c>
      <c r="C7" s="52">
        <f>'25年实际'!J7</f>
        <v>2190511.57</v>
      </c>
      <c r="D7" s="23"/>
    </row>
    <row r="8" customHeight="1" spans="1:4">
      <c r="A8" s="18" t="s">
        <v>9</v>
      </c>
      <c r="B8" s="52">
        <f>20000*6</f>
        <v>120000</v>
      </c>
      <c r="C8" s="52">
        <f>'25年实际'!J8</f>
        <v>319280.99</v>
      </c>
      <c r="D8" s="23"/>
    </row>
    <row r="9" customHeight="1" spans="1:4">
      <c r="A9" s="18" t="s">
        <v>10</v>
      </c>
      <c r="B9" s="52">
        <v>100000</v>
      </c>
      <c r="C9" s="52">
        <f>'25年实际'!J9</f>
        <v>689425.91</v>
      </c>
      <c r="D9" s="23"/>
    </row>
    <row r="10" customHeight="1" spans="1:4">
      <c r="A10" s="18" t="s">
        <v>11</v>
      </c>
      <c r="B10" s="52">
        <v>0</v>
      </c>
      <c r="C10" s="52">
        <f>'25年实际'!J10</f>
        <v>1800000</v>
      </c>
      <c r="D10" s="23"/>
    </row>
    <row r="11" customHeight="1" spans="1:4">
      <c r="A11" s="28" t="s">
        <v>12</v>
      </c>
      <c r="B11" s="52">
        <f>SUM(B3:B10)</f>
        <v>9103350.5964</v>
      </c>
      <c r="C11" s="52">
        <f>SUM(C3:C10)</f>
        <v>18536226.45</v>
      </c>
      <c r="D11" s="19"/>
    </row>
    <row r="12" customHeight="1" spans="1:4">
      <c r="A12" s="30" t="s">
        <v>1</v>
      </c>
      <c r="B12" s="51" t="s">
        <v>13</v>
      </c>
      <c r="C12" s="51" t="s">
        <v>14</v>
      </c>
      <c r="D12" s="30"/>
    </row>
    <row r="13" customHeight="1" spans="1:4">
      <c r="A13" s="32" t="s">
        <v>15</v>
      </c>
      <c r="B13" s="53">
        <f>450000*6</f>
        <v>2700000</v>
      </c>
      <c r="C13" s="53">
        <f>'25年实际'!J13</f>
        <v>2575502.68</v>
      </c>
      <c r="D13" s="33"/>
    </row>
    <row r="14" customHeight="1" spans="1:4">
      <c r="A14" s="32" t="s">
        <v>16</v>
      </c>
      <c r="B14" s="53">
        <f>8000000*0.8</f>
        <v>6400000</v>
      </c>
      <c r="C14" s="53">
        <f>'25年实际'!J14</f>
        <v>15713419.94</v>
      </c>
      <c r="D14" s="33"/>
    </row>
    <row r="15" customHeight="1" spans="1:4">
      <c r="A15" s="32" t="s">
        <v>17</v>
      </c>
      <c r="B15" s="53">
        <v>2000000</v>
      </c>
      <c r="C15" s="53">
        <f>'25年实际'!J15</f>
        <v>1868812.67</v>
      </c>
      <c r="D15" s="33"/>
    </row>
    <row r="16" customHeight="1" spans="1:4">
      <c r="A16" s="35" t="s">
        <v>18</v>
      </c>
      <c r="B16" s="53">
        <f>380000*2+330000*4</f>
        <v>2080000</v>
      </c>
      <c r="C16" s="53">
        <f>'25年实际'!J16</f>
        <v>2437950.02</v>
      </c>
      <c r="D16" s="33"/>
    </row>
    <row r="17" customHeight="1" spans="1:4">
      <c r="A17" s="35" t="s">
        <v>19</v>
      </c>
      <c r="B17" s="53">
        <f>B16*54%</f>
        <v>1123200</v>
      </c>
      <c r="C17" s="53">
        <f>'25年实际'!J17</f>
        <v>1186493.75</v>
      </c>
      <c r="D17" s="33"/>
    </row>
    <row r="18" customHeight="1" spans="1:4">
      <c r="A18" s="35" t="s">
        <v>20</v>
      </c>
      <c r="B18" s="53">
        <f>B16*46%</f>
        <v>956800</v>
      </c>
      <c r="C18" s="53">
        <f>'25年实际'!J18</f>
        <v>1251456.27133876</v>
      </c>
      <c r="D18" s="33"/>
    </row>
    <row r="19" customHeight="1" spans="1:4">
      <c r="A19" s="32" t="s">
        <v>21</v>
      </c>
      <c r="B19" s="53">
        <v>0</v>
      </c>
      <c r="C19" s="53">
        <f>'25年实际'!J19</f>
        <v>363000</v>
      </c>
      <c r="D19" s="33"/>
    </row>
    <row r="20" customHeight="1" spans="1:4">
      <c r="A20" s="32" t="s">
        <v>22</v>
      </c>
      <c r="B20" s="53">
        <f>20000*6</f>
        <v>120000</v>
      </c>
      <c r="C20" s="53">
        <f>'25年实际'!J20</f>
        <v>46457.83</v>
      </c>
      <c r="D20" s="33"/>
    </row>
    <row r="21" customHeight="1" spans="1:4">
      <c r="A21" s="32" t="s">
        <v>23</v>
      </c>
      <c r="B21" s="53">
        <v>200000</v>
      </c>
      <c r="C21" s="53">
        <f>'25年实际'!J21</f>
        <v>131450</v>
      </c>
      <c r="D21" s="33"/>
    </row>
    <row r="22" customHeight="1" spans="1:4">
      <c r="A22" s="32" t="s">
        <v>24</v>
      </c>
      <c r="B22" s="53">
        <v>33000</v>
      </c>
      <c r="C22" s="53">
        <f>'25年实际'!J22</f>
        <v>0</v>
      </c>
      <c r="D22" s="33"/>
    </row>
    <row r="23" customHeight="1" spans="1:4">
      <c r="A23" s="32" t="s">
        <v>25</v>
      </c>
      <c r="B23" s="53">
        <f>50000*6</f>
        <v>300000</v>
      </c>
      <c r="C23" s="53">
        <f>'25年实际'!J23</f>
        <v>794500</v>
      </c>
      <c r="D23" s="33"/>
    </row>
    <row r="24" customHeight="1" spans="1:4">
      <c r="A24" s="36" t="s">
        <v>12</v>
      </c>
      <c r="B24" s="54">
        <f>SUM(B13:B16)+B19+B20+B21+B23+B22</f>
        <v>13833000</v>
      </c>
      <c r="C24" s="54">
        <f>SUM(C13:C16)+C19+C20+C21+C23+C22</f>
        <v>23931093.14</v>
      </c>
      <c r="D24" s="37"/>
    </row>
    <row r="25" customHeight="1" spans="1:4">
      <c r="A25" s="44"/>
      <c r="B25" s="55">
        <f>B11-B24</f>
        <v>-4729649.4036</v>
      </c>
      <c r="C25" s="55">
        <f>C11-C24</f>
        <v>-5394866.69</v>
      </c>
      <c r="D25" s="45"/>
    </row>
    <row r="26" customHeight="1" spans="1:4">
      <c r="A26" s="45" t="s">
        <v>26</v>
      </c>
      <c r="B26" s="55">
        <f>-B25/0.2/0.8</f>
        <v>29560308.7725</v>
      </c>
      <c r="C26" s="45"/>
      <c r="D26" s="45"/>
    </row>
  </sheetData>
  <mergeCells count="1">
    <mergeCell ref="A1:D1"/>
  </mergeCell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3"/>
  <sheetViews>
    <sheetView zoomScale="85" zoomScaleNormal="85" topLeftCell="A10" workbookViewId="0">
      <selection activeCell="M13" sqref="M13"/>
    </sheetView>
  </sheetViews>
  <sheetFormatPr defaultColWidth="9" defaultRowHeight="14.25"/>
  <cols>
    <col min="1" max="1" width="29.9666666666667" style="11" customWidth="1"/>
    <col min="2" max="2" width="37.5" style="11" customWidth="1"/>
    <col min="3" max="3" width="13.75" style="11" customWidth="1"/>
    <col min="4" max="7" width="14.875" style="11"/>
    <col min="8" max="8" width="16" style="11"/>
    <col min="9" max="9" width="17.125" style="11"/>
    <col min="10" max="10" width="19.625" style="11" customWidth="1"/>
    <col min="11" max="11" width="10" style="11" customWidth="1"/>
    <col min="12" max="13" width="12.625" style="11"/>
    <col min="14" max="14" width="17.125" style="11" customWidth="1"/>
    <col min="15" max="15" width="14.875" style="11" customWidth="1"/>
    <col min="16" max="16379" width="9" style="11"/>
  </cols>
  <sheetData>
    <row r="1" s="11" customFormat="1" ht="56" customHeight="1" spans="1:11">
      <c r="A1" s="13" t="s">
        <v>27</v>
      </c>
      <c r="B1" s="13"/>
      <c r="C1" s="13"/>
      <c r="D1" s="13"/>
      <c r="E1" s="13"/>
      <c r="F1" s="13"/>
      <c r="G1" s="13"/>
      <c r="H1" s="13"/>
      <c r="I1" s="13"/>
    </row>
    <row r="2" s="11" customFormat="1" ht="27" customHeight="1" spans="1:11">
      <c r="A2" s="14" t="s">
        <v>28</v>
      </c>
      <c r="B2" s="15" t="s">
        <v>1</v>
      </c>
      <c r="C2" s="15" t="s">
        <v>29</v>
      </c>
      <c r="D2" s="15" t="s">
        <v>30</v>
      </c>
      <c r="E2" s="15" t="s">
        <v>31</v>
      </c>
      <c r="F2" s="15" t="s">
        <v>32</v>
      </c>
      <c r="G2" s="15" t="s">
        <v>33</v>
      </c>
      <c r="H2" s="15" t="s">
        <v>34</v>
      </c>
      <c r="I2" s="15" t="s">
        <v>35</v>
      </c>
      <c r="J2" s="15" t="s">
        <v>12</v>
      </c>
      <c r="K2" s="16" t="s">
        <v>36</v>
      </c>
    </row>
    <row r="3" s="11" customFormat="1" ht="27" customHeight="1" spans="1:11">
      <c r="A3" s="17"/>
      <c r="B3" s="18" t="s">
        <v>37</v>
      </c>
      <c r="C3" s="19">
        <v>1386467.1</v>
      </c>
      <c r="D3" s="19">
        <v>999601.37</v>
      </c>
      <c r="E3" s="19">
        <v>981783.12</v>
      </c>
      <c r="F3" s="19">
        <v>1906978.77</v>
      </c>
      <c r="G3" s="19">
        <v>3850709.65</v>
      </c>
      <c r="H3" s="19">
        <v>4551712.62</v>
      </c>
      <c r="I3" s="19">
        <v>3749078.78</v>
      </c>
      <c r="J3" s="19">
        <f t="shared" ref="J3:J10" si="0">SUM(C3:I3)</f>
        <v>17426331.41</v>
      </c>
      <c r="K3" s="20"/>
    </row>
    <row r="4" s="11" customFormat="1" ht="27" customHeight="1" spans="1:11">
      <c r="A4" s="17"/>
      <c r="B4" s="21" t="s">
        <v>38</v>
      </c>
      <c r="C4" s="22">
        <v>2216588.15</v>
      </c>
      <c r="D4" s="23">
        <v>2606168.1</v>
      </c>
      <c r="E4" s="23">
        <v>2446647.69</v>
      </c>
      <c r="F4" s="23">
        <v>1011623.46</v>
      </c>
      <c r="G4" s="23">
        <v>1950708.49</v>
      </c>
      <c r="H4" s="22">
        <v>1287899.39</v>
      </c>
      <c r="I4" s="22">
        <v>2017372.7</v>
      </c>
      <c r="J4" s="23">
        <f t="shared" si="0"/>
        <v>13537007.98</v>
      </c>
      <c r="K4" s="24">
        <f>J4/J11</f>
        <v>0.730300097299469</v>
      </c>
    </row>
    <row r="5" s="11" customFormat="1" ht="27" customHeight="1" spans="1:11">
      <c r="A5" s="17"/>
      <c r="B5" s="25" t="s">
        <v>39</v>
      </c>
      <c r="C5" s="23">
        <f t="shared" ref="C5:L5" si="1">C4-C6</f>
        <v>2173588.15</v>
      </c>
      <c r="D5" s="23">
        <f t="shared" si="1"/>
        <v>2248784.1</v>
      </c>
      <c r="E5" s="23">
        <f t="shared" si="1"/>
        <v>2446647.69</v>
      </c>
      <c r="F5" s="23">
        <f t="shared" si="1"/>
        <v>850473.46</v>
      </c>
      <c r="G5" s="23">
        <f t="shared" si="1"/>
        <v>1810108.49</v>
      </c>
      <c r="H5" s="23">
        <f t="shared" si="1"/>
        <v>996799.39</v>
      </c>
      <c r="I5" s="23">
        <f t="shared" si="1"/>
        <v>1406711.03</v>
      </c>
      <c r="J5" s="23">
        <f t="shared" si="0"/>
        <v>11933112.31</v>
      </c>
      <c r="K5" s="26">
        <f>J5/J4</f>
        <v>0.881517712601659</v>
      </c>
    </row>
    <row r="6" s="11" customFormat="1" ht="27" customHeight="1" spans="1:11">
      <c r="A6" s="17"/>
      <c r="B6" s="25" t="s">
        <v>40</v>
      </c>
      <c r="C6" s="23">
        <v>43000</v>
      </c>
      <c r="D6" s="23">
        <v>357384</v>
      </c>
      <c r="E6" s="22">
        <v>0</v>
      </c>
      <c r="F6" s="23">
        <v>161150</v>
      </c>
      <c r="G6" s="23">
        <v>140600</v>
      </c>
      <c r="H6" s="23">
        <v>291100</v>
      </c>
      <c r="I6" s="23">
        <v>610661.67</v>
      </c>
      <c r="J6" s="23">
        <f t="shared" si="0"/>
        <v>1603895.67</v>
      </c>
      <c r="K6" s="26">
        <f>J6/J4</f>
        <v>0.118482287398341</v>
      </c>
    </row>
    <row r="7" s="11" customFormat="1" ht="27" customHeight="1" spans="1:11">
      <c r="A7" s="17"/>
      <c r="B7" s="18" t="s">
        <v>41</v>
      </c>
      <c r="C7" s="23">
        <v>163700</v>
      </c>
      <c r="D7" s="23">
        <v>92000.27</v>
      </c>
      <c r="E7" s="23">
        <v>146400</v>
      </c>
      <c r="F7" s="23">
        <v>1039498</v>
      </c>
      <c r="G7" s="23">
        <v>316590</v>
      </c>
      <c r="H7" s="23">
        <v>135000</v>
      </c>
      <c r="I7" s="23">
        <v>297323.3</v>
      </c>
      <c r="J7" s="23">
        <f t="shared" si="0"/>
        <v>2190511.57</v>
      </c>
      <c r="K7" s="24">
        <f>J7/J11</f>
        <v>0.118174622861278</v>
      </c>
    </row>
    <row r="8" s="11" customFormat="1" ht="27" customHeight="1" spans="1:11">
      <c r="A8" s="17"/>
      <c r="B8" s="18" t="s">
        <v>42</v>
      </c>
      <c r="C8" s="23">
        <v>18268.91</v>
      </c>
      <c r="D8" s="23">
        <v>99160.61</v>
      </c>
      <c r="E8" s="23">
        <v>102093.74</v>
      </c>
      <c r="F8" s="23">
        <v>22769.51</v>
      </c>
      <c r="G8" s="23">
        <v>43145.04</v>
      </c>
      <c r="H8" s="23">
        <v>3566.26</v>
      </c>
      <c r="I8" s="23">
        <v>30276.92</v>
      </c>
      <c r="J8" s="23">
        <f t="shared" si="0"/>
        <v>319280.99</v>
      </c>
      <c r="K8" s="24">
        <f>J8/J11</f>
        <v>0.0172247027118079</v>
      </c>
    </row>
    <row r="9" s="11" customFormat="1" ht="27" customHeight="1" spans="1:11">
      <c r="A9" s="17"/>
      <c r="B9" s="18" t="s">
        <v>43</v>
      </c>
      <c r="C9" s="23">
        <v>69424.54</v>
      </c>
      <c r="D9" s="23">
        <v>75166.7</v>
      </c>
      <c r="E9" s="23">
        <v>76644.92</v>
      </c>
      <c r="F9" s="23">
        <v>79364.92</v>
      </c>
      <c r="G9" s="23">
        <v>10000</v>
      </c>
      <c r="H9" s="23">
        <v>132266</v>
      </c>
      <c r="I9" s="23">
        <v>246558.83</v>
      </c>
      <c r="J9" s="23">
        <f t="shared" si="0"/>
        <v>689425.91</v>
      </c>
      <c r="K9" s="24">
        <f>J9/J11</f>
        <v>0.0371934337260969</v>
      </c>
    </row>
    <row r="10" s="11" customFormat="1" ht="27" customHeight="1" spans="1:11">
      <c r="A10" s="17"/>
      <c r="B10" s="18" t="s">
        <v>44</v>
      </c>
      <c r="C10" s="23">
        <v>0</v>
      </c>
      <c r="D10" s="23">
        <f>-2000000+2200000-3800000+2000000</f>
        <v>-1600000</v>
      </c>
      <c r="E10" s="23">
        <f>1000000-700000</f>
        <v>300000</v>
      </c>
      <c r="F10" s="23">
        <f>3000000+1000000</f>
        <v>4000000</v>
      </c>
      <c r="G10" s="23">
        <v>2000000</v>
      </c>
      <c r="H10" s="23">
        <f>1800000-2000000</f>
        <v>-200000</v>
      </c>
      <c r="I10" s="23">
        <f>2900000-8000000+7900000-6000000+500000</f>
        <v>-2700000</v>
      </c>
      <c r="J10" s="23">
        <f t="shared" si="0"/>
        <v>1800000</v>
      </c>
      <c r="K10" s="24">
        <f>J10/J11</f>
        <v>0.0971071434013475</v>
      </c>
    </row>
    <row r="11" s="11" customFormat="1" ht="36" customHeight="1" spans="1:11">
      <c r="A11" s="27"/>
      <c r="B11" s="28" t="s">
        <v>12</v>
      </c>
      <c r="C11" s="19">
        <f t="shared" ref="C11:M11" si="2">C4+SUM(C7:C10)</f>
        <v>2467981.6</v>
      </c>
      <c r="D11" s="19">
        <f t="shared" si="2"/>
        <v>1272495.68</v>
      </c>
      <c r="E11" s="19">
        <f t="shared" si="2"/>
        <v>3071786.35</v>
      </c>
      <c r="F11" s="19">
        <f t="shared" si="2"/>
        <v>6153255.89</v>
      </c>
      <c r="G11" s="19">
        <f t="shared" si="2"/>
        <v>4320443.53</v>
      </c>
      <c r="H11" s="19">
        <f t="shared" si="2"/>
        <v>1358731.65</v>
      </c>
      <c r="I11" s="19">
        <f t="shared" si="2"/>
        <v>-108468.25</v>
      </c>
      <c r="J11" s="19">
        <f t="shared" si="2"/>
        <v>18536226.45</v>
      </c>
      <c r="K11" s="20">
        <v>1</v>
      </c>
    </row>
    <row r="12" s="11" customFormat="1" ht="29" customHeight="1" spans="1:11">
      <c r="A12" s="29" t="s">
        <v>45</v>
      </c>
      <c r="B12" s="30" t="s">
        <v>1</v>
      </c>
      <c r="C12" s="30" t="s">
        <v>29</v>
      </c>
      <c r="D12" s="30" t="s">
        <v>30</v>
      </c>
      <c r="E12" s="30" t="s">
        <v>31</v>
      </c>
      <c r="F12" s="30" t="s">
        <v>32</v>
      </c>
      <c r="G12" s="30" t="s">
        <v>33</v>
      </c>
      <c r="H12" s="30" t="s">
        <v>34</v>
      </c>
      <c r="I12" s="30" t="s">
        <v>35</v>
      </c>
      <c r="J12" s="30" t="s">
        <v>12</v>
      </c>
      <c r="K12" s="31"/>
    </row>
    <row r="13" s="11" customFormat="1" ht="29" customHeight="1" spans="1:11">
      <c r="A13" s="17"/>
      <c r="B13" s="32" t="s">
        <v>15</v>
      </c>
      <c r="C13" s="33">
        <v>106028.95</v>
      </c>
      <c r="D13" s="33">
        <v>872381.25</v>
      </c>
      <c r="E13" s="33">
        <v>83147.73</v>
      </c>
      <c r="F13" s="33">
        <v>673960.85</v>
      </c>
      <c r="G13" s="33">
        <v>77660.31</v>
      </c>
      <c r="H13" s="33">
        <v>403317.69</v>
      </c>
      <c r="I13" s="33">
        <v>359005.9</v>
      </c>
      <c r="J13" s="33">
        <f>SUM(C13:I13)</f>
        <v>2575502.68</v>
      </c>
      <c r="K13" s="34">
        <f>J13/J24</f>
        <v>0.107621606122753</v>
      </c>
    </row>
    <row r="14" s="11" customFormat="1" ht="29" customHeight="1" spans="1:11">
      <c r="A14" s="17"/>
      <c r="B14" s="32" t="s">
        <v>16</v>
      </c>
      <c r="C14" s="33">
        <v>1129950.14</v>
      </c>
      <c r="D14" s="33">
        <v>1861772.72</v>
      </c>
      <c r="E14" s="33">
        <v>2525944.83</v>
      </c>
      <c r="F14" s="33">
        <v>2132243.7</v>
      </c>
      <c r="G14" s="33">
        <v>4138552.22</v>
      </c>
      <c r="H14" s="33">
        <v>2232474.56</v>
      </c>
      <c r="I14" s="33">
        <v>1692481.77</v>
      </c>
      <c r="J14" s="33">
        <f t="shared" ref="J14:J23" si="3">SUM(C14:I14)</f>
        <v>15713419.94</v>
      </c>
      <c r="K14" s="34">
        <f>J14/J24</f>
        <v>0.656611039373524</v>
      </c>
    </row>
    <row r="15" s="11" customFormat="1" ht="29" customHeight="1" spans="1:11">
      <c r="A15" s="17"/>
      <c r="B15" s="32" t="s">
        <v>17</v>
      </c>
      <c r="C15" s="33">
        <v>397075</v>
      </c>
      <c r="D15" s="33">
        <v>485960</v>
      </c>
      <c r="E15" s="33">
        <v>254900</v>
      </c>
      <c r="F15" s="33">
        <v>291000</v>
      </c>
      <c r="G15" s="33">
        <v>255000</v>
      </c>
      <c r="H15" s="33">
        <v>149877.67</v>
      </c>
      <c r="I15" s="33">
        <v>35000</v>
      </c>
      <c r="J15" s="33">
        <f t="shared" si="3"/>
        <v>1868812.67</v>
      </c>
      <c r="K15" s="34">
        <f>J15/J24</f>
        <v>0.0780914043110026</v>
      </c>
    </row>
    <row r="16" s="11" customFormat="1" ht="29" customHeight="1" spans="1:11">
      <c r="A16" s="17"/>
      <c r="B16" s="35" t="s">
        <v>18</v>
      </c>
      <c r="C16" s="33">
        <v>360666.7</v>
      </c>
      <c r="D16" s="33">
        <v>310789.24</v>
      </c>
      <c r="E16" s="33">
        <v>300132.98</v>
      </c>
      <c r="F16" s="33">
        <v>372570.63</v>
      </c>
      <c r="G16" s="33">
        <v>310950.06</v>
      </c>
      <c r="H16" s="33">
        <v>334485.34</v>
      </c>
      <c r="I16" s="33">
        <v>448355.07</v>
      </c>
      <c r="J16" s="33">
        <f t="shared" si="3"/>
        <v>2437950.02</v>
      </c>
      <c r="K16" s="34">
        <f>J16/J24</f>
        <v>0.101873742487971</v>
      </c>
    </row>
    <row r="17" s="11" customFormat="1" ht="29" customHeight="1" spans="1:11">
      <c r="A17" s="17"/>
      <c r="B17" s="35" t="s">
        <v>19</v>
      </c>
      <c r="C17" s="33">
        <v>161596.79</v>
      </c>
      <c r="D17" s="33">
        <v>161808.78</v>
      </c>
      <c r="E17" s="33">
        <v>162036.1</v>
      </c>
      <c r="F17" s="33">
        <v>162278.86</v>
      </c>
      <c r="G17" s="33">
        <v>162537.07</v>
      </c>
      <c r="H17" s="33">
        <v>162810.83</v>
      </c>
      <c r="I17" s="33">
        <v>213425.32</v>
      </c>
      <c r="J17" s="33">
        <f t="shared" si="3"/>
        <v>1186493.75</v>
      </c>
      <c r="K17" s="26">
        <f>J17/J16</f>
        <v>0.486676814646102</v>
      </c>
    </row>
    <row r="18" s="11" customFormat="1" ht="29" customHeight="1" spans="1:11">
      <c r="A18" s="17"/>
      <c r="B18" s="35" t="s">
        <v>20</v>
      </c>
      <c r="C18" s="33">
        <v>199069.91</v>
      </c>
      <c r="D18" s="33">
        <v>148980.46</v>
      </c>
      <c r="E18" s="33">
        <v>138096.88</v>
      </c>
      <c r="F18" s="33">
        <v>210291.771058326</v>
      </c>
      <c r="G18" s="33">
        <v>148412.99</v>
      </c>
      <c r="H18" s="33">
        <v>171674.51</v>
      </c>
      <c r="I18" s="33">
        <v>234929.750280431</v>
      </c>
      <c r="J18" s="33">
        <f t="shared" si="3"/>
        <v>1251456.27133876</v>
      </c>
      <c r="K18" s="26">
        <f>J18/J16</f>
        <v>0.513323185903031</v>
      </c>
    </row>
    <row r="19" s="11" customFormat="1" ht="29" customHeight="1" spans="1:11">
      <c r="A19" s="17"/>
      <c r="B19" s="32" t="s">
        <v>21</v>
      </c>
      <c r="C19" s="33">
        <v>0</v>
      </c>
      <c r="D19" s="33">
        <v>0</v>
      </c>
      <c r="E19" s="33">
        <v>0</v>
      </c>
      <c r="F19" s="33">
        <v>0</v>
      </c>
      <c r="G19" s="33">
        <v>0</v>
      </c>
      <c r="H19" s="33">
        <v>41000</v>
      </c>
      <c r="I19" s="33">
        <v>322000</v>
      </c>
      <c r="J19" s="33">
        <f t="shared" si="3"/>
        <v>363000</v>
      </c>
      <c r="K19" s="34">
        <f>J19/J24</f>
        <v>0.0151685507166933</v>
      </c>
    </row>
    <row r="20" s="11" customFormat="1" ht="29" customHeight="1" spans="1:11">
      <c r="A20" s="17"/>
      <c r="B20" s="32" t="s">
        <v>46</v>
      </c>
      <c r="C20" s="33">
        <v>0</v>
      </c>
      <c r="D20" s="33">
        <v>11160</v>
      </c>
      <c r="E20" s="33">
        <v>10609.83</v>
      </c>
      <c r="F20" s="33">
        <v>0</v>
      </c>
      <c r="G20" s="33">
        <v>9268</v>
      </c>
      <c r="H20" s="33">
        <v>4160</v>
      </c>
      <c r="I20" s="33">
        <v>11260</v>
      </c>
      <c r="J20" s="33">
        <f t="shared" si="3"/>
        <v>46457.83</v>
      </c>
      <c r="K20" s="34">
        <f>J20/J24</f>
        <v>0.00194131666816119</v>
      </c>
    </row>
    <row r="21" s="11" customFormat="1" ht="29" customHeight="1" spans="1:11">
      <c r="A21" s="17"/>
      <c r="B21" s="32" t="s">
        <v>23</v>
      </c>
      <c r="C21" s="33">
        <v>0</v>
      </c>
      <c r="D21" s="33">
        <v>6000</v>
      </c>
      <c r="E21" s="33">
        <v>91750</v>
      </c>
      <c r="F21" s="33">
        <v>7000</v>
      </c>
      <c r="G21" s="33">
        <v>16700</v>
      </c>
      <c r="H21" s="33">
        <v>10000</v>
      </c>
      <c r="I21" s="33">
        <v>0</v>
      </c>
      <c r="J21" s="33">
        <f t="shared" si="3"/>
        <v>131450</v>
      </c>
      <c r="K21" s="34">
        <f>J21/J24</f>
        <v>0.00549285397165104</v>
      </c>
    </row>
    <row r="22" s="11" customFormat="1" ht="29" customHeight="1" spans="1:11">
      <c r="A22" s="17"/>
      <c r="B22" s="32" t="s">
        <v>47</v>
      </c>
      <c r="C22" s="33">
        <v>0</v>
      </c>
      <c r="D22" s="33">
        <v>0</v>
      </c>
      <c r="E22" s="33">
        <v>0</v>
      </c>
      <c r="F22" s="33">
        <v>0</v>
      </c>
      <c r="G22" s="33">
        <v>0</v>
      </c>
      <c r="H22" s="33">
        <v>0</v>
      </c>
      <c r="I22" s="33">
        <v>0</v>
      </c>
      <c r="J22" s="33">
        <f t="shared" si="3"/>
        <v>0</v>
      </c>
      <c r="K22" s="34">
        <f>J22/J24</f>
        <v>0</v>
      </c>
    </row>
    <row r="23" s="11" customFormat="1" ht="29" customHeight="1" spans="1:11">
      <c r="A23" s="17"/>
      <c r="B23" s="32" t="s">
        <v>25</v>
      </c>
      <c r="C23" s="33">
        <v>120000</v>
      </c>
      <c r="D23" s="33">
        <v>120000</v>
      </c>
      <c r="E23" s="33">
        <v>0</v>
      </c>
      <c r="F23" s="33">
        <v>152000</v>
      </c>
      <c r="G23" s="33">
        <v>150000</v>
      </c>
      <c r="H23" s="33">
        <v>50000</v>
      </c>
      <c r="I23" s="33">
        <v>202500</v>
      </c>
      <c r="J23" s="33">
        <f t="shared" si="3"/>
        <v>794500</v>
      </c>
      <c r="K23" s="34">
        <f>J23/J24</f>
        <v>0.0331994863482446</v>
      </c>
    </row>
    <row r="24" s="11" customFormat="1" ht="27" customHeight="1" spans="1:11">
      <c r="A24" s="27"/>
      <c r="B24" s="36" t="s">
        <v>12</v>
      </c>
      <c r="C24" s="37">
        <f>SUM(C13:C16)+C19+C20+C21+C23+C22</f>
        <v>2113720.79</v>
      </c>
      <c r="D24" s="37">
        <f t="shared" ref="C24:M24" si="4">SUM(D13:D16)+D19+D20+D21+D23+D22</f>
        <v>3668063.21</v>
      </c>
      <c r="E24" s="37">
        <f t="shared" si="4"/>
        <v>3266485.37</v>
      </c>
      <c r="F24" s="37">
        <f t="shared" si="4"/>
        <v>3628775.18</v>
      </c>
      <c r="G24" s="37">
        <f t="shared" si="4"/>
        <v>4958130.59</v>
      </c>
      <c r="H24" s="37">
        <f t="shared" si="4"/>
        <v>3225315.26</v>
      </c>
      <c r="I24" s="37">
        <f t="shared" si="4"/>
        <v>3070602.74</v>
      </c>
      <c r="J24" s="37">
        <f t="shared" si="4"/>
        <v>23931093.14</v>
      </c>
      <c r="K24" s="20">
        <v>1</v>
      </c>
    </row>
    <row r="25" s="11" customFormat="1" ht="27" customHeight="1" spans="1:11">
      <c r="A25" s="38" t="s">
        <v>48</v>
      </c>
      <c r="B25" s="30" t="s">
        <v>1</v>
      </c>
      <c r="C25" s="30" t="s">
        <v>29</v>
      </c>
      <c r="D25" s="30" t="s">
        <v>30</v>
      </c>
      <c r="E25" s="30" t="s">
        <v>31</v>
      </c>
      <c r="F25" s="30" t="s">
        <v>32</v>
      </c>
      <c r="G25" s="30" t="s">
        <v>33</v>
      </c>
      <c r="H25" s="30" t="s">
        <v>34</v>
      </c>
      <c r="I25" s="30" t="s">
        <v>35</v>
      </c>
      <c r="J25" s="30" t="s">
        <v>12</v>
      </c>
      <c r="K25" s="31"/>
    </row>
    <row r="26" s="11" customFormat="1" ht="33" customHeight="1" spans="1:11">
      <c r="A26" s="39"/>
      <c r="B26" s="40" t="s">
        <v>1</v>
      </c>
      <c r="C26" s="41">
        <v>0</v>
      </c>
      <c r="D26" s="41">
        <v>0</v>
      </c>
      <c r="E26" s="41">
        <v>900000</v>
      </c>
      <c r="F26" s="41">
        <v>1200000</v>
      </c>
      <c r="G26" s="41">
        <v>0</v>
      </c>
      <c r="H26" s="41">
        <v>0</v>
      </c>
      <c r="I26" s="41">
        <v>0</v>
      </c>
      <c r="J26" s="40">
        <f>SUM(C26:I26)</f>
        <v>2100000</v>
      </c>
      <c r="K26" s="42">
        <f>J26/J24</f>
        <v>0.0877519462949197</v>
      </c>
    </row>
    <row r="27" s="11" customFormat="1" ht="62" customHeight="1" spans="1:11">
      <c r="A27" s="43" t="s">
        <v>49</v>
      </c>
      <c r="B27" s="44"/>
      <c r="C27" s="45">
        <f t="shared" ref="C27:M27" si="5">C11-C24</f>
        <v>354260.81</v>
      </c>
      <c r="D27" s="45">
        <f t="shared" si="5"/>
        <v>-2395567.53</v>
      </c>
      <c r="E27" s="45">
        <f t="shared" si="5"/>
        <v>-194699.02</v>
      </c>
      <c r="F27" s="45">
        <f t="shared" si="5"/>
        <v>2524480.71</v>
      </c>
      <c r="G27" s="45">
        <f t="shared" si="5"/>
        <v>-637687.06</v>
      </c>
      <c r="H27" s="45">
        <f t="shared" si="5"/>
        <v>-1866583.61</v>
      </c>
      <c r="I27" s="45">
        <f t="shared" si="5"/>
        <v>-3179070.99</v>
      </c>
      <c r="J27" s="46">
        <f t="shared" si="5"/>
        <v>-5394866.69</v>
      </c>
      <c r="K27" s="47"/>
    </row>
    <row r="28" s="11" customFormat="1"/>
    <row r="29" s="11" customFormat="1"/>
    <row r="30" s="11" customFormat="1"/>
    <row r="31" s="11" customFormat="1" spans="1:11">
      <c r="J31" s="48"/>
    </row>
    <row r="32" s="11" customFormat="1"/>
    <row r="33" s="11" customFormat="1"/>
    <row r="34" s="11" customFormat="1"/>
    <row r="35" s="11" customFormat="1"/>
    <row r="36" s="11" customFormat="1"/>
    <row r="37" s="11" customFormat="1"/>
    <row r="38" s="11" customFormat="1"/>
    <row r="39" s="11" customFormat="1"/>
    <row r="40" s="11" customFormat="1"/>
    <row r="41" s="11" customFormat="1"/>
    <row r="42" s="11" customFormat="1"/>
    <row r="43" s="11" customFormat="1"/>
    <row r="44" s="11" customFormat="1"/>
    <row r="45" s="11" customFormat="1"/>
    <row r="46" s="11" customFormat="1"/>
    <row r="47" s="11" customFormat="1"/>
    <row r="48" s="11" customFormat="1"/>
    <row r="49" s="11" customFormat="1"/>
    <row r="50" s="11" customFormat="1"/>
    <row r="51" s="11" customFormat="1"/>
    <row r="52" s="11" customFormat="1"/>
    <row r="53" s="11" customFormat="1"/>
    <row r="54" s="11" customFormat="1"/>
    <row r="55" s="11" customFormat="1"/>
    <row r="56" s="11" customFormat="1"/>
    <row r="57" s="11" customFormat="1"/>
    <row r="58" s="11" customFormat="1"/>
    <row r="59" s="11" customFormat="1"/>
    <row r="60" s="11" customFormat="1"/>
    <row r="61" s="11" customFormat="1"/>
    <row r="62" s="11" customFormat="1"/>
    <row r="63" s="11" customFormat="1"/>
    <row r="64" s="11" customFormat="1"/>
    <row r="65" s="11" customFormat="1"/>
    <row r="66" s="11" customFormat="1"/>
    <row r="67" s="11" customFormat="1"/>
    <row r="68" s="11" customFormat="1"/>
    <row r="69" s="11" customFormat="1"/>
    <row r="70" s="11" customFormat="1"/>
    <row r="71" s="11" customFormat="1"/>
    <row r="72" s="11" customFormat="1"/>
    <row r="73" s="11" customFormat="1"/>
    <row r="74" s="11" customFormat="1"/>
    <row r="75" s="11" customFormat="1"/>
    <row r="76" s="11" customFormat="1"/>
    <row r="77" s="11" customFormat="1"/>
    <row r="78" s="11" customFormat="1"/>
    <row r="79" s="11" customFormat="1"/>
    <row r="80" s="12" customFormat="1" spans="1:11">
      <c r="A80" s="11"/>
      <c r="B80" s="11"/>
      <c r="C80" s="11"/>
      <c r="D80" s="11"/>
      <c r="E80" s="11"/>
      <c r="F80" s="11"/>
      <c r="G80" s="11"/>
      <c r="H80" s="11"/>
      <c r="I80" s="11"/>
      <c r="J80" s="11"/>
      <c r="K80" s="11"/>
    </row>
    <row r="81" s="11" customFormat="1"/>
    <row r="82" s="11" customFormat="1"/>
    <row r="83" s="11" customFormat="1"/>
    <row r="84" s="11" customFormat="1"/>
    <row r="85" s="12" customFormat="1" spans="1:12">
      <c r="A85" s="11"/>
      <c r="B85" s="11"/>
      <c r="C85" s="11"/>
      <c r="D85" s="11"/>
      <c r="E85" s="11"/>
      <c r="F85" s="11"/>
      <c r="G85" s="11"/>
      <c r="H85" s="11"/>
      <c r="I85" s="11"/>
      <c r="J85" s="11"/>
      <c r="K85" s="11"/>
    </row>
    <row r="86" s="11" customFormat="1" ht="20" customHeight="1"/>
    <row r="87" s="12" customFormat="1" spans="1:12">
      <c r="A87" s="11"/>
      <c r="B87" s="11"/>
      <c r="C87" s="11"/>
      <c r="D87" s="11"/>
      <c r="E87" s="11"/>
      <c r="F87" s="11"/>
      <c r="G87" s="11"/>
      <c r="H87" s="11"/>
      <c r="I87" s="11"/>
      <c r="J87" s="11"/>
      <c r="K87" s="11"/>
    </row>
    <row r="88" s="11" customFormat="1"/>
    <row r="89" s="11" customFormat="1" spans="1:12">
      <c r="L89" s="49"/>
    </row>
    <row r="90" s="12" customFormat="1" ht="19" customHeight="1" spans="1:12">
      <c r="A90" s="11"/>
      <c r="B90" s="11"/>
      <c r="C90" s="11"/>
      <c r="D90" s="11"/>
      <c r="E90" s="11"/>
      <c r="F90" s="11"/>
      <c r="G90" s="11"/>
      <c r="H90" s="11"/>
      <c r="I90" s="11"/>
      <c r="J90" s="11"/>
      <c r="K90" s="11"/>
    </row>
    <row r="91" s="11" customFormat="1" ht="21" customHeight="1"/>
    <row r="92" s="11" customFormat="1" ht="15" customHeight="1"/>
    <row r="93" s="11" customFormat="1" ht="23" customHeight="1"/>
  </sheetData>
  <mergeCells count="4">
    <mergeCell ref="A1:I1"/>
    <mergeCell ref="A2:A11"/>
    <mergeCell ref="A12:A24"/>
    <mergeCell ref="A25:A26"/>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
  <sheetViews>
    <sheetView tabSelected="1" zoomScale="85" zoomScaleNormal="85" topLeftCell="B1" workbookViewId="0">
      <pane xSplit="4" ySplit="1" topLeftCell="F14" activePane="bottomRight" state="frozen"/>
      <selection/>
      <selection pane="topRight"/>
      <selection pane="bottomLeft"/>
      <selection pane="bottomRight" activeCell="J28" sqref="J28"/>
    </sheetView>
  </sheetViews>
  <sheetFormatPr defaultColWidth="9" defaultRowHeight="32" customHeight="1"/>
  <cols>
    <col min="1" max="1" width="30" style="1" customWidth="1"/>
    <col min="2" max="2" width="17.625" style="1" customWidth="1"/>
    <col min="3" max="3" width="16.625" style="1" customWidth="1"/>
    <col min="4" max="4" width="9.85833333333333" style="1" customWidth="1"/>
    <col min="5" max="5" width="28.5" style="1" customWidth="1"/>
    <col min="6" max="6" width="12.375" style="1" customWidth="1"/>
    <col min="7" max="7" width="23.125" style="1" customWidth="1"/>
    <col min="8" max="8" width="19" style="1" customWidth="1"/>
    <col min="9" max="9" width="7.63333333333333" style="1" customWidth="1"/>
    <col min="10" max="10" width="12.775" style="1" customWidth="1"/>
    <col min="11" max="11" width="11.95" style="1" customWidth="1"/>
    <col min="12" max="12" width="11.875" style="1" customWidth="1"/>
    <col min="13" max="13" width="12.6333333333333" style="1" customWidth="1"/>
    <col min="14" max="14" width="13.1916666666667" style="1" customWidth="1"/>
    <col min="15" max="15" width="11.3833333333333" style="1" hidden="1" customWidth="1"/>
    <col min="16" max="16" width="12.2166666666667" style="1" hidden="1" customWidth="1"/>
    <col min="17" max="17" width="11.2416666666667" style="1" hidden="1" customWidth="1"/>
    <col min="18" max="18" width="14.625" style="1" customWidth="1"/>
    <col min="19" max="19" width="11.875" style="1" customWidth="1"/>
    <col min="20" max="20" width="4.30833333333333" style="1" customWidth="1"/>
    <col min="21" max="21" width="5" style="1" customWidth="1"/>
    <col min="22" max="22" width="14.8416666666667" style="1" customWidth="1"/>
    <col min="23" max="16384" width="9" style="1"/>
  </cols>
  <sheetData>
    <row r="1" s="1" customFormat="1" customHeight="1" spans="1:22">
      <c r="A1" s="3" t="s">
        <v>50</v>
      </c>
      <c r="B1" s="3" t="s">
        <v>51</v>
      </c>
      <c r="C1" s="3" t="s">
        <v>52</v>
      </c>
      <c r="D1" s="3" t="s">
        <v>53</v>
      </c>
      <c r="E1" s="3" t="s">
        <v>54</v>
      </c>
      <c r="F1" s="3" t="s">
        <v>55</v>
      </c>
      <c r="G1" s="3" t="s">
        <v>56</v>
      </c>
      <c r="H1" s="4" t="s">
        <v>57</v>
      </c>
      <c r="I1" s="3" t="s">
        <v>58</v>
      </c>
      <c r="J1" s="3" t="s">
        <v>59</v>
      </c>
      <c r="K1" s="3" t="s">
        <v>60</v>
      </c>
      <c r="L1" s="3" t="s">
        <v>61</v>
      </c>
      <c r="M1" s="3" t="s">
        <v>62</v>
      </c>
      <c r="N1" s="4" t="s">
        <v>63</v>
      </c>
      <c r="O1" s="3" t="s">
        <v>64</v>
      </c>
      <c r="P1" s="3" t="s">
        <v>65</v>
      </c>
      <c r="Q1" s="3" t="s">
        <v>66</v>
      </c>
      <c r="R1" s="3" t="s">
        <v>67</v>
      </c>
      <c r="S1" s="3" t="s">
        <v>68</v>
      </c>
      <c r="T1" s="3" t="s">
        <v>69</v>
      </c>
      <c r="U1" s="5" t="s">
        <v>70</v>
      </c>
      <c r="V1" s="6" t="s">
        <v>71</v>
      </c>
    </row>
    <row r="2" s="1" customFormat="1" customHeight="1" spans="1:22">
      <c r="A2" s="7" t="s">
        <v>72</v>
      </c>
      <c r="B2" s="7" t="s">
        <v>73</v>
      </c>
      <c r="C2" s="7" t="s">
        <v>74</v>
      </c>
      <c r="D2" s="7" t="s">
        <v>75</v>
      </c>
      <c r="E2" s="7" t="s">
        <v>76</v>
      </c>
      <c r="F2" s="7" t="s">
        <v>77</v>
      </c>
      <c r="G2" s="7" t="s">
        <v>78</v>
      </c>
      <c r="H2" s="8">
        <v>163850</v>
      </c>
      <c r="I2" s="8" t="s">
        <v>79</v>
      </c>
      <c r="J2" s="8">
        <v>0</v>
      </c>
      <c r="K2" s="8">
        <v>0</v>
      </c>
      <c r="L2" s="8">
        <v>0</v>
      </c>
      <c r="M2" s="8">
        <v>0</v>
      </c>
      <c r="N2" s="8">
        <v>0</v>
      </c>
      <c r="O2" s="8"/>
      <c r="P2" s="8">
        <v>5000</v>
      </c>
      <c r="Q2" s="8">
        <v>0</v>
      </c>
      <c r="R2" s="8">
        <v>5000</v>
      </c>
      <c r="S2" s="7" t="s">
        <v>77</v>
      </c>
      <c r="T2" s="7" t="s">
        <v>80</v>
      </c>
      <c r="U2" s="8"/>
      <c r="V2" s="6">
        <f>H2*0.7</f>
        <v>114695</v>
      </c>
    </row>
    <row r="3" s="1" customFormat="1" customHeight="1" spans="1:22">
      <c r="A3" s="7" t="s">
        <v>81</v>
      </c>
      <c r="B3" s="7" t="s">
        <v>82</v>
      </c>
      <c r="C3" s="7" t="s">
        <v>83</v>
      </c>
      <c r="D3" s="7" t="s">
        <v>75</v>
      </c>
      <c r="E3" s="7" t="s">
        <v>84</v>
      </c>
      <c r="F3" s="7" t="s">
        <v>77</v>
      </c>
      <c r="G3" s="7" t="s">
        <v>85</v>
      </c>
      <c r="H3" s="8">
        <v>300000</v>
      </c>
      <c r="I3" s="8" t="s">
        <v>86</v>
      </c>
      <c r="J3" s="8">
        <v>0</v>
      </c>
      <c r="K3" s="8">
        <v>0</v>
      </c>
      <c r="L3" s="8">
        <v>0</v>
      </c>
      <c r="M3" s="8">
        <v>0</v>
      </c>
      <c r="N3" s="8">
        <v>0</v>
      </c>
      <c r="O3" s="8">
        <v>15000</v>
      </c>
      <c r="P3" s="8">
        <v>0</v>
      </c>
      <c r="Q3" s="8">
        <v>0</v>
      </c>
      <c r="R3" s="8">
        <v>0</v>
      </c>
      <c r="S3" s="7" t="s">
        <v>77</v>
      </c>
      <c r="T3" s="7" t="s">
        <v>77</v>
      </c>
      <c r="U3" s="8"/>
      <c r="V3" s="6">
        <v>0</v>
      </c>
    </row>
    <row r="4" s="1" customFormat="1" customHeight="1" spans="1:22">
      <c r="A4" s="7" t="s">
        <v>87</v>
      </c>
      <c r="B4" s="7" t="s">
        <v>88</v>
      </c>
      <c r="C4" s="7" t="s">
        <v>89</v>
      </c>
      <c r="D4" s="7" t="s">
        <v>90</v>
      </c>
      <c r="E4" s="7" t="s">
        <v>91</v>
      </c>
      <c r="F4" s="7" t="s">
        <v>77</v>
      </c>
      <c r="G4" s="7" t="s">
        <v>85</v>
      </c>
      <c r="H4" s="8">
        <v>608000</v>
      </c>
      <c r="I4" s="8" t="s">
        <v>79</v>
      </c>
      <c r="J4" s="8">
        <v>0</v>
      </c>
      <c r="K4" s="8">
        <v>0</v>
      </c>
      <c r="L4" s="8">
        <v>0</v>
      </c>
      <c r="M4" s="8">
        <v>0</v>
      </c>
      <c r="N4" s="8">
        <v>0</v>
      </c>
      <c r="O4" s="8">
        <v>60800</v>
      </c>
      <c r="P4" s="8">
        <v>0</v>
      </c>
      <c r="Q4" s="8">
        <v>0</v>
      </c>
      <c r="R4" s="8">
        <v>0</v>
      </c>
      <c r="S4" s="7" t="s">
        <v>77</v>
      </c>
      <c r="T4" s="7" t="s">
        <v>92</v>
      </c>
      <c r="U4" s="8"/>
      <c r="V4" s="6"/>
    </row>
    <row r="5" s="1" customFormat="1" customHeight="1" spans="1:22">
      <c r="A5" s="7" t="s">
        <v>93</v>
      </c>
      <c r="B5" s="7" t="s">
        <v>94</v>
      </c>
      <c r="C5" s="7" t="s">
        <v>95</v>
      </c>
      <c r="D5" s="7" t="s">
        <v>75</v>
      </c>
      <c r="E5" s="7" t="s">
        <v>96</v>
      </c>
      <c r="F5" s="7" t="s">
        <v>77</v>
      </c>
      <c r="G5" s="7" t="s">
        <v>85</v>
      </c>
      <c r="H5" s="8">
        <v>320000</v>
      </c>
      <c r="I5" s="8" t="s">
        <v>86</v>
      </c>
      <c r="J5" s="8">
        <v>0</v>
      </c>
      <c r="K5" s="8">
        <v>0</v>
      </c>
      <c r="L5" s="8">
        <v>0</v>
      </c>
      <c r="M5" s="8">
        <v>0</v>
      </c>
      <c r="N5" s="8">
        <v>0</v>
      </c>
      <c r="O5" s="8">
        <v>32000</v>
      </c>
      <c r="P5" s="8">
        <v>0</v>
      </c>
      <c r="Q5" s="8">
        <v>0</v>
      </c>
      <c r="R5" s="8">
        <v>0</v>
      </c>
      <c r="S5" s="7" t="s">
        <v>77</v>
      </c>
      <c r="T5" s="7" t="s">
        <v>97</v>
      </c>
      <c r="U5" s="8"/>
      <c r="V5" s="6"/>
    </row>
    <row r="6" s="1" customFormat="1" customHeight="1" spans="1:22">
      <c r="A6" s="7" t="s">
        <v>98</v>
      </c>
      <c r="B6" s="7" t="s">
        <v>99</v>
      </c>
      <c r="C6" s="7" t="s">
        <v>100</v>
      </c>
      <c r="D6" s="7" t="s">
        <v>75</v>
      </c>
      <c r="E6" s="7" t="s">
        <v>96</v>
      </c>
      <c r="F6" s="7" t="s">
        <v>77</v>
      </c>
      <c r="G6" s="7" t="s">
        <v>85</v>
      </c>
      <c r="H6" s="8">
        <v>415000</v>
      </c>
      <c r="I6" s="8" t="s">
        <v>86</v>
      </c>
      <c r="J6" s="8">
        <v>0</v>
      </c>
      <c r="K6" s="8">
        <v>0</v>
      </c>
      <c r="L6" s="8">
        <v>0</v>
      </c>
      <c r="M6" s="8">
        <v>0</v>
      </c>
      <c r="N6" s="8">
        <v>0</v>
      </c>
      <c r="O6" s="8">
        <v>41500</v>
      </c>
      <c r="P6" s="8">
        <v>0</v>
      </c>
      <c r="Q6" s="8">
        <v>0</v>
      </c>
      <c r="R6" s="8">
        <v>0</v>
      </c>
      <c r="S6" s="7" t="s">
        <v>77</v>
      </c>
      <c r="T6" s="7" t="s">
        <v>101</v>
      </c>
      <c r="U6" s="8"/>
      <c r="V6" s="6"/>
    </row>
    <row r="7" s="1" customFormat="1" customHeight="1" spans="1:22">
      <c r="A7" s="7" t="s">
        <v>102</v>
      </c>
      <c r="B7" s="7" t="s">
        <v>103</v>
      </c>
      <c r="C7" s="7" t="s">
        <v>104</v>
      </c>
      <c r="D7" s="7" t="s">
        <v>75</v>
      </c>
      <c r="E7" s="7" t="s">
        <v>105</v>
      </c>
      <c r="F7" s="7" t="s">
        <v>77</v>
      </c>
      <c r="G7" s="7" t="s">
        <v>85</v>
      </c>
      <c r="H7" s="8">
        <v>98368</v>
      </c>
      <c r="I7" s="8" t="s">
        <v>106</v>
      </c>
      <c r="J7" s="8">
        <v>0</v>
      </c>
      <c r="K7" s="8">
        <v>0</v>
      </c>
      <c r="L7" s="8">
        <v>0</v>
      </c>
      <c r="M7" s="8">
        <v>0</v>
      </c>
      <c r="N7" s="8">
        <v>0</v>
      </c>
      <c r="O7" s="8"/>
      <c r="P7" s="8">
        <v>0</v>
      </c>
      <c r="Q7" s="8">
        <v>0</v>
      </c>
      <c r="R7" s="8">
        <v>0</v>
      </c>
      <c r="S7" s="7" t="s">
        <v>77</v>
      </c>
      <c r="T7" s="7" t="s">
        <v>101</v>
      </c>
      <c r="U7" s="8"/>
      <c r="V7" s="6"/>
    </row>
    <row r="8" s="1" customFormat="1" customHeight="1" spans="1:22">
      <c r="A8" s="7" t="s">
        <v>107</v>
      </c>
      <c r="B8" s="7" t="s">
        <v>108</v>
      </c>
      <c r="C8" s="7" t="s">
        <v>109</v>
      </c>
      <c r="D8" s="7" t="s">
        <v>90</v>
      </c>
      <c r="E8" s="7" t="s">
        <v>110</v>
      </c>
      <c r="F8" s="7" t="s">
        <v>77</v>
      </c>
      <c r="G8" s="7" t="s">
        <v>85</v>
      </c>
      <c r="H8" s="8">
        <v>40000</v>
      </c>
      <c r="I8" s="8" t="s">
        <v>79</v>
      </c>
      <c r="J8" s="8">
        <v>0</v>
      </c>
      <c r="K8" s="8">
        <v>0</v>
      </c>
      <c r="L8" s="8">
        <v>0</v>
      </c>
      <c r="M8" s="8">
        <v>0</v>
      </c>
      <c r="N8" s="8">
        <v>0</v>
      </c>
      <c r="O8" s="8">
        <v>2000</v>
      </c>
      <c r="P8" s="8">
        <v>0</v>
      </c>
      <c r="Q8" s="8">
        <v>0</v>
      </c>
      <c r="R8" s="8">
        <v>0</v>
      </c>
      <c r="S8" s="7" t="s">
        <v>77</v>
      </c>
      <c r="T8" s="7" t="s">
        <v>111</v>
      </c>
      <c r="U8" s="8"/>
      <c r="V8" s="6"/>
    </row>
    <row r="9" s="1" customFormat="1" customHeight="1" spans="1:22">
      <c r="A9" s="7" t="s">
        <v>112</v>
      </c>
      <c r="B9" s="7" t="s">
        <v>113</v>
      </c>
      <c r="C9" s="7" t="s">
        <v>114</v>
      </c>
      <c r="D9" s="7" t="s">
        <v>90</v>
      </c>
      <c r="E9" s="7" t="s">
        <v>91</v>
      </c>
      <c r="F9" s="7" t="s">
        <v>77</v>
      </c>
      <c r="G9" s="7" t="s">
        <v>85</v>
      </c>
      <c r="H9" s="8">
        <v>346000</v>
      </c>
      <c r="I9" s="8" t="s">
        <v>79</v>
      </c>
      <c r="J9" s="8">
        <v>0</v>
      </c>
      <c r="K9" s="8">
        <v>0</v>
      </c>
      <c r="L9" s="8">
        <v>0</v>
      </c>
      <c r="M9" s="8">
        <v>0</v>
      </c>
      <c r="N9" s="8">
        <v>0</v>
      </c>
      <c r="O9" s="8">
        <v>34600</v>
      </c>
      <c r="P9" s="8">
        <v>0</v>
      </c>
      <c r="Q9" s="8">
        <v>0</v>
      </c>
      <c r="R9" s="8">
        <v>0</v>
      </c>
      <c r="S9" s="7" t="s">
        <v>77</v>
      </c>
      <c r="T9" s="7" t="s">
        <v>115</v>
      </c>
      <c r="U9" s="8"/>
      <c r="V9" s="6"/>
    </row>
    <row r="10" s="1" customFormat="1" customHeight="1" spans="1:22">
      <c r="A10" s="7" t="s">
        <v>116</v>
      </c>
      <c r="B10" s="7" t="s">
        <v>117</v>
      </c>
      <c r="C10" s="7" t="s">
        <v>118</v>
      </c>
      <c r="D10" s="7" t="s">
        <v>75</v>
      </c>
      <c r="E10" s="7" t="s">
        <v>91</v>
      </c>
      <c r="F10" s="7" t="s">
        <v>77</v>
      </c>
      <c r="G10" s="7" t="s">
        <v>85</v>
      </c>
      <c r="H10" s="8">
        <v>460000</v>
      </c>
      <c r="I10" s="8" t="s">
        <v>86</v>
      </c>
      <c r="J10" s="8">
        <v>0</v>
      </c>
      <c r="K10" s="8">
        <v>0</v>
      </c>
      <c r="L10" s="8">
        <v>0</v>
      </c>
      <c r="M10" s="8">
        <v>0</v>
      </c>
      <c r="N10" s="8">
        <v>0</v>
      </c>
      <c r="O10" s="8"/>
      <c r="P10" s="8">
        <v>0</v>
      </c>
      <c r="Q10" s="8">
        <v>0</v>
      </c>
      <c r="R10" s="8">
        <v>0</v>
      </c>
      <c r="S10" s="7" t="s">
        <v>77</v>
      </c>
      <c r="T10" s="7" t="s">
        <v>101</v>
      </c>
      <c r="U10" s="8"/>
      <c r="V10" s="6"/>
    </row>
    <row r="11" s="1" customFormat="1" customHeight="1" spans="1:22">
      <c r="A11" s="7" t="s">
        <v>119</v>
      </c>
      <c r="B11" s="7" t="s">
        <v>120</v>
      </c>
      <c r="C11" s="7" t="s">
        <v>121</v>
      </c>
      <c r="D11" s="7" t="s">
        <v>122</v>
      </c>
      <c r="E11" s="7" t="s">
        <v>123</v>
      </c>
      <c r="F11" s="7" t="s">
        <v>77</v>
      </c>
      <c r="G11" s="7" t="s">
        <v>85</v>
      </c>
      <c r="H11" s="8">
        <v>60000</v>
      </c>
      <c r="I11" s="8" t="s">
        <v>86</v>
      </c>
      <c r="J11" s="8">
        <v>0</v>
      </c>
      <c r="K11" s="8">
        <v>0</v>
      </c>
      <c r="L11" s="8">
        <v>0</v>
      </c>
      <c r="M11" s="8">
        <v>0</v>
      </c>
      <c r="N11" s="8">
        <v>0</v>
      </c>
      <c r="O11" s="8"/>
      <c r="P11" s="8">
        <v>0</v>
      </c>
      <c r="Q11" s="8">
        <v>0</v>
      </c>
      <c r="R11" s="8">
        <v>0</v>
      </c>
      <c r="S11" s="7" t="s">
        <v>77</v>
      </c>
      <c r="T11" s="7" t="s">
        <v>124</v>
      </c>
      <c r="U11" s="8"/>
      <c r="V11" s="6"/>
    </row>
    <row r="12" s="1" customFormat="1" customHeight="1" spans="1:22">
      <c r="A12" s="7" t="s">
        <v>125</v>
      </c>
      <c r="B12" s="7" t="s">
        <v>126</v>
      </c>
      <c r="C12" s="7" t="s">
        <v>127</v>
      </c>
      <c r="D12" s="7" t="s">
        <v>75</v>
      </c>
      <c r="E12" s="7" t="s">
        <v>128</v>
      </c>
      <c r="F12" s="7"/>
      <c r="G12" s="7" t="s">
        <v>85</v>
      </c>
      <c r="H12" s="8">
        <v>3808371.22</v>
      </c>
      <c r="I12" s="8" t="s">
        <v>86</v>
      </c>
      <c r="J12" s="8">
        <v>-95300</v>
      </c>
      <c r="K12" s="8">
        <v>-112800</v>
      </c>
      <c r="L12" s="8">
        <v>112800</v>
      </c>
      <c r="M12" s="8">
        <v>17500</v>
      </c>
      <c r="N12" s="8">
        <v>95300</v>
      </c>
      <c r="O12" s="8">
        <v>114251.14</v>
      </c>
      <c r="P12" s="8">
        <v>0</v>
      </c>
      <c r="Q12" s="8">
        <v>0</v>
      </c>
      <c r="R12" s="8">
        <v>0</v>
      </c>
      <c r="S12" s="7" t="s">
        <v>77</v>
      </c>
      <c r="T12" s="7" t="s">
        <v>101</v>
      </c>
      <c r="U12" s="8"/>
      <c r="V12" s="6">
        <f>H12*0.8*0.5*0.8</f>
        <v>1218678.7904</v>
      </c>
    </row>
    <row r="13" s="1" customFormat="1" customHeight="1" spans="1:22">
      <c r="A13" s="7" t="s">
        <v>129</v>
      </c>
      <c r="B13" s="7" t="s">
        <v>130</v>
      </c>
      <c r="C13" s="7" t="s">
        <v>131</v>
      </c>
      <c r="D13" s="7" t="s">
        <v>75</v>
      </c>
      <c r="E13" s="7" t="s">
        <v>132</v>
      </c>
      <c r="F13" s="7" t="s">
        <v>77</v>
      </c>
      <c r="G13" s="7" t="s">
        <v>85</v>
      </c>
      <c r="H13" s="8">
        <v>228900</v>
      </c>
      <c r="I13" s="8" t="s">
        <v>86</v>
      </c>
      <c r="J13" s="8">
        <v>0</v>
      </c>
      <c r="K13" s="8">
        <v>0</v>
      </c>
      <c r="L13" s="8">
        <v>0</v>
      </c>
      <c r="M13" s="8">
        <v>0</v>
      </c>
      <c r="N13" s="8">
        <v>0</v>
      </c>
      <c r="O13" s="8">
        <v>11445</v>
      </c>
      <c r="P13" s="8">
        <v>0</v>
      </c>
      <c r="Q13" s="8">
        <v>0</v>
      </c>
      <c r="R13" s="8">
        <v>0</v>
      </c>
      <c r="S13" s="7" t="s">
        <v>77</v>
      </c>
      <c r="T13" s="7" t="s">
        <v>101</v>
      </c>
      <c r="U13" s="8"/>
      <c r="V13" s="6"/>
    </row>
    <row r="14" s="1" customFormat="1" customHeight="1" spans="1:22">
      <c r="A14" s="7" t="s">
        <v>133</v>
      </c>
      <c r="B14" s="7" t="s">
        <v>134</v>
      </c>
      <c r="C14" s="7" t="s">
        <v>135</v>
      </c>
      <c r="D14" s="7" t="s">
        <v>122</v>
      </c>
      <c r="E14" s="7" t="s">
        <v>136</v>
      </c>
      <c r="F14" s="7" t="s">
        <v>137</v>
      </c>
      <c r="G14" s="7" t="s">
        <v>85</v>
      </c>
      <c r="H14" s="8">
        <v>87912</v>
      </c>
      <c r="I14" s="8" t="s">
        <v>79</v>
      </c>
      <c r="J14" s="8">
        <v>-65686.5</v>
      </c>
      <c r="K14" s="8">
        <v>-65686.5</v>
      </c>
      <c r="L14" s="8">
        <v>65686.5</v>
      </c>
      <c r="M14" s="8">
        <v>0</v>
      </c>
      <c r="N14" s="8">
        <v>65686.5</v>
      </c>
      <c r="O14" s="8">
        <v>2637.36</v>
      </c>
      <c r="P14" s="8">
        <v>0</v>
      </c>
      <c r="Q14" s="8">
        <v>0</v>
      </c>
      <c r="R14" s="8">
        <v>0</v>
      </c>
      <c r="S14" s="7" t="s">
        <v>138</v>
      </c>
      <c r="T14" s="7" t="s">
        <v>101</v>
      </c>
      <c r="U14" s="8"/>
      <c r="V14" s="6"/>
    </row>
    <row r="15" s="1" customFormat="1" customHeight="1" spans="1:22">
      <c r="A15" s="7" t="s">
        <v>139</v>
      </c>
      <c r="B15" s="7" t="s">
        <v>140</v>
      </c>
      <c r="C15" s="7" t="s">
        <v>141</v>
      </c>
      <c r="D15" s="7" t="s">
        <v>122</v>
      </c>
      <c r="E15" s="7" t="s">
        <v>142</v>
      </c>
      <c r="F15" s="7" t="s">
        <v>143</v>
      </c>
      <c r="G15" s="7" t="s">
        <v>85</v>
      </c>
      <c r="H15" s="8">
        <v>454000</v>
      </c>
      <c r="I15" s="8" t="s">
        <v>86</v>
      </c>
      <c r="J15" s="8">
        <v>42600</v>
      </c>
      <c r="K15" s="8">
        <v>42600</v>
      </c>
      <c r="L15" s="8">
        <v>99400</v>
      </c>
      <c r="M15" s="8">
        <v>0</v>
      </c>
      <c r="N15" s="8">
        <v>99400</v>
      </c>
      <c r="O15" s="8">
        <v>0</v>
      </c>
      <c r="P15" s="8">
        <v>0</v>
      </c>
      <c r="Q15" s="8">
        <v>0</v>
      </c>
      <c r="R15" s="8">
        <v>0</v>
      </c>
      <c r="S15" s="7" t="s">
        <v>77</v>
      </c>
      <c r="T15" s="7" t="s">
        <v>101</v>
      </c>
      <c r="U15" s="8"/>
      <c r="V15" s="6"/>
    </row>
    <row r="16" s="1" customFormat="1" customHeight="1" spans="1:22">
      <c r="A16" s="7" t="s">
        <v>144</v>
      </c>
      <c r="B16" s="7" t="s">
        <v>145</v>
      </c>
      <c r="C16" s="7" t="s">
        <v>146</v>
      </c>
      <c r="D16" s="7" t="s">
        <v>75</v>
      </c>
      <c r="E16" s="7" t="s">
        <v>147</v>
      </c>
      <c r="F16" s="7" t="s">
        <v>148</v>
      </c>
      <c r="G16" s="7" t="s">
        <v>85</v>
      </c>
      <c r="H16" s="8">
        <v>306000</v>
      </c>
      <c r="I16" s="8" t="s">
        <v>86</v>
      </c>
      <c r="J16" s="8">
        <v>-197800</v>
      </c>
      <c r="K16" s="8">
        <v>0</v>
      </c>
      <c r="L16" s="8">
        <v>0</v>
      </c>
      <c r="M16" s="8">
        <v>-197800</v>
      </c>
      <c r="N16" s="8">
        <v>197800</v>
      </c>
      <c r="O16" s="8"/>
      <c r="P16" s="8">
        <v>6120</v>
      </c>
      <c r="Q16" s="8">
        <v>0</v>
      </c>
      <c r="R16" s="8">
        <v>6120</v>
      </c>
      <c r="S16" s="7" t="s">
        <v>149</v>
      </c>
      <c r="T16" s="7" t="s">
        <v>101</v>
      </c>
      <c r="U16" s="8"/>
      <c r="V16" s="6"/>
    </row>
    <row r="17" s="1" customFormat="1" customHeight="1" spans="1:22">
      <c r="A17" s="7" t="s">
        <v>150</v>
      </c>
      <c r="B17" s="7" t="s">
        <v>151</v>
      </c>
      <c r="C17" s="7" t="s">
        <v>152</v>
      </c>
      <c r="D17" s="7" t="s">
        <v>122</v>
      </c>
      <c r="E17" s="7" t="s">
        <v>153</v>
      </c>
      <c r="F17" s="7" t="s">
        <v>77</v>
      </c>
      <c r="G17" s="7" t="s">
        <v>85</v>
      </c>
      <c r="H17" s="8">
        <v>155000</v>
      </c>
      <c r="I17" s="8" t="s">
        <v>79</v>
      </c>
      <c r="J17" s="8">
        <v>0</v>
      </c>
      <c r="K17" s="8">
        <v>0</v>
      </c>
      <c r="L17" s="8">
        <v>0</v>
      </c>
      <c r="M17" s="8">
        <v>0</v>
      </c>
      <c r="N17" s="8">
        <v>0</v>
      </c>
      <c r="O17" s="8">
        <v>15500</v>
      </c>
      <c r="P17" s="8">
        <v>0</v>
      </c>
      <c r="Q17" s="8">
        <v>0</v>
      </c>
      <c r="R17" s="8">
        <v>0</v>
      </c>
      <c r="S17" s="7" t="s">
        <v>77</v>
      </c>
      <c r="T17" s="7" t="s">
        <v>101</v>
      </c>
      <c r="U17" s="8"/>
      <c r="V17" s="6"/>
    </row>
    <row r="18" s="1" customFormat="1" customHeight="1" spans="1:22">
      <c r="A18" s="7" t="s">
        <v>154</v>
      </c>
      <c r="B18" s="7" t="s">
        <v>155</v>
      </c>
      <c r="C18" s="7" t="s">
        <v>156</v>
      </c>
      <c r="D18" s="7" t="s">
        <v>122</v>
      </c>
      <c r="E18" s="7" t="s">
        <v>157</v>
      </c>
      <c r="F18" s="9">
        <v>45900</v>
      </c>
      <c r="G18" s="7" t="s">
        <v>158</v>
      </c>
      <c r="H18" s="8">
        <v>850000</v>
      </c>
      <c r="I18" s="8" t="s">
        <v>86</v>
      </c>
      <c r="J18" s="8">
        <v>-325543.2</v>
      </c>
      <c r="K18" s="8">
        <v>-325543.2</v>
      </c>
      <c r="L18" s="8">
        <v>325543.2</v>
      </c>
      <c r="M18" s="8">
        <v>0</v>
      </c>
      <c r="N18" s="8">
        <v>325543.2</v>
      </c>
      <c r="O18" s="8"/>
      <c r="P18" s="8">
        <v>85000</v>
      </c>
      <c r="Q18" s="8">
        <v>0</v>
      </c>
      <c r="R18" s="8">
        <v>85000</v>
      </c>
      <c r="S18" s="7" t="s">
        <v>77</v>
      </c>
      <c r="T18" s="7" t="s">
        <v>101</v>
      </c>
      <c r="U18" s="8"/>
      <c r="V18" s="6"/>
    </row>
    <row r="19" s="1" customFormat="1" customHeight="1" spans="1:22">
      <c r="A19" s="7" t="s">
        <v>159</v>
      </c>
      <c r="B19" s="7" t="s">
        <v>160</v>
      </c>
      <c r="C19" s="7" t="s">
        <v>161</v>
      </c>
      <c r="D19" s="7" t="s">
        <v>122</v>
      </c>
      <c r="E19" s="7" t="s">
        <v>162</v>
      </c>
      <c r="F19" s="7" t="s">
        <v>77</v>
      </c>
      <c r="G19" s="7" t="s">
        <v>163</v>
      </c>
      <c r="H19" s="8">
        <v>350000</v>
      </c>
      <c r="I19" s="8" t="s">
        <v>86</v>
      </c>
      <c r="J19" s="8">
        <v>0</v>
      </c>
      <c r="K19" s="8">
        <v>0</v>
      </c>
      <c r="L19" s="8">
        <v>0</v>
      </c>
      <c r="M19" s="8">
        <v>0</v>
      </c>
      <c r="N19" s="8">
        <v>0</v>
      </c>
      <c r="O19" s="8">
        <v>35000</v>
      </c>
      <c r="P19" s="8">
        <v>500</v>
      </c>
      <c r="Q19" s="8">
        <v>0</v>
      </c>
      <c r="R19" s="8">
        <v>500</v>
      </c>
      <c r="S19" s="7" t="s">
        <v>77</v>
      </c>
      <c r="T19" s="7" t="s">
        <v>101</v>
      </c>
      <c r="U19" s="8"/>
      <c r="V19" s="6"/>
    </row>
    <row r="20" s="1" customFormat="1" customHeight="1" spans="1:22">
      <c r="A20" s="7" t="s">
        <v>164</v>
      </c>
      <c r="B20" s="7" t="s">
        <v>165</v>
      </c>
      <c r="C20" s="7" t="s">
        <v>166</v>
      </c>
      <c r="D20" s="7" t="s">
        <v>122</v>
      </c>
      <c r="E20" s="7" t="s">
        <v>167</v>
      </c>
      <c r="F20" s="7" t="s">
        <v>77</v>
      </c>
      <c r="G20" s="7" t="s">
        <v>85</v>
      </c>
      <c r="H20" s="8">
        <v>195000</v>
      </c>
      <c r="I20" s="8" t="s">
        <v>79</v>
      </c>
      <c r="J20" s="8">
        <v>175000</v>
      </c>
      <c r="K20" s="8">
        <v>175000</v>
      </c>
      <c r="L20" s="8">
        <v>0</v>
      </c>
      <c r="M20" s="8">
        <v>0</v>
      </c>
      <c r="N20" s="8">
        <v>0</v>
      </c>
      <c r="O20" s="8">
        <v>19500</v>
      </c>
      <c r="P20" s="8">
        <v>10000</v>
      </c>
      <c r="Q20" s="8">
        <v>0</v>
      </c>
      <c r="R20" s="8">
        <v>10000</v>
      </c>
      <c r="S20" s="7" t="s">
        <v>168</v>
      </c>
      <c r="T20" s="7" t="s">
        <v>101</v>
      </c>
      <c r="U20" s="8"/>
      <c r="V20" s="6"/>
    </row>
    <row r="21" s="1" customFormat="1" customHeight="1" spans="1:22">
      <c r="A21" s="7" t="s">
        <v>169</v>
      </c>
      <c r="B21" s="7" t="s">
        <v>170</v>
      </c>
      <c r="C21" s="7" t="s">
        <v>171</v>
      </c>
      <c r="D21" s="7" t="s">
        <v>122</v>
      </c>
      <c r="E21" s="7" t="s">
        <v>172</v>
      </c>
      <c r="F21" s="7" t="s">
        <v>173</v>
      </c>
      <c r="G21" s="7" t="s">
        <v>85</v>
      </c>
      <c r="H21" s="8">
        <v>90000</v>
      </c>
      <c r="I21" s="8" t="s">
        <v>79</v>
      </c>
      <c r="J21" s="8">
        <v>3000</v>
      </c>
      <c r="K21" s="8">
        <v>0</v>
      </c>
      <c r="L21" s="8">
        <v>30000</v>
      </c>
      <c r="M21" s="8">
        <v>3000</v>
      </c>
      <c r="N21" s="8">
        <v>27000</v>
      </c>
      <c r="O21" s="8">
        <v>9000</v>
      </c>
      <c r="P21" s="8">
        <v>0</v>
      </c>
      <c r="Q21" s="8">
        <v>0</v>
      </c>
      <c r="R21" s="8">
        <v>0</v>
      </c>
      <c r="S21" s="7" t="s">
        <v>77</v>
      </c>
      <c r="T21" s="7" t="s">
        <v>101</v>
      </c>
      <c r="U21" s="8"/>
      <c r="V21" s="6"/>
    </row>
    <row r="22" s="1" customFormat="1" customHeight="1" spans="1:22">
      <c r="A22" s="7" t="s">
        <v>174</v>
      </c>
      <c r="B22" s="7" t="s">
        <v>175</v>
      </c>
      <c r="C22" s="7" t="s">
        <v>176</v>
      </c>
      <c r="D22" s="7" t="s">
        <v>75</v>
      </c>
      <c r="E22" s="7" t="s">
        <v>162</v>
      </c>
      <c r="F22" s="7" t="s">
        <v>77</v>
      </c>
      <c r="G22" s="7" t="s">
        <v>85</v>
      </c>
      <c r="H22" s="8">
        <v>560000</v>
      </c>
      <c r="I22" s="8" t="s">
        <v>86</v>
      </c>
      <c r="J22" s="8">
        <v>-320499.6</v>
      </c>
      <c r="K22" s="8">
        <v>-534166</v>
      </c>
      <c r="L22" s="8">
        <v>534166</v>
      </c>
      <c r="M22" s="8">
        <v>213666.4</v>
      </c>
      <c r="N22" s="8">
        <v>320499.6</v>
      </c>
      <c r="O22" s="8"/>
      <c r="P22" s="8">
        <v>84000</v>
      </c>
      <c r="Q22" s="8">
        <v>84000</v>
      </c>
      <c r="R22" s="8">
        <v>0</v>
      </c>
      <c r="S22" s="7" t="s">
        <v>77</v>
      </c>
      <c r="T22" s="7" t="s">
        <v>101</v>
      </c>
      <c r="U22" s="8"/>
      <c r="V22" s="6"/>
    </row>
    <row r="23" s="1" customFormat="1" customHeight="1" spans="1:22">
      <c r="A23" s="7" t="s">
        <v>177</v>
      </c>
      <c r="B23" s="7" t="s">
        <v>178</v>
      </c>
      <c r="C23" s="7" t="s">
        <v>179</v>
      </c>
      <c r="D23" s="7" t="s">
        <v>122</v>
      </c>
      <c r="E23" s="7" t="s">
        <v>180</v>
      </c>
      <c r="F23" s="7" t="s">
        <v>77</v>
      </c>
      <c r="G23" s="7" t="s">
        <v>85</v>
      </c>
      <c r="H23" s="8">
        <v>86000</v>
      </c>
      <c r="I23" s="8" t="s">
        <v>86</v>
      </c>
      <c r="J23" s="8">
        <v>0</v>
      </c>
      <c r="K23" s="8">
        <v>0</v>
      </c>
      <c r="L23" s="8">
        <v>0</v>
      </c>
      <c r="M23" s="8">
        <v>0</v>
      </c>
      <c r="N23" s="8">
        <v>0</v>
      </c>
      <c r="O23" s="8"/>
      <c r="P23" s="8">
        <v>0</v>
      </c>
      <c r="Q23" s="8">
        <v>0</v>
      </c>
      <c r="R23" s="8">
        <v>0</v>
      </c>
      <c r="S23" s="7" t="s">
        <v>77</v>
      </c>
      <c r="T23" s="7" t="s">
        <v>101</v>
      </c>
      <c r="U23" s="8"/>
      <c r="V23" s="6"/>
    </row>
    <row r="24" s="1" customFormat="1" customHeight="1" spans="1:22">
      <c r="A24" s="7" t="s">
        <v>181</v>
      </c>
      <c r="B24" s="7" t="s">
        <v>182</v>
      </c>
      <c r="C24" s="7" t="s">
        <v>183</v>
      </c>
      <c r="D24" s="7" t="s">
        <v>90</v>
      </c>
      <c r="E24" s="7" t="s">
        <v>184</v>
      </c>
      <c r="F24" s="7" t="s">
        <v>77</v>
      </c>
      <c r="G24" s="7" t="s">
        <v>85</v>
      </c>
      <c r="H24" s="8">
        <v>74000</v>
      </c>
      <c r="I24" s="8" t="s">
        <v>86</v>
      </c>
      <c r="J24" s="8">
        <v>0</v>
      </c>
      <c r="K24" s="8">
        <v>0</v>
      </c>
      <c r="L24" s="8">
        <v>0</v>
      </c>
      <c r="M24" s="8">
        <v>0</v>
      </c>
      <c r="N24" s="8">
        <v>0</v>
      </c>
      <c r="O24" s="8">
        <v>3700</v>
      </c>
      <c r="P24" s="8">
        <v>0</v>
      </c>
      <c r="Q24" s="8">
        <v>0</v>
      </c>
      <c r="R24" s="8">
        <v>0</v>
      </c>
      <c r="S24" s="7" t="s">
        <v>77</v>
      </c>
      <c r="T24" s="7" t="s">
        <v>101</v>
      </c>
      <c r="U24" s="8"/>
      <c r="V24" s="6"/>
    </row>
    <row r="25" s="2" customFormat="1" customHeight="1" spans="1:22">
      <c r="B25" s="10"/>
      <c r="C25" s="10"/>
      <c r="D25" s="10"/>
      <c r="E25" s="10"/>
      <c r="F25" s="10"/>
      <c r="G25" s="10" t="s">
        <v>185</v>
      </c>
      <c r="H25" s="10">
        <f>SUBTOTAL(9,H2:H24)</f>
        <v>10056401.22</v>
      </c>
      <c r="I25" s="10">
        <f t="shared" ref="I25:V25" si="0">SUBTOTAL(9,I2:I24)</f>
        <v>0</v>
      </c>
      <c r="J25" s="10">
        <f t="shared" si="0"/>
        <v>-784229.3</v>
      </c>
      <c r="K25" s="10">
        <f t="shared" si="0"/>
        <v>-820595.7</v>
      </c>
      <c r="L25" s="10">
        <f t="shared" si="0"/>
        <v>1167595.7</v>
      </c>
      <c r="M25" s="10">
        <f t="shared" si="0"/>
        <v>36366.4</v>
      </c>
      <c r="N25" s="10">
        <f t="shared" si="0"/>
        <v>1131229.3</v>
      </c>
      <c r="O25" s="10">
        <f t="shared" si="0"/>
        <v>396933.5</v>
      </c>
      <c r="P25" s="10">
        <f t="shared" si="0"/>
        <v>190620</v>
      </c>
      <c r="Q25" s="10">
        <f t="shared" si="0"/>
        <v>84000</v>
      </c>
      <c r="R25" s="10">
        <f t="shared" si="0"/>
        <v>106620</v>
      </c>
      <c r="S25" s="10">
        <f t="shared" si="0"/>
        <v>0</v>
      </c>
      <c r="T25" s="10">
        <f t="shared" si="0"/>
        <v>0</v>
      </c>
      <c r="U25" s="10">
        <f t="shared" si="0"/>
        <v>0</v>
      </c>
      <c r="V25" s="10">
        <f t="shared" si="0"/>
        <v>1333373.7904</v>
      </c>
    </row>
  </sheetData>
  <autoFilter xmlns:etc="http://www.wps.cn/officeDocument/2017/etCustomData" ref="A1:V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总表</vt:lpstr>
      <vt:lpstr>25年实际</vt:lpstr>
      <vt:lpstr>待完工项目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武汉开明</dc:creator>
  <cp:lastModifiedBy>余丽</cp:lastModifiedBy>
  <dcterms:created xsi:type="dcterms:W3CDTF">2026-03-09T07:13:00Z</dcterms:created>
  <dcterms:modified xsi:type="dcterms:W3CDTF">2026-03-11T10:35:43Z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E89873ADA824441989D69E523D8E0BA8_13</vt:lpwstr>
  </property>
  <property fmtid="{D5CDD505-2E9C-101B-9397-08002B2CF9AE}" pid="3" name="KSOProductBuildVer">
    <vt:lpwstr>2052-12.1.0.25225</vt:lpwstr>
  </property>
  <property fmtid="{D5CDD505-2E9C-101B-9397-08002B2CF9AE}" pid="4" name="CalculationRule">
    <vt:i4>1</vt:i4>
  </property>
</Properties>
</file>