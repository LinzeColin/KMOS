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ezhang/Downloads/"/>
    </mc:Choice>
  </mc:AlternateContent>
  <xr:revisionPtr revIDLastSave="0" documentId="13_ncr:1_{B0F5C6EF-FEB0-E940-9450-FDD31B4D39A6}" xr6:coauthVersionLast="47" xr6:coauthVersionMax="47" xr10:uidLastSave="{00000000-0000-0000-0000-000000000000}"/>
  <bookViews>
    <workbookView xWindow="0" yWindow="740" windowWidth="29400" windowHeight="16780" xr2:uid="{4BF163D6-0942-0248-81B8-7B727506107F}"/>
  </bookViews>
  <sheets>
    <sheet name="原始数据" sheetId="1" r:id="rId1"/>
    <sheet name="合同利润图" sheetId="2" r:id="rId2"/>
    <sheet name="开票利润图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F3" i="1" l="1"/>
  <c r="F4" i="1"/>
  <c r="F5" i="1"/>
  <c r="F11" i="1"/>
  <c r="F12" i="1"/>
  <c r="E4" i="1"/>
  <c r="E5" i="1"/>
  <c r="E6" i="1"/>
  <c r="E7" i="1"/>
  <c r="E8" i="1"/>
  <c r="E9" i="1"/>
  <c r="E10" i="1"/>
  <c r="E11" i="1"/>
  <c r="E12" i="1"/>
  <c r="E3" i="1"/>
  <c r="K4" i="1"/>
  <c r="K5" i="1"/>
  <c r="K6" i="1"/>
  <c r="K7" i="1"/>
  <c r="K8" i="1"/>
  <c r="K9" i="1"/>
  <c r="K10" i="1"/>
  <c r="K11" i="1"/>
  <c r="K12" i="1"/>
  <c r="K3" i="1"/>
  <c r="G13" i="1"/>
  <c r="J13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D3" i="1"/>
  <c r="D4" i="1"/>
  <c r="D5" i="1"/>
  <c r="D6" i="1"/>
  <c r="F6" i="1" s="1"/>
  <c r="D7" i="1"/>
  <c r="F7" i="1" s="1"/>
  <c r="D8" i="1"/>
  <c r="F8" i="1" s="1"/>
  <c r="D9" i="1"/>
  <c r="F9" i="1" s="1"/>
  <c r="D10" i="1"/>
  <c r="F10" i="1" s="1"/>
  <c r="D11" i="1"/>
  <c r="D12" i="1"/>
  <c r="C13" i="1"/>
  <c r="B13" i="1"/>
  <c r="E13" i="1" s="1"/>
  <c r="H13" i="1" l="1"/>
  <c r="I13" i="1" s="1"/>
  <c r="K13" i="1"/>
  <c r="D13" i="1"/>
  <c r="F13" i="1" s="1"/>
</calcChain>
</file>

<file path=xl/sharedStrings.xml><?xml version="1.0" encoding="utf-8"?>
<sst xmlns="http://schemas.openxmlformats.org/spreadsheetml/2006/main" count="26" uniqueCount="26">
  <si>
    <t>费用项目</t>
  </si>
  <si>
    <t>总计成本</t>
  </si>
  <si>
    <t>2025年-01月</t>
  </si>
  <si>
    <t>2025年-02月</t>
  </si>
  <si>
    <t>2025年-03月</t>
  </si>
  <si>
    <t>2025年-04月</t>
  </si>
  <si>
    <t>2025年-05月</t>
  </si>
  <si>
    <t>2025年-06月</t>
  </si>
  <si>
    <t>2025年-07月</t>
  </si>
  <si>
    <t>2025年-08月</t>
  </si>
  <si>
    <t>2025年-09月</t>
  </si>
  <si>
    <t>2025年-10月</t>
  </si>
  <si>
    <t>总计</t>
  </si>
  <si>
    <t>合同总收入</t>
  </si>
  <si>
    <t>开票总收入</t>
  </si>
  <si>
    <t>合同利润</t>
  </si>
  <si>
    <t>开票利润</t>
  </si>
  <si>
    <t>结算总收入</t>
  </si>
  <si>
    <t>结算利润</t>
  </si>
  <si>
    <t>数据来源</t>
  </si>
  <si>
    <t>年度总合同收入</t>
  </si>
  <si>
    <t>年度成本分析</t>
  </si>
  <si>
    <t>合同成本率</t>
  </si>
  <si>
    <t>合同利润率</t>
  </si>
  <si>
    <t>开票利润率</t>
  </si>
  <si>
    <t>结算利润率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</si>
</sst>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4]#,##0.00"/>
  </numFmts>
  <fonts count="4">
    <font>
      <sz val="12"/>
      <color theme="1"/>
      <name val="Aptos Narrow"/>
      <family val="2"/>
      <scheme val="minor"/>
    </font>
    <font>
      <b/>
      <sz val="11"/>
      <name val="宋体"/>
      <charset val="134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/>
    </xf>
    <xf numFmtId="10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sz val="11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1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$-1004]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原始数据!$B$2</c:f>
              <c:strCache>
                <c:ptCount val="1"/>
                <c:pt idx="0">
                  <c:v>总计成本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原始数据!$B$3:$B$12</c:f>
              <c:numCache>
                <c:formatCode>[$$-1004]#,##0.00</c:formatCode>
                <c:ptCount val="10"/>
                <c:pt idx="0">
                  <c:v>1835330.68</c:v>
                </c:pt>
                <c:pt idx="1">
                  <c:v>750717.43999999994</c:v>
                </c:pt>
                <c:pt idx="2">
                  <c:v>1110008.67</c:v>
                </c:pt>
                <c:pt idx="3">
                  <c:v>1136748.8700000001</c:v>
                </c:pt>
                <c:pt idx="4">
                  <c:v>2902414.63</c:v>
                </c:pt>
                <c:pt idx="5">
                  <c:v>2836911.21</c:v>
                </c:pt>
                <c:pt idx="6">
                  <c:v>3762834.58</c:v>
                </c:pt>
                <c:pt idx="7">
                  <c:v>1749357.71</c:v>
                </c:pt>
                <c:pt idx="8">
                  <c:v>1308890.07</c:v>
                </c:pt>
                <c:pt idx="9">
                  <c:v>1126012.24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9-8D49-82EF-6A21A16E11DE}"/>
            </c:ext>
          </c:extLst>
        </c:ser>
        <c:ser>
          <c:idx val="1"/>
          <c:order val="1"/>
          <c:tx>
            <c:strRef>
              <c:f>原始数据!$C$2</c:f>
              <c:strCache>
                <c:ptCount val="1"/>
                <c:pt idx="0">
                  <c:v>合同总收入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原始数据!$C$3:$C$12</c:f>
              <c:numCache>
                <c:formatCode>[$$-1004]#,##0.00</c:formatCode>
                <c:ptCount val="10"/>
                <c:pt idx="0">
                  <c:v>1153000</c:v>
                </c:pt>
                <c:pt idx="1">
                  <c:v>974499.99</c:v>
                </c:pt>
                <c:pt idx="2">
                  <c:v>2855733.73</c:v>
                </c:pt>
                <c:pt idx="3">
                  <c:v>2865659</c:v>
                </c:pt>
                <c:pt idx="4">
                  <c:v>501000</c:v>
                </c:pt>
                <c:pt idx="5">
                  <c:v>4033281.16</c:v>
                </c:pt>
                <c:pt idx="6">
                  <c:v>2766846.11</c:v>
                </c:pt>
                <c:pt idx="7">
                  <c:v>158000</c:v>
                </c:pt>
                <c:pt idx="8">
                  <c:v>2860146</c:v>
                </c:pt>
                <c:pt idx="9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9-8D49-82EF-6A21A16E11DE}"/>
            </c:ext>
          </c:extLst>
        </c:ser>
        <c:ser>
          <c:idx val="2"/>
          <c:order val="2"/>
          <c:tx>
            <c:strRef>
              <c:f>原始数据!$D$2</c:f>
              <c:strCache>
                <c:ptCount val="1"/>
                <c:pt idx="0">
                  <c:v>合同利润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[$$-1004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38100" bIns="54864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原始数据!$D$3:$D$12</c:f>
              <c:numCache>
                <c:formatCode>[$$-1004]#,##0.00</c:formatCode>
                <c:ptCount val="10"/>
                <c:pt idx="0">
                  <c:v>-682330.67999999993</c:v>
                </c:pt>
                <c:pt idx="1">
                  <c:v>223782.55000000005</c:v>
                </c:pt>
                <c:pt idx="2">
                  <c:v>1745725.06</c:v>
                </c:pt>
                <c:pt idx="3">
                  <c:v>1728910.13</c:v>
                </c:pt>
                <c:pt idx="4">
                  <c:v>-2401414.63</c:v>
                </c:pt>
                <c:pt idx="5">
                  <c:v>1196369.9500000002</c:v>
                </c:pt>
                <c:pt idx="6">
                  <c:v>-995988.4700000002</c:v>
                </c:pt>
                <c:pt idx="7">
                  <c:v>-1591357.71</c:v>
                </c:pt>
                <c:pt idx="8">
                  <c:v>1551255.93</c:v>
                </c:pt>
                <c:pt idx="9">
                  <c:v>-576012.24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9-8D49-82EF-6A21A16E11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8325855"/>
        <c:axId val="1517850479"/>
      </c:barChart>
      <c:catAx>
        <c:axId val="119832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50479"/>
        <c:crosses val="autoZero"/>
        <c:auto val="1"/>
        <c:lblAlgn val="ctr"/>
        <c:lblOffset val="100"/>
        <c:noMultiLvlLbl val="0"/>
      </c:catAx>
      <c:valAx>
        <c:axId val="1517850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1004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原始数据!$B$2</c:f>
              <c:strCache>
                <c:ptCount val="1"/>
                <c:pt idx="0">
                  <c:v>总计成本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原始数据!$B$3:$B$12</c:f>
              <c:numCache>
                <c:formatCode>[$$-1004]#,##0.00</c:formatCode>
                <c:ptCount val="10"/>
                <c:pt idx="0">
                  <c:v>1835330.68</c:v>
                </c:pt>
                <c:pt idx="1">
                  <c:v>750717.43999999994</c:v>
                </c:pt>
                <c:pt idx="2">
                  <c:v>1110008.67</c:v>
                </c:pt>
                <c:pt idx="3">
                  <c:v>1136748.8700000001</c:v>
                </c:pt>
                <c:pt idx="4">
                  <c:v>2902414.63</c:v>
                </c:pt>
                <c:pt idx="5">
                  <c:v>2836911.21</c:v>
                </c:pt>
                <c:pt idx="6">
                  <c:v>3762834.58</c:v>
                </c:pt>
                <c:pt idx="7">
                  <c:v>1749357.71</c:v>
                </c:pt>
                <c:pt idx="8">
                  <c:v>1308890.07</c:v>
                </c:pt>
                <c:pt idx="9">
                  <c:v>1126012.24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9-4143-81C9-673EFE6DAD72}"/>
            </c:ext>
          </c:extLst>
        </c:ser>
        <c:ser>
          <c:idx val="1"/>
          <c:order val="1"/>
          <c:tx>
            <c:strRef>
              <c:f>原始数据!$G$2</c:f>
              <c:strCache>
                <c:ptCount val="1"/>
                <c:pt idx="0">
                  <c:v>开票总收入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原始数据!$G$3:$G$12</c:f>
              <c:numCache>
                <c:formatCode>[$$-1004]#,##0.00</c:formatCode>
                <c:ptCount val="10"/>
                <c:pt idx="0">
                  <c:v>128608</c:v>
                </c:pt>
                <c:pt idx="1">
                  <c:v>814477.99</c:v>
                </c:pt>
                <c:pt idx="2">
                  <c:v>1760940</c:v>
                </c:pt>
                <c:pt idx="3">
                  <c:v>2526003.4</c:v>
                </c:pt>
                <c:pt idx="4">
                  <c:v>404690</c:v>
                </c:pt>
                <c:pt idx="5">
                  <c:v>1139951</c:v>
                </c:pt>
                <c:pt idx="6">
                  <c:v>131945</c:v>
                </c:pt>
                <c:pt idx="7">
                  <c:v>50000</c:v>
                </c:pt>
                <c:pt idx="8">
                  <c:v>90000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B9-4143-81C9-673EFE6DAD72}"/>
            </c:ext>
          </c:extLst>
        </c:ser>
        <c:ser>
          <c:idx val="2"/>
          <c:order val="2"/>
          <c:tx>
            <c:strRef>
              <c:f>原始数据!$H$2</c:f>
              <c:strCache>
                <c:ptCount val="1"/>
                <c:pt idx="0">
                  <c:v>开票利润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原始数据!$A$3:$A$12</c:f>
              <c:strCache>
                <c:ptCount val="10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</c:strCache>
            </c:strRef>
          </c:cat>
          <c:val>
            <c:numRef>
              <c:f>原始数据!$H$3:$H$12</c:f>
              <c:numCache>
                <c:formatCode>[$$-1004]#,##0.00</c:formatCode>
                <c:ptCount val="10"/>
                <c:pt idx="0">
                  <c:v>-1706722.68</c:v>
                </c:pt>
                <c:pt idx="1">
                  <c:v>63760.550000000047</c:v>
                </c:pt>
                <c:pt idx="2">
                  <c:v>650931.33000000007</c:v>
                </c:pt>
                <c:pt idx="3">
                  <c:v>1389254.5299999998</c:v>
                </c:pt>
                <c:pt idx="4">
                  <c:v>-2497724.63</c:v>
                </c:pt>
                <c:pt idx="5">
                  <c:v>-1696960.21</c:v>
                </c:pt>
                <c:pt idx="6">
                  <c:v>-3630889.58</c:v>
                </c:pt>
                <c:pt idx="7">
                  <c:v>-1699357.71</c:v>
                </c:pt>
                <c:pt idx="8">
                  <c:v>-1218890.07</c:v>
                </c:pt>
                <c:pt idx="9">
                  <c:v>-1126012.24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B9-4143-81C9-673EFE6DAD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8325855"/>
        <c:axId val="1517850479"/>
      </c:barChart>
      <c:catAx>
        <c:axId val="119832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50479"/>
        <c:crosses val="autoZero"/>
        <c:auto val="1"/>
        <c:lblAlgn val="ctr"/>
        <c:lblOffset val="100"/>
        <c:noMultiLvlLbl val="0"/>
      </c:catAx>
      <c:valAx>
        <c:axId val="1517850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1004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9</xdr:col>
      <xdr:colOff>181430</xdr:colOff>
      <xdr:row>23</xdr:row>
      <xdr:rowOff>195386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C5A03-B4D2-824D-AED5-D04CA7A88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206277</xdr:colOff>
      <xdr:row>24</xdr:row>
      <xdr:rowOff>35728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65BCB-6242-D743-AD8D-FD0ECCC78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5B7FCA-C040-194B-8CCA-40432615E715}" name="Table2" displayName="Table2" ref="A2:L13" totalsRowShown="0" headerRowDxfId="16" dataDxfId="14" headerRowBorderDxfId="15" tableBorderDxfId="13" totalsRowBorderDxfId="12">
  <autoFilter ref="A2:L13" xr:uid="{AB5B7FCA-C040-194B-8CCA-40432615E715}"/>
  <tableColumns count="12">
    <tableColumn id="1" xr3:uid="{958FDC60-FB7F-4E4F-A7A1-DA5C15E3EEC1}" name="费用项目" dataDxfId="11"/>
    <tableColumn id="2" xr3:uid="{DCAD57FD-D3D6-E244-A40A-F479B3FEA136}" name="总计成本" dataDxfId="10"/>
    <tableColumn id="4" xr3:uid="{DCCC796D-2DDE-FD41-B8C7-2DBB3049F08B}" name="合同总收入" dataDxfId="9"/>
    <tableColumn id="6" xr3:uid="{29536F4B-6B59-594B-8F21-665927D905AB}" name="合同利润" dataDxfId="8">
      <calculatedColumnFormula>Table2[[#This Row],[合同总收入]]-Table2[[#This Row],[总计成本]]</calculatedColumnFormula>
    </tableColumn>
    <tableColumn id="3" xr3:uid="{BA4BF851-5147-ED47-97E6-EFE56A9B1BB9}" name="合同成本率" dataDxfId="7">
      <calculatedColumnFormula>Table2[[#This Row],[总计成本]]/Table2[[#This Row],[合同总收入]]</calculatedColumnFormula>
    </tableColumn>
    <tableColumn id="10" xr3:uid="{8A2F00C0-3C00-6B4B-B181-14026B658075}" name="合同利润率" dataDxfId="6">
      <calculatedColumnFormula>Table2[[#This Row],[合同利润]]/Table2[[#This Row],[合同总收入]]</calculatedColumnFormula>
    </tableColumn>
    <tableColumn id="5" xr3:uid="{9C26B51D-07AB-2F4B-B6CB-A112820A030C}" name="开票总收入" dataDxfId="5"/>
    <tableColumn id="7" xr3:uid="{7615E0C7-D561-F049-A51F-0B4798D7479E}" name="开票利润" dataDxfId="4">
      <calculatedColumnFormula>Table2[[#This Row],[开票总收入]]-Table2[[#This Row],[总计成本]]</calculatedColumnFormula>
    </tableColumn>
    <tableColumn id="11" xr3:uid="{A37915A3-07FC-6247-9D08-2EE53307E5CB}" name="开票利润率" dataDxfId="3">
      <calculatedColumnFormula>Table2[[#This Row],[开票利润]]/Table2[[#This Row],[开票总收入]]</calculatedColumnFormula>
    </tableColumn>
    <tableColumn id="8" xr3:uid="{D4EDE27C-CFAD-594A-887F-BE1274E225A5}" name="结算总收入" dataDxfId="2"/>
    <tableColumn id="9" xr3:uid="{0F997735-35E8-464F-A7C8-0A3D6F63D2A7}" name="结算利润" dataDxfId="1">
      <calculatedColumnFormula>Table2[[#This Row],[开票总收入]]-Table2[[#This Row],[总计成本]]</calculatedColumnFormula>
    </tableColumn>
    <tableColumn id="12" xr3:uid="{34967BC6-48D9-BD4D-9550-BA0926B32C27}" name="结算利润率" dataDxfId="0">
      <calculatedColumnFormula>Table2[[#This Row],[结算利润]]/Table2[[#This Row],[结算总收入]]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852E-3237-8F48-9BCE-5B94B56E4537}">
  <dimension ref="A1:L13"/>
  <sheetViews>
    <sheetView tabSelected="1" zoomScale="180" workbookViewId="0">
      <selection activeCell="A3" sqref="A3"/>
    </sheetView>
  </sheetViews>
  <sheetFormatPr baseColWidth="10" defaultRowHeight="16"/>
  <cols>
    <col min="1" max="1" width="13.5" style="3" bestFit="1" customWidth="1"/>
    <col min="2" max="2" width="13.6640625" style="3" bestFit="1" customWidth="1"/>
    <col min="3" max="3" width="15.33203125" style="3" bestFit="1" customWidth="1"/>
    <col min="4" max="4" width="13.5" style="3" bestFit="1" customWidth="1"/>
    <col min="5" max="6" width="13.5" style="3" customWidth="1"/>
    <col min="7" max="7" width="15.33203125" style="3" bestFit="1" customWidth="1"/>
    <col min="8" max="8" width="14.1640625" style="3" bestFit="1" customWidth="1"/>
    <col min="9" max="9" width="14.1640625" style="10" customWidth="1"/>
    <col min="10" max="10" width="15.33203125" style="3" bestFit="1" customWidth="1"/>
    <col min="11" max="11" width="14.1640625" style="3" bestFit="1" customWidth="1"/>
    <col min="12" max="12" width="10.83203125" style="10"/>
    <col min="13" max="16384" width="10.83203125" style="3"/>
  </cols>
  <sheetData>
    <row r="1" spans="1:12" s="8" customFormat="1" ht="15">
      <c r="A1" s="8" t="s">
        <v>19</v>
      </c>
      <c r="B1" s="8" t="s">
        <v>21</v>
      </c>
      <c r="C1" s="8" t="s">
        <v>20</v>
      </c>
    </row>
    <row r="2" spans="1:12">
      <c r="A2" s="1" t="s">
        <v>0</v>
      </c>
      <c r="B2" s="1" t="s">
        <v>1</v>
      </c>
      <c r="C2" s="2" t="s">
        <v>13</v>
      </c>
      <c r="D2" s="2" t="s">
        <v>15</v>
      </c>
      <c r="E2" s="2" t="s">
        <v>22</v>
      </c>
      <c r="F2" s="2" t="s">
        <v>23</v>
      </c>
      <c r="G2" s="2" t="s">
        <v>14</v>
      </c>
      <c r="H2" s="2" t="s">
        <v>16</v>
      </c>
      <c r="I2" s="2" t="s">
        <v>24</v>
      </c>
      <c r="J2" s="2" t="s">
        <v>17</v>
      </c>
      <c r="K2" s="2" t="s">
        <v>18</v>
      </c>
      <c r="L2" s="2" t="s">
        <v>25</v>
      </c>
    </row>
    <row r="3" spans="1:12">
      <c r="A3" s="4" t="s">
        <v>2</v>
      </c>
      <c r="B3" s="5">
        <v>1835330.68</v>
      </c>
      <c r="C3" s="5">
        <v>1153000</v>
      </c>
      <c r="D3" s="5">
        <f>Table2[[#This Row],[合同总收入]]-Table2[[#This Row],[总计成本]]</f>
        <v>-682330.67999999993</v>
      </c>
      <c r="E3" s="9">
        <f>Table2[[#This Row],[总计成本]]/Table2[[#This Row],[合同总收入]]</f>
        <v>1.5917872333044232</v>
      </c>
      <c r="F3" s="9">
        <f>Table2[[#This Row],[合同利润]]/Table2[[#This Row],[合同总收入]]</f>
        <v>-0.59178723330442318</v>
      </c>
      <c r="G3" s="5">
        <v>128608</v>
      </c>
      <c r="H3" s="5">
        <f>Table2[[#This Row],[开票总收入]]-Table2[[#This Row],[总计成本]]</f>
        <v>-1706722.68</v>
      </c>
      <c r="I3" s="9">
        <f>Table2[[#This Row],[开票利润]]/Table2[[#This Row],[开票总收入]]</f>
        <v>-13.270734946504104</v>
      </c>
      <c r="J3" s="5">
        <v>402553.69</v>
      </c>
      <c r="K3" s="5">
        <f>Table2[[#This Row],[结算总收入]]-Table2[[#This Row],[总计成本]]</f>
        <v>-1432776.99</v>
      </c>
      <c r="L3" s="11">
        <f>Table2[[#This Row],[结算利润]]/Table2[[#This Row],[结算总收入]]</f>
        <v>-3.5592196161461094</v>
      </c>
    </row>
    <row r="4" spans="1:12">
      <c r="A4" s="6" t="s">
        <v>3</v>
      </c>
      <c r="B4" s="5">
        <v>750717.43999999994</v>
      </c>
      <c r="C4" s="5">
        <v>974499.99</v>
      </c>
      <c r="D4" s="5">
        <f>Table2[[#This Row],[合同总收入]]-Table2[[#This Row],[总计成本]]</f>
        <v>223782.55000000005</v>
      </c>
      <c r="E4" s="9">
        <f>Table2[[#This Row],[总计成本]]/Table2[[#This Row],[合同总收入]]</f>
        <v>0.77036167029616898</v>
      </c>
      <c r="F4" s="9">
        <f>Table2[[#This Row],[合同利润]]/Table2[[#This Row],[合同总收入]]</f>
        <v>0.22963832970383102</v>
      </c>
      <c r="G4" s="5">
        <v>814477.99</v>
      </c>
      <c r="H4" s="5">
        <f>Table2[[#This Row],[开票总收入]]-Table2[[#This Row],[总计成本]]</f>
        <v>63760.550000000047</v>
      </c>
      <c r="I4" s="9">
        <f>Table2[[#This Row],[开票利润]]/Table2[[#This Row],[开票总收入]]</f>
        <v>7.828394478775301E-2</v>
      </c>
      <c r="J4" s="5">
        <v>780477.99</v>
      </c>
      <c r="K4" s="5">
        <f>Table2[[#This Row],[结算总收入]]-Table2[[#This Row],[总计成本]]</f>
        <v>29760.550000000047</v>
      </c>
      <c r="L4" s="9">
        <f>Table2[[#This Row],[结算利润]]/Table2[[#This Row],[结算总收入]]</f>
        <v>3.8131184199057359E-2</v>
      </c>
    </row>
    <row r="5" spans="1:12">
      <c r="A5" s="4" t="s">
        <v>4</v>
      </c>
      <c r="B5" s="5">
        <v>1110008.67</v>
      </c>
      <c r="C5" s="5">
        <v>2855733.73</v>
      </c>
      <c r="D5" s="5">
        <f>Table2[[#This Row],[合同总收入]]-Table2[[#This Row],[总计成本]]</f>
        <v>1745725.06</v>
      </c>
      <c r="E5" s="9">
        <f>Table2[[#This Row],[总计成本]]/Table2[[#This Row],[合同总收入]]</f>
        <v>0.38869473660627313</v>
      </c>
      <c r="F5" s="9">
        <f>Table2[[#This Row],[合同利润]]/Table2[[#This Row],[合同总收入]]</f>
        <v>0.61130526339372682</v>
      </c>
      <c r="G5" s="5">
        <v>1760940</v>
      </c>
      <c r="H5" s="5">
        <f>Table2[[#This Row],[开票总收入]]-Table2[[#This Row],[总计成本]]</f>
        <v>650931.33000000007</v>
      </c>
      <c r="I5" s="9">
        <f>Table2[[#This Row],[开票利润]]/Table2[[#This Row],[开票总收入]]</f>
        <v>0.36964991992912882</v>
      </c>
      <c r="J5" s="5">
        <v>1760940</v>
      </c>
      <c r="K5" s="5">
        <f>Table2[[#This Row],[结算总收入]]-Table2[[#This Row],[总计成本]]</f>
        <v>650931.33000000007</v>
      </c>
      <c r="L5" s="9">
        <f>Table2[[#This Row],[结算利润]]/Table2[[#This Row],[结算总收入]]</f>
        <v>0.36964991992912882</v>
      </c>
    </row>
    <row r="6" spans="1:12">
      <c r="A6" s="6" t="s">
        <v>5</v>
      </c>
      <c r="B6" s="5">
        <v>1136748.8700000001</v>
      </c>
      <c r="C6" s="5">
        <v>2865659</v>
      </c>
      <c r="D6" s="5">
        <f>Table2[[#This Row],[合同总收入]]-Table2[[#This Row],[总计成本]]</f>
        <v>1728910.13</v>
      </c>
      <c r="E6" s="9">
        <f>Table2[[#This Row],[总计成本]]/Table2[[#This Row],[合同总收入]]</f>
        <v>0.39667974102989928</v>
      </c>
      <c r="F6" s="9">
        <f>Table2[[#This Row],[合同利润]]/Table2[[#This Row],[合同总收入]]</f>
        <v>0.60332025897010078</v>
      </c>
      <c r="G6" s="5">
        <v>2526003.4</v>
      </c>
      <c r="H6" s="5">
        <f>Table2[[#This Row],[开票总收入]]-Table2[[#This Row],[总计成本]]</f>
        <v>1389254.5299999998</v>
      </c>
      <c r="I6" s="9">
        <f>Table2[[#This Row],[开票利润]]/Table2[[#This Row],[开票总收入]]</f>
        <v>0.54998125893258887</v>
      </c>
      <c r="J6" s="5">
        <v>2353599.4</v>
      </c>
      <c r="K6" s="5">
        <f>Table2[[#This Row],[结算总收入]]-Table2[[#This Row],[总计成本]]</f>
        <v>1216850.5299999998</v>
      </c>
      <c r="L6" s="9">
        <f>Table2[[#This Row],[结算利润]]/Table2[[#This Row],[结算总收入]]</f>
        <v>0.51701684237343015</v>
      </c>
    </row>
    <row r="7" spans="1:12">
      <c r="A7" s="4" t="s">
        <v>6</v>
      </c>
      <c r="B7" s="5">
        <v>2902414.63</v>
      </c>
      <c r="C7" s="5">
        <v>501000</v>
      </c>
      <c r="D7" s="5">
        <f>Table2[[#This Row],[合同总收入]]-Table2[[#This Row],[总计成本]]</f>
        <v>-2401414.63</v>
      </c>
      <c r="E7" s="9">
        <f>Table2[[#This Row],[总计成本]]/Table2[[#This Row],[合同总收入]]</f>
        <v>5.7932427744510973</v>
      </c>
      <c r="F7" s="9">
        <f>Table2[[#This Row],[合同利润]]/Table2[[#This Row],[合同总收入]]</f>
        <v>-4.7932427744510973</v>
      </c>
      <c r="G7" s="5">
        <v>404690</v>
      </c>
      <c r="H7" s="5">
        <f>Table2[[#This Row],[开票总收入]]-Table2[[#This Row],[总计成本]]</f>
        <v>-2497724.63</v>
      </c>
      <c r="I7" s="9">
        <f>Table2[[#This Row],[开票利润]]/Table2[[#This Row],[开票总收入]]</f>
        <v>-6.1719455138501074</v>
      </c>
      <c r="J7" s="5">
        <v>443810</v>
      </c>
      <c r="K7" s="5">
        <f>Table2[[#This Row],[结算总收入]]-Table2[[#This Row],[总计成本]]</f>
        <v>-2458604.63</v>
      </c>
      <c r="L7" s="9">
        <f>Table2[[#This Row],[结算利润]]/Table2[[#This Row],[结算总收入]]</f>
        <v>-5.5397684369437368</v>
      </c>
    </row>
    <row r="8" spans="1:12">
      <c r="A8" s="6" t="s">
        <v>7</v>
      </c>
      <c r="B8" s="5">
        <v>2836911.21</v>
      </c>
      <c r="C8" s="5">
        <v>4033281.16</v>
      </c>
      <c r="D8" s="5">
        <f>Table2[[#This Row],[合同总收入]]-Table2[[#This Row],[总计成本]]</f>
        <v>1196369.9500000002</v>
      </c>
      <c r="E8" s="9">
        <f>Table2[[#This Row],[总计成本]]/Table2[[#This Row],[合同总收入]]</f>
        <v>0.70337551424260236</v>
      </c>
      <c r="F8" s="9">
        <f>Table2[[#This Row],[合同利润]]/Table2[[#This Row],[合同总收入]]</f>
        <v>0.29662448575739764</v>
      </c>
      <c r="G8" s="5">
        <v>1139951</v>
      </c>
      <c r="H8" s="5">
        <f>Table2[[#This Row],[开票总收入]]-Table2[[#This Row],[总计成本]]</f>
        <v>-1696960.21</v>
      </c>
      <c r="I8" s="9">
        <f>Table2[[#This Row],[开票利润]]/Table2[[#This Row],[开票总收入]]</f>
        <v>-1.4886255725026778</v>
      </c>
      <c r="J8" s="5">
        <v>1074951</v>
      </c>
      <c r="K8" s="5">
        <f>Table2[[#This Row],[结算总收入]]-Table2[[#This Row],[总计成本]]</f>
        <v>-1761960.21</v>
      </c>
      <c r="L8" s="9">
        <f>Table2[[#This Row],[结算利润]]/Table2[[#This Row],[结算总收入]]</f>
        <v>-1.6391074662938123</v>
      </c>
    </row>
    <row r="9" spans="1:12">
      <c r="A9" s="4" t="s">
        <v>8</v>
      </c>
      <c r="B9" s="5">
        <v>3762834.58</v>
      </c>
      <c r="C9" s="5">
        <v>2766846.11</v>
      </c>
      <c r="D9" s="5">
        <f>Table2[[#This Row],[合同总收入]]-Table2[[#This Row],[总计成本]]</f>
        <v>-995988.4700000002</v>
      </c>
      <c r="E9" s="9">
        <f>Table2[[#This Row],[总计成本]]/Table2[[#This Row],[合同总收入]]</f>
        <v>1.359972485061701</v>
      </c>
      <c r="F9" s="9">
        <f>Table2[[#This Row],[合同利润]]/Table2[[#This Row],[合同总收入]]</f>
        <v>-0.35997248506170088</v>
      </c>
      <c r="G9" s="5">
        <v>131945</v>
      </c>
      <c r="H9" s="5">
        <f>Table2[[#This Row],[开票总收入]]-Table2[[#This Row],[总计成本]]</f>
        <v>-3630889.58</v>
      </c>
      <c r="I9" s="9">
        <f>Table2[[#This Row],[开票利润]]/Table2[[#This Row],[开票总收入]]</f>
        <v>-27.518205161241426</v>
      </c>
      <c r="J9" s="5">
        <v>144380</v>
      </c>
      <c r="K9" s="5">
        <f>Table2[[#This Row],[结算总收入]]-Table2[[#This Row],[总计成本]]</f>
        <v>-3618454.58</v>
      </c>
      <c r="L9" s="9">
        <f>Table2[[#This Row],[结算利润]]/Table2[[#This Row],[结算总收入]]</f>
        <v>-25.062020917024519</v>
      </c>
    </row>
    <row r="10" spans="1:12">
      <c r="A10" s="6" t="s">
        <v>9</v>
      </c>
      <c r="B10" s="5">
        <v>1749357.71</v>
      </c>
      <c r="C10" s="5">
        <v>158000</v>
      </c>
      <c r="D10" s="5">
        <f>Table2[[#This Row],[合同总收入]]-Table2[[#This Row],[总计成本]]</f>
        <v>-1591357.71</v>
      </c>
      <c r="E10" s="9">
        <f>Table2[[#This Row],[总计成本]]/Table2[[#This Row],[合同总收入]]</f>
        <v>11.071884240506328</v>
      </c>
      <c r="F10" s="9">
        <f>Table2[[#This Row],[合同利润]]/Table2[[#This Row],[合同总收入]]</f>
        <v>-10.071884240506328</v>
      </c>
      <c r="G10" s="5">
        <v>50000</v>
      </c>
      <c r="H10" s="5">
        <f>Table2[[#This Row],[开票总收入]]-Table2[[#This Row],[总计成本]]</f>
        <v>-1699357.71</v>
      </c>
      <c r="I10" s="9">
        <f>Table2[[#This Row],[开票利润]]/Table2[[#This Row],[开票总收入]]</f>
        <v>-33.987154199999999</v>
      </c>
      <c r="J10" s="5">
        <v>50000</v>
      </c>
      <c r="K10" s="5">
        <f>Table2[[#This Row],[结算总收入]]-Table2[[#This Row],[总计成本]]</f>
        <v>-1699357.71</v>
      </c>
      <c r="L10" s="9">
        <f>Table2[[#This Row],[结算利润]]/Table2[[#This Row],[结算总收入]]</f>
        <v>-33.987154199999999</v>
      </c>
    </row>
    <row r="11" spans="1:12">
      <c r="A11" s="4" t="s">
        <v>10</v>
      </c>
      <c r="B11" s="5">
        <v>1308890.07</v>
      </c>
      <c r="C11" s="5">
        <v>2860146</v>
      </c>
      <c r="D11" s="5">
        <f>Table2[[#This Row],[合同总收入]]-Table2[[#This Row],[总计成本]]</f>
        <v>1551255.93</v>
      </c>
      <c r="E11" s="9">
        <f>Table2[[#This Row],[总计成本]]/Table2[[#This Row],[合同总收入]]</f>
        <v>0.45763050907191455</v>
      </c>
      <c r="F11" s="9">
        <f>Table2[[#This Row],[合同利润]]/Table2[[#This Row],[合同总收入]]</f>
        <v>0.54236949092808551</v>
      </c>
      <c r="G11" s="5">
        <v>90000</v>
      </c>
      <c r="H11" s="5">
        <f>Table2[[#This Row],[开票总收入]]-Table2[[#This Row],[总计成本]]</f>
        <v>-1218890.07</v>
      </c>
      <c r="I11" s="9">
        <f>Table2[[#This Row],[开票利润]]/Table2[[#This Row],[开票总收入]]</f>
        <v>-13.543223000000001</v>
      </c>
      <c r="J11" s="5">
        <v>90000</v>
      </c>
      <c r="K11" s="5">
        <f>Table2[[#This Row],[结算总收入]]-Table2[[#This Row],[总计成本]]</f>
        <v>-1218890.07</v>
      </c>
      <c r="L11" s="9">
        <f>Table2[[#This Row],[结算利润]]/Table2[[#This Row],[结算总收入]]</f>
        <v>-13.543223000000001</v>
      </c>
    </row>
    <row r="12" spans="1:12">
      <c r="A12" s="6" t="s">
        <v>11</v>
      </c>
      <c r="B12" s="5">
        <v>1126012.24</v>
      </c>
      <c r="C12" s="5">
        <v>550000</v>
      </c>
      <c r="D12" s="5">
        <f>Table2[[#This Row],[合同总收入]]-Table2[[#This Row],[总计成本]]</f>
        <v>-576012.24</v>
      </c>
      <c r="E12" s="9">
        <f>Table2[[#This Row],[总计成本]]/Table2[[#This Row],[合同总收入]]</f>
        <v>2.0472949818181818</v>
      </c>
      <c r="F12" s="9">
        <f>Table2[[#This Row],[合同利润]]/Table2[[#This Row],[合同总收入]]</f>
        <v>-1.0472949818181818</v>
      </c>
      <c r="G12" s="5">
        <v>0</v>
      </c>
      <c r="H12" s="5">
        <f>Table2[[#This Row],[开票总收入]]-Table2[[#This Row],[总计成本]]</f>
        <v>-1126012.24</v>
      </c>
      <c r="I12" s="9" t="e">
        <f>Table2[[#This Row],[开票利润]]/Table2[[#This Row],[开票总收入]]</f>
        <v>#DIV/0!</v>
      </c>
      <c r="J12" s="5">
        <v>0</v>
      </c>
      <c r="K12" s="5">
        <f>Table2[[#This Row],[结算总收入]]-Table2[[#This Row],[总计成本]]</f>
        <v>-1126012.24</v>
      </c>
      <c r="L12" s="9" t="e">
        <f>Table2[[#This Row],[结算利润]]/Table2[[#This Row],[结算总收入]]</f>
        <v>#DIV/0!</v>
      </c>
    </row>
    <row r="13" spans="1:12">
      <c r="A13" s="7" t="s">
        <v>12</v>
      </c>
      <c r="B13" s="5">
        <f>SUM(B3:B12)</f>
        <v>18519226.099999998</v>
      </c>
      <c r="C13" s="5">
        <f t="shared" ref="C13:D13" si="0">SUM(C3:C12)</f>
        <v>18718165.990000002</v>
      </c>
      <c r="D13" s="5">
        <f t="shared" si="0"/>
        <v>198939.89000000013</v>
      </c>
      <c r="E13" s="9">
        <f>Table2[[#This Row],[总计成本]]/Table2[[#This Row],[合同总收入]]</f>
        <v>0.98937182787532252</v>
      </c>
      <c r="F13" s="9">
        <f>Table2[[#This Row],[合同利润]]/Table2[[#This Row],[合同总收入]]</f>
        <v>1.062817212467727E-2</v>
      </c>
      <c r="G13" s="5">
        <f t="shared" ref="G13:H13" si="1">SUM(G3:G12)</f>
        <v>7046615.3900000006</v>
      </c>
      <c r="H13" s="5">
        <f t="shared" si="1"/>
        <v>-11472610.709999999</v>
      </c>
      <c r="I13" s="9">
        <f>Table2[[#This Row],[开票利润]]/Table2[[#This Row],[开票总收入]]</f>
        <v>-1.6281022980594373</v>
      </c>
      <c r="J13" s="5">
        <f t="shared" ref="J13:K13" si="2">SUM(J3:J12)</f>
        <v>7100712.0800000001</v>
      </c>
      <c r="K13" s="5">
        <f t="shared" si="2"/>
        <v>-11418514.020000001</v>
      </c>
      <c r="L13" s="12">
        <f>Table2[[#This Row],[结算利润]]/Table2[[#This Row],[结算总收入]]</f>
        <v>-1.6080801321548586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6156-7AFE-EA45-B564-EA20EA973CA5}">
  <dimension ref="A1"/>
  <sheetViews>
    <sheetView topLeftCell="A2" zoomScale="161" workbookViewId="0"/>
  </sheetViews>
  <sheetFormatPr baseColWidth="10" defaultRowHeight="16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BEB-8B0A-DD40-8776-0C468E82F54E}">
  <dimension ref="A1"/>
  <sheetViews>
    <sheetView topLeftCell="A6" zoomScale="183" workbookViewId="0"/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原始数据</vt:lpstr>
      <vt:lpstr>合同利润图</vt:lpstr>
      <vt:lpstr>开票利润图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 Zhang</dc:creator>
  <cp:lastModifiedBy>Linze Zhang</cp:lastModifiedBy>
  <dcterms:created xsi:type="dcterms:W3CDTF">2025-11-12T06:23:37Z</dcterms:created>
  <dcterms:modified xsi:type="dcterms:W3CDTF">2025-11-20T03:13:15Z</dcterms:modified>
</cp:coreProperties>
</file>