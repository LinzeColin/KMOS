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255" tabRatio="807" firstSheet="2" activeTab="5"/>
  </bookViews>
  <sheets>
    <sheet name="1月" sheetId="29" r:id="rId1"/>
    <sheet name="2月" sheetId="31" r:id="rId2"/>
    <sheet name="3月" sheetId="32" r:id="rId3"/>
    <sheet name="4月" sheetId="33" r:id="rId4"/>
    <sheet name="5月" sheetId="34" r:id="rId5"/>
    <sheet name="6月" sheetId="35" r:id="rId6"/>
    <sheet name="7月" sheetId="36" r:id="rId7"/>
    <sheet name="8月" sheetId="37" r:id="rId8"/>
    <sheet name="9月" sheetId="38" r:id="rId9"/>
    <sheet name="10月" sheetId="39" r:id="rId10"/>
    <sheet name="11月" sheetId="40" r:id="rId11"/>
    <sheet name="12月" sheetId="41" r:id="rId12"/>
    <sheet name="汇总" sheetId="2" r:id="rId13"/>
    <sheet name="Sheet1" sheetId="17" state="hidden" r:id="rId14"/>
    <sheet name="保证金" sheetId="19" r:id="rId15"/>
    <sheet name="Sheet2" sheetId="22" state="hidden" r:id="rId16"/>
    <sheet name="2026回款汇总表" sheetId="30" r:id="rId17"/>
    <sheet name="2024年回款明细汇总" sheetId="42" r:id="rId18"/>
  </sheets>
  <externalReferences>
    <externalReference r:id="rId23"/>
    <externalReference r:id="rId24"/>
  </externalReferences>
  <definedNames>
    <definedName name="_xlnm._FilterDatabase" localSheetId="0" hidden="1">'1月'!$A$2:$L$57</definedName>
    <definedName name="_xlnm._FilterDatabase" localSheetId="1" hidden="1">'2月'!$A$2:$P$46</definedName>
    <definedName name="_xlnm._FilterDatabase" localSheetId="2" hidden="1">'3月'!$A$2:$J$41</definedName>
    <definedName name="_xlnm._FilterDatabase" localSheetId="3" hidden="1">'4月'!$A$2:$J$54</definedName>
    <definedName name="_xlnm._FilterDatabase" localSheetId="7" hidden="1">'8月'!$A$2:$K$68</definedName>
    <definedName name="_xlnm._FilterDatabase" localSheetId="8" hidden="1">'9月'!$A$2:$L$83</definedName>
    <definedName name="_xlnm._FilterDatabase" localSheetId="9" hidden="1">'10月'!$A$2:$J$67</definedName>
    <definedName name="_xlnm._FilterDatabase" localSheetId="14" hidden="1">保证金!$A$2:$J$68</definedName>
    <definedName name="_xlnm._FilterDatabase" localSheetId="16" hidden="1">'2026回款汇总表'!$A$1:$J$686</definedName>
    <definedName name="_xlnm._FilterDatabase" localSheetId="17" hidden="1">'2024年回款明细汇总'!$C$1:$C$679</definedName>
    <definedName name="收支类别">[1]资金账户!$K$3:$W$3</definedName>
    <definedName name="_xlnm.Print_Titles" localSheetId="0">'1月'!$2:$2</definedName>
  </definedNames>
  <calcPr calcId="191029"/>
  <pivotCaches>
    <pivotCache cacheId="0" r:id="rId2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E45" authorId="0">
      <text>
        <r>
          <rPr>
            <b/>
            <sz val="9"/>
            <rFont val="宋体"/>
            <charset val="134"/>
          </rPr>
          <t>Administrator:</t>
        </r>
        <r>
          <rPr>
            <sz val="9"/>
            <rFont val="宋体"/>
            <charset val="134"/>
          </rPr>
          <t xml:space="preserve">
2025.1.26银承77035.7</t>
        </r>
      </text>
    </comment>
    <comment ref="E48" authorId="0">
      <text>
        <r>
          <rPr>
            <b/>
            <sz val="9"/>
            <rFont val="宋体"/>
            <charset val="134"/>
          </rPr>
          <t>Administrator:</t>
        </r>
        <r>
          <rPr>
            <sz val="9"/>
            <rFont val="宋体"/>
            <charset val="134"/>
          </rPr>
          <t xml:space="preserve">
2025.1.27电汇58411.7</t>
        </r>
      </text>
    </comment>
    <comment ref="E52" authorId="0">
      <text>
        <r>
          <rPr>
            <b/>
            <sz val="9"/>
            <rFont val="宋体"/>
            <charset val="134"/>
          </rPr>
          <t>Administrator:</t>
        </r>
        <r>
          <rPr>
            <sz val="9"/>
            <rFont val="宋体"/>
            <charset val="134"/>
          </rPr>
          <t xml:space="preserve">
2025.1.27电汇3万</t>
        </r>
      </text>
    </comment>
    <comment ref="E54" authorId="0">
      <text>
        <r>
          <rPr>
            <b/>
            <sz val="9"/>
            <rFont val="宋体"/>
            <charset val="134"/>
          </rPr>
          <t>Administrator:</t>
        </r>
        <r>
          <rPr>
            <sz val="9"/>
            <rFont val="宋体"/>
            <charset val="134"/>
          </rPr>
          <t xml:space="preserve">
2025.1.27电汇3万</t>
        </r>
      </text>
    </comment>
  </commentList>
</comments>
</file>

<file path=xl/comments2.xml><?xml version="1.0" encoding="utf-8"?>
<comments xmlns="http://schemas.openxmlformats.org/spreadsheetml/2006/main">
  <authors>
    <author>D</author>
  </authors>
  <commentList>
    <comment ref="E34" authorId="0">
      <text>
        <r>
          <rPr>
            <sz val="9"/>
            <rFont val="宋体"/>
            <charset val="134"/>
          </rPr>
          <t>承兑回款655862.09 
保证金多回131.71
合计655993.8元 
此合同下账160249.8元</t>
        </r>
      </text>
    </comment>
    <comment ref="E35" authorId="0">
      <text>
        <r>
          <rPr>
            <b/>
            <sz val="9"/>
            <rFont val="宋体"/>
            <charset val="134"/>
          </rPr>
          <t>D:</t>
        </r>
        <r>
          <rPr>
            <sz val="9"/>
            <rFont val="宋体"/>
            <charset val="134"/>
          </rPr>
          <t xml:space="preserve">
承兑回款655862.09 
保证金多回131.71
合计655993.8元 
此合同下账53207.2元</t>
        </r>
      </text>
    </comment>
    <comment ref="E36" authorId="0">
      <text>
        <r>
          <rPr>
            <b/>
            <sz val="9"/>
            <rFont val="宋体"/>
            <charset val="134"/>
          </rPr>
          <t>D:</t>
        </r>
        <r>
          <rPr>
            <sz val="9"/>
            <rFont val="宋体"/>
            <charset val="134"/>
          </rPr>
          <t xml:space="preserve">
承兑回款655862.09 
保证金多回131.71
合计655993.8元 
此合同下账106640.7元</t>
        </r>
      </text>
    </comment>
    <comment ref="E37" authorId="0">
      <text>
        <r>
          <rPr>
            <b/>
            <sz val="9"/>
            <rFont val="宋体"/>
            <charset val="134"/>
          </rPr>
          <t>D:</t>
        </r>
        <r>
          <rPr>
            <sz val="9"/>
            <rFont val="宋体"/>
            <charset val="134"/>
          </rPr>
          <t xml:space="preserve">
承兑回款655862.09 
保证金多回131.71
合计655993.8元 
此合同下账84914.6元</t>
        </r>
      </text>
    </comment>
    <comment ref="E38" authorId="0">
      <text>
        <r>
          <rPr>
            <b/>
            <sz val="9"/>
            <rFont val="宋体"/>
            <charset val="134"/>
          </rPr>
          <t>D:</t>
        </r>
        <r>
          <rPr>
            <sz val="9"/>
            <rFont val="宋体"/>
            <charset val="134"/>
          </rPr>
          <t xml:space="preserve">
承兑回款655862.09 
保证金多回131.71
合计655993.8元 
此合同下账84122.1元</t>
        </r>
      </text>
    </comment>
    <comment ref="E39" authorId="0">
      <text>
        <r>
          <rPr>
            <b/>
            <sz val="9"/>
            <rFont val="宋体"/>
            <charset val="134"/>
          </rPr>
          <t>D:</t>
        </r>
        <r>
          <rPr>
            <sz val="9"/>
            <rFont val="宋体"/>
            <charset val="134"/>
          </rPr>
          <t xml:space="preserve">
承兑回款655862.09 
保证金多回131.71
合计655993.8元 
此合同下账166859.4元</t>
        </r>
      </text>
    </comment>
  </commentList>
</comments>
</file>

<file path=xl/comments3.xml><?xml version="1.0" encoding="utf-8"?>
<comments xmlns="http://schemas.openxmlformats.org/spreadsheetml/2006/main">
  <authors>
    <author>Administrator</author>
  </authors>
  <commentList>
    <comment ref="I21" authorId="0">
      <text>
        <r>
          <rPr>
            <sz val="9"/>
            <rFont val="宋体"/>
            <charset val="134"/>
          </rPr>
          <t>Administrator:
2024.11.11联系郭晓花提交八钢审计未开票产值</t>
        </r>
      </text>
    </comment>
  </commentList>
</comments>
</file>

<file path=xl/comments4.xml><?xml version="1.0" encoding="utf-8"?>
<comments xmlns="http://schemas.openxmlformats.org/spreadsheetml/2006/main">
  <authors>
    <author>Administrator</author>
  </authors>
  <commentList>
    <comment ref="E8" authorId="0">
      <text>
        <r>
          <rPr>
            <sz val="9"/>
            <rFont val="宋体"/>
            <charset val="134"/>
          </rPr>
          <t>2025-8-6收21150元，下3600元</t>
        </r>
      </text>
    </comment>
    <comment ref="E9" authorId="0">
      <text>
        <r>
          <rPr>
            <sz val="9"/>
            <rFont val="宋体"/>
            <charset val="134"/>
          </rPr>
          <t xml:space="preserve">2025-8-6收21150元，下4500元
</t>
        </r>
      </text>
    </comment>
    <comment ref="E10" authorId="0">
      <text>
        <r>
          <rPr>
            <sz val="9"/>
            <rFont val="宋体"/>
            <charset val="134"/>
          </rPr>
          <t xml:space="preserve">2025-8-6收21150元，下2500元
</t>
        </r>
      </text>
    </comment>
    <comment ref="E11" authorId="0">
      <text>
        <r>
          <rPr>
            <sz val="9"/>
            <rFont val="宋体"/>
            <charset val="134"/>
          </rPr>
          <t xml:space="preserve">2025-8-6收21150元，下4900元
</t>
        </r>
      </text>
    </comment>
    <comment ref="E12" authorId="0">
      <text>
        <r>
          <rPr>
            <sz val="9"/>
            <rFont val="宋体"/>
            <charset val="134"/>
          </rPr>
          <t xml:space="preserve">2025-8-6收21150元，下5650元
</t>
        </r>
      </text>
    </comment>
    <comment ref="E17" authorId="0">
      <text>
        <r>
          <rPr>
            <sz val="9"/>
            <rFont val="宋体"/>
            <charset val="134"/>
          </rPr>
          <t>2025-8-12收17414.18元，下3434.18元</t>
        </r>
      </text>
    </comment>
    <comment ref="E18" authorId="0">
      <text>
        <r>
          <rPr>
            <sz val="9"/>
            <rFont val="宋体"/>
            <charset val="134"/>
          </rPr>
          <t>2025-8-12收17414.18元，下12480元</t>
        </r>
      </text>
    </comment>
    <comment ref="E19" authorId="0">
      <text>
        <r>
          <rPr>
            <sz val="9"/>
            <rFont val="宋体"/>
            <charset val="134"/>
          </rPr>
          <t xml:space="preserve">2025-8-12收17414.18元，下1500元
</t>
        </r>
      </text>
    </comment>
    <comment ref="E34" authorId="0">
      <text>
        <r>
          <rPr>
            <sz val="9"/>
            <rFont val="宋体"/>
            <charset val="134"/>
          </rPr>
          <t xml:space="preserve">2025-8-28收25300元承兑，下此账15700元
</t>
        </r>
      </text>
    </comment>
    <comment ref="E35" authorId="0">
      <text>
        <r>
          <rPr>
            <sz val="9"/>
            <rFont val="宋体"/>
            <charset val="134"/>
          </rPr>
          <t xml:space="preserve">2025-8-28收25300元承兑，下此账9600元
</t>
        </r>
      </text>
    </comment>
    <comment ref="E36" authorId="0">
      <text>
        <r>
          <rPr>
            <sz val="9"/>
            <rFont val="宋体"/>
            <charset val="134"/>
          </rPr>
          <t xml:space="preserve">2025-8-28收1万元，下7464.22元
</t>
        </r>
      </text>
    </comment>
    <comment ref="E37" authorId="0">
      <text>
        <r>
          <rPr>
            <sz val="9"/>
            <rFont val="宋体"/>
            <charset val="134"/>
          </rPr>
          <t xml:space="preserve">2025-8-28收1万元，下2535.78元
</t>
        </r>
      </text>
    </comment>
    <comment ref="E41" authorId="0">
      <text>
        <r>
          <rPr>
            <sz val="9"/>
            <rFont val="宋体"/>
            <charset val="134"/>
          </rPr>
          <t>回款9068.95元，下此账4800元</t>
        </r>
      </text>
    </comment>
    <comment ref="E42" authorId="0">
      <text>
        <r>
          <rPr>
            <sz val="9"/>
            <rFont val="宋体"/>
            <charset val="134"/>
          </rPr>
          <t xml:space="preserve">回款9068.95元，下此账3800元
</t>
        </r>
      </text>
    </comment>
    <comment ref="E43" authorId="0">
      <text>
        <r>
          <rPr>
            <sz val="9"/>
            <rFont val="宋体"/>
            <charset val="134"/>
          </rPr>
          <t>回款9068.95元，下此账468.95元</t>
        </r>
      </text>
    </comment>
    <comment ref="E50" authorId="0">
      <text>
        <r>
          <rPr>
            <sz val="9"/>
            <rFont val="宋体"/>
            <charset val="134"/>
          </rPr>
          <t>回款72800元，下此账22000.</t>
        </r>
      </text>
    </comment>
    <comment ref="E51" authorId="0">
      <text>
        <r>
          <rPr>
            <sz val="9"/>
            <rFont val="宋体"/>
            <charset val="134"/>
          </rPr>
          <t xml:space="preserve">回款72800元，下此账50800.
</t>
        </r>
      </text>
    </comment>
    <comment ref="E52" authorId="0">
      <text>
        <r>
          <rPr>
            <sz val="9"/>
            <rFont val="宋体"/>
            <charset val="134"/>
          </rPr>
          <t xml:space="preserve">回款76667.5元，下此账3000.
</t>
        </r>
      </text>
    </comment>
    <comment ref="E53" authorId="0">
      <text>
        <r>
          <rPr>
            <sz val="9"/>
            <rFont val="宋体"/>
            <charset val="134"/>
          </rPr>
          <t xml:space="preserve">回款76667.5元，下此账42000.
</t>
        </r>
      </text>
    </comment>
    <comment ref="E54" authorId="0">
      <text>
        <r>
          <rPr>
            <sz val="9"/>
            <rFont val="宋体"/>
            <charset val="134"/>
          </rPr>
          <t xml:space="preserve">回款76667.5元，下此账18294.3
.
</t>
        </r>
      </text>
    </comment>
    <comment ref="E55" authorId="0">
      <text>
        <r>
          <rPr>
            <sz val="9"/>
            <rFont val="宋体"/>
            <charset val="134"/>
          </rPr>
          <t xml:space="preserve">回款76667.5元，下此账8840.4.
</t>
        </r>
      </text>
    </comment>
    <comment ref="E56" authorId="0">
      <text>
        <r>
          <rPr>
            <sz val="9"/>
            <rFont val="宋体"/>
            <charset val="134"/>
          </rPr>
          <t xml:space="preserve">回款76667.5元，下此账4532.8
.
</t>
        </r>
      </text>
    </comment>
    <comment ref="E57" authorId="0">
      <text>
        <r>
          <rPr>
            <sz val="9"/>
            <rFont val="宋体"/>
            <charset val="134"/>
          </rPr>
          <t>回款117131.61元，下此账10905.5</t>
        </r>
      </text>
    </comment>
    <comment ref="E58" authorId="0">
      <text>
        <r>
          <rPr>
            <sz val="9"/>
            <rFont val="宋体"/>
            <charset val="134"/>
          </rPr>
          <t xml:space="preserve">回款117131.61元，下此账5040.9
</t>
        </r>
      </text>
    </comment>
    <comment ref="E59" authorId="0">
      <text>
        <r>
          <rPr>
            <sz val="9"/>
            <rFont val="宋体"/>
            <charset val="134"/>
          </rPr>
          <t>回款117131.61元，下此账33887.4</t>
        </r>
      </text>
    </comment>
    <comment ref="E60" authorId="0">
      <text>
        <r>
          <rPr>
            <sz val="9"/>
            <rFont val="宋体"/>
            <charset val="134"/>
          </rPr>
          <t xml:space="preserve">回款117131.61元，下此账67297.81
</t>
        </r>
      </text>
    </comment>
    <comment ref="E62" authorId="0">
      <text>
        <r>
          <rPr>
            <sz val="9"/>
            <rFont val="宋体"/>
            <charset val="134"/>
          </rPr>
          <t xml:space="preserve">回款38210元，下此账15200.84元
</t>
        </r>
      </text>
    </comment>
    <comment ref="E63" authorId="0">
      <text>
        <r>
          <rPr>
            <sz val="9"/>
            <rFont val="宋体"/>
            <charset val="134"/>
          </rPr>
          <t xml:space="preserve">回款38210元，下此账23009.16元
</t>
        </r>
      </text>
    </comment>
    <comment ref="E64" authorId="0">
      <text>
        <r>
          <rPr>
            <sz val="9"/>
            <rFont val="宋体"/>
            <charset val="134"/>
          </rPr>
          <t xml:space="preserve">回款3万元，下此账0.45元
</t>
        </r>
      </text>
    </comment>
    <comment ref="E65" authorId="0">
      <text>
        <r>
          <rPr>
            <sz val="9"/>
            <rFont val="宋体"/>
            <charset val="134"/>
          </rPr>
          <t xml:space="preserve">回款3万元，下此账12000元
</t>
        </r>
      </text>
    </comment>
    <comment ref="E66" authorId="0">
      <text>
        <r>
          <rPr>
            <sz val="9"/>
            <rFont val="宋体"/>
            <charset val="134"/>
          </rPr>
          <t xml:space="preserve">回款3万元，下此账17999.55元
</t>
        </r>
      </text>
    </comment>
    <comment ref="C67" authorId="0">
      <text>
        <r>
          <rPr>
            <sz val="9"/>
            <rFont val="宋体"/>
            <charset val="134"/>
          </rPr>
          <t>下 内乡县万基水泥有限公司 账</t>
        </r>
      </text>
    </comment>
  </commentList>
</comments>
</file>

<file path=xl/comments5.xml><?xml version="1.0" encoding="utf-8"?>
<comments xmlns="http://schemas.openxmlformats.org/spreadsheetml/2006/main">
  <authors>
    <author>Administrator</author>
    <author>D</author>
  </authors>
  <commentList>
    <comment ref="E4" authorId="0">
      <text>
        <r>
          <rPr>
            <sz val="9"/>
            <rFont val="宋体"/>
            <charset val="134"/>
          </rPr>
          <t>回款4500元，下此账1100元</t>
        </r>
      </text>
    </comment>
    <comment ref="C5" authorId="0">
      <text>
        <r>
          <rPr>
            <sz val="9"/>
            <rFont val="宋体"/>
            <charset val="134"/>
          </rPr>
          <t>下账单位河北燕新建材集团有限公司</t>
        </r>
      </text>
    </comment>
    <comment ref="E5" authorId="0">
      <text>
        <r>
          <rPr>
            <sz val="9"/>
            <rFont val="宋体"/>
            <charset val="134"/>
          </rPr>
          <t xml:space="preserve">回款4500元，下此账3400元
</t>
        </r>
      </text>
    </comment>
    <comment ref="C6" authorId="0">
      <text>
        <r>
          <rPr>
            <sz val="9"/>
            <rFont val="宋体"/>
            <charset val="134"/>
          </rPr>
          <t>下账单位：山西昌灏环保科技有限公司</t>
        </r>
      </text>
    </comment>
    <comment ref="E6" authorId="0">
      <text>
        <r>
          <rPr>
            <sz val="9"/>
            <rFont val="宋体"/>
            <charset val="134"/>
          </rPr>
          <t xml:space="preserve">回款17000元，下此账7998元
</t>
        </r>
      </text>
    </comment>
    <comment ref="C7" authorId="0">
      <text>
        <r>
          <rPr>
            <sz val="9"/>
            <rFont val="宋体"/>
            <charset val="134"/>
          </rPr>
          <t>下账单位：山西昌灏环保科技有限公司</t>
        </r>
      </text>
    </comment>
    <comment ref="E7" authorId="0">
      <text>
        <r>
          <rPr>
            <sz val="9"/>
            <rFont val="宋体"/>
            <charset val="134"/>
          </rPr>
          <t xml:space="preserve">回款17000元，下此账4002元
</t>
        </r>
      </text>
    </comment>
    <comment ref="C8" authorId="0">
      <text>
        <r>
          <rPr>
            <sz val="9"/>
            <rFont val="宋体"/>
            <charset val="134"/>
          </rPr>
          <t>下账单位：山西昌灏环保科技有限公司</t>
        </r>
      </text>
    </comment>
    <comment ref="E8" authorId="0">
      <text>
        <r>
          <rPr>
            <sz val="9"/>
            <rFont val="宋体"/>
            <charset val="134"/>
          </rPr>
          <t xml:space="preserve">回款17000元，下此账5000元
</t>
        </r>
      </text>
    </comment>
    <comment ref="E15" authorId="0">
      <text>
        <r>
          <rPr>
            <sz val="9"/>
            <rFont val="宋体"/>
            <charset val="134"/>
          </rPr>
          <t>回款15875.37，下此账9660.37</t>
        </r>
      </text>
    </comment>
    <comment ref="E16" authorId="0">
      <text>
        <r>
          <rPr>
            <sz val="9"/>
            <rFont val="宋体"/>
            <charset val="134"/>
          </rPr>
          <t xml:space="preserve">回款15875.37，下此账6215.
</t>
        </r>
      </text>
    </comment>
    <comment ref="E21" authorId="0">
      <text>
        <r>
          <rPr>
            <sz val="9"/>
            <rFont val="宋体"/>
            <charset val="134"/>
          </rPr>
          <t>下账金额31500元，其中保理费用624.49元。</t>
        </r>
      </text>
    </comment>
    <comment ref="C22" authorId="0">
      <text>
        <r>
          <rPr>
            <sz val="9"/>
            <rFont val="宋体"/>
            <charset val="134"/>
          </rPr>
          <t>下账单位：大同市云中水泥有限责任公司</t>
        </r>
      </text>
    </comment>
    <comment ref="E24" authorId="0">
      <text>
        <r>
          <rPr>
            <sz val="9"/>
            <rFont val="宋体"/>
            <charset val="134"/>
          </rPr>
          <t>回款27939.5元，下此账2105.24元</t>
        </r>
      </text>
    </comment>
    <comment ref="E25" authorId="0">
      <text>
        <r>
          <rPr>
            <sz val="9"/>
            <rFont val="宋体"/>
            <charset val="134"/>
          </rPr>
          <t xml:space="preserve">回款27939.5元，下此账17440.06元
</t>
        </r>
      </text>
    </comment>
    <comment ref="E26" authorId="0">
      <text>
        <r>
          <rPr>
            <sz val="9"/>
            <rFont val="宋体"/>
            <charset val="134"/>
          </rPr>
          <t xml:space="preserve">回款27939.5元，下此账4254.2元
</t>
        </r>
      </text>
    </comment>
    <comment ref="E27" authorId="0">
      <text>
        <r>
          <rPr>
            <sz val="9"/>
            <rFont val="宋体"/>
            <charset val="134"/>
          </rPr>
          <t xml:space="preserve">回款27939.5元，下此账4140.00元
</t>
        </r>
      </text>
    </comment>
    <comment ref="E33" authorId="0">
      <text>
        <r>
          <rPr>
            <sz val="9"/>
            <rFont val="宋体"/>
            <charset val="134"/>
          </rPr>
          <t>回款5万，下此账17900元</t>
        </r>
      </text>
    </comment>
    <comment ref="E34" authorId="0">
      <text>
        <r>
          <rPr>
            <sz val="9"/>
            <rFont val="宋体"/>
            <charset val="134"/>
          </rPr>
          <t xml:space="preserve">回款5万，下此账2100元
</t>
        </r>
      </text>
    </comment>
    <comment ref="E35" authorId="0">
      <text>
        <r>
          <rPr>
            <sz val="9"/>
            <rFont val="宋体"/>
            <charset val="134"/>
          </rPr>
          <t>回款5万，下此账3万元</t>
        </r>
      </text>
    </comment>
    <comment ref="C36" authorId="0">
      <text>
        <r>
          <rPr>
            <sz val="9"/>
            <rFont val="宋体"/>
            <charset val="134"/>
          </rPr>
          <t>下账单位：
青海海西化工建材股份有限公司</t>
        </r>
      </text>
    </comment>
    <comment ref="E37" authorId="0">
      <text>
        <r>
          <rPr>
            <sz val="9"/>
            <rFont val="宋体"/>
            <charset val="134"/>
          </rPr>
          <t>回款2万，下此账13073元</t>
        </r>
      </text>
    </comment>
    <comment ref="E38" authorId="0">
      <text>
        <r>
          <rPr>
            <sz val="9"/>
            <rFont val="宋体"/>
            <charset val="134"/>
          </rPr>
          <t xml:space="preserve">回款2万，下此账6927元
</t>
        </r>
      </text>
    </comment>
    <comment ref="C39" authorId="0">
      <text>
        <r>
          <rPr>
            <sz val="9"/>
            <rFont val="宋体"/>
            <charset val="134"/>
          </rPr>
          <t>信茂收款</t>
        </r>
      </text>
    </comment>
    <comment ref="E40" authorId="0">
      <text>
        <r>
          <rPr>
            <sz val="9"/>
            <rFont val="宋体"/>
            <charset val="134"/>
          </rPr>
          <t>回款9500元，此账下5973.19元</t>
        </r>
      </text>
    </comment>
    <comment ref="E41" authorId="0">
      <text>
        <r>
          <rPr>
            <sz val="9"/>
            <rFont val="宋体"/>
            <charset val="134"/>
          </rPr>
          <t xml:space="preserve">回款9500元，此账下3526.81元
</t>
        </r>
      </text>
    </comment>
    <comment ref="E43" authorId="1">
      <text>
        <r>
          <rPr>
            <b/>
            <sz val="9"/>
            <rFont val="宋体"/>
            <charset val="134"/>
          </rPr>
          <t>D:</t>
        </r>
        <r>
          <rPr>
            <sz val="9"/>
            <rFont val="宋体"/>
            <charset val="134"/>
          </rPr>
          <t xml:space="preserve">
回款75600，下此账53845.8元</t>
        </r>
      </text>
    </comment>
    <comment ref="E44" authorId="1">
      <text>
        <r>
          <rPr>
            <b/>
            <sz val="9"/>
            <rFont val="宋体"/>
            <charset val="134"/>
          </rPr>
          <t>D:</t>
        </r>
        <r>
          <rPr>
            <sz val="9"/>
            <rFont val="宋体"/>
            <charset val="134"/>
          </rPr>
          <t xml:space="preserve">
回款75600，下此账21754.2元
</t>
        </r>
      </text>
    </comment>
    <comment ref="E55" authorId="0">
      <text>
        <r>
          <rPr>
            <sz val="9"/>
            <rFont val="宋体"/>
            <charset val="134"/>
          </rPr>
          <t>回款21607.74元，下此账13522.74元</t>
        </r>
      </text>
    </comment>
    <comment ref="E56" authorId="0">
      <text>
        <r>
          <rPr>
            <sz val="9"/>
            <rFont val="宋体"/>
            <charset val="134"/>
          </rPr>
          <t xml:space="preserve">回款21607.74元，下此账8085.00元
</t>
        </r>
      </text>
    </comment>
    <comment ref="E59" authorId="1">
      <text>
        <r>
          <rPr>
            <b/>
            <sz val="9"/>
            <rFont val="宋体"/>
            <charset val="134"/>
          </rPr>
          <t>D:</t>
        </r>
        <r>
          <rPr>
            <sz val="9"/>
            <rFont val="宋体"/>
            <charset val="134"/>
          </rPr>
          <t xml:space="preserve">
回款6377.77元，下此账245.8元
</t>
        </r>
      </text>
    </comment>
    <comment ref="E60" authorId="1">
      <text>
        <r>
          <rPr>
            <b/>
            <sz val="9"/>
            <rFont val="宋体"/>
            <charset val="134"/>
          </rPr>
          <t>D:</t>
        </r>
        <r>
          <rPr>
            <sz val="9"/>
            <rFont val="宋体"/>
            <charset val="134"/>
          </rPr>
          <t xml:space="preserve">
回款6377.77元，下此账6131.97元
</t>
        </r>
      </text>
    </comment>
    <comment ref="E61" authorId="1">
      <text>
        <r>
          <rPr>
            <b/>
            <sz val="9"/>
            <rFont val="宋体"/>
            <charset val="134"/>
          </rPr>
          <t>D:</t>
        </r>
        <r>
          <rPr>
            <sz val="9"/>
            <rFont val="宋体"/>
            <charset val="134"/>
          </rPr>
          <t xml:space="preserve">
回款5万元，下此账49551.23元</t>
        </r>
      </text>
    </comment>
    <comment ref="E63" authorId="0">
      <text>
        <r>
          <rPr>
            <sz val="9"/>
            <rFont val="宋体"/>
            <charset val="134"/>
          </rPr>
          <t xml:space="preserve">回款2525.35元，下此账2224.62元
</t>
        </r>
      </text>
    </comment>
    <comment ref="E64" authorId="0">
      <text>
        <r>
          <rPr>
            <sz val="9"/>
            <rFont val="宋体"/>
            <charset val="134"/>
          </rPr>
          <t>回款2525.35元，下此账300.73元</t>
        </r>
      </text>
    </comment>
    <comment ref="E77" authorId="0">
      <text>
        <r>
          <rPr>
            <sz val="9"/>
            <rFont val="宋体"/>
            <charset val="134"/>
          </rPr>
          <t>回款9964元，下此账2964.</t>
        </r>
      </text>
    </comment>
    <comment ref="E78" authorId="0">
      <text>
        <r>
          <rPr>
            <sz val="9"/>
            <rFont val="宋体"/>
            <charset val="134"/>
          </rPr>
          <t xml:space="preserve">回款9964元，下此账7000.
</t>
        </r>
      </text>
    </comment>
    <comment ref="C79" authorId="1">
      <text>
        <r>
          <rPr>
            <b/>
            <sz val="9"/>
            <rFont val="宋体"/>
            <charset val="134"/>
          </rPr>
          <t>D:</t>
        </r>
        <r>
          <rPr>
            <sz val="9"/>
            <rFont val="宋体"/>
            <charset val="134"/>
          </rPr>
          <t xml:space="preserve">
下账单位：山东莒州水泥有限公司</t>
        </r>
      </text>
    </comment>
    <comment ref="C83" authorId="1">
      <text>
        <r>
          <rPr>
            <sz val="9"/>
            <rFont val="宋体"/>
            <charset val="134"/>
          </rPr>
          <t>下账单位：青海众信建筑安装有限公司</t>
        </r>
      </text>
    </comment>
  </commentList>
</comments>
</file>

<file path=xl/comments6.xml><?xml version="1.0" encoding="utf-8"?>
<comments xmlns="http://schemas.openxmlformats.org/spreadsheetml/2006/main">
  <authors>
    <author>D</author>
  </authors>
  <commentList>
    <comment ref="C13" authorId="0">
      <text>
        <r>
          <rPr>
            <sz val="9"/>
            <rFont val="宋体"/>
            <charset val="134"/>
          </rPr>
          <t>下账单位黄石成美建材有限公司</t>
        </r>
      </text>
    </comment>
    <comment ref="E21" authorId="0">
      <text>
        <r>
          <rPr>
            <b/>
            <sz val="9"/>
            <rFont val="宋体"/>
            <charset val="134"/>
          </rPr>
          <t>D:</t>
        </r>
        <r>
          <rPr>
            <sz val="9"/>
            <rFont val="宋体"/>
            <charset val="134"/>
          </rPr>
          <t xml:space="preserve">
回款344400元，下此账329000元。</t>
        </r>
      </text>
    </comment>
    <comment ref="E22" authorId="0">
      <text>
        <r>
          <rPr>
            <sz val="9"/>
            <rFont val="宋体"/>
            <charset val="134"/>
          </rPr>
          <t xml:space="preserve">
回款344400元，下此账4000元。
</t>
        </r>
      </text>
    </comment>
    <comment ref="E23" authorId="0">
      <text>
        <r>
          <rPr>
            <b/>
            <sz val="9"/>
            <rFont val="宋体"/>
            <charset val="134"/>
          </rPr>
          <t>D:</t>
        </r>
        <r>
          <rPr>
            <sz val="9"/>
            <rFont val="宋体"/>
            <charset val="134"/>
          </rPr>
          <t xml:space="preserve">
回款344400元，下此账11400元。
</t>
        </r>
      </text>
    </comment>
    <comment ref="E27" authorId="0">
      <text>
        <r>
          <rPr>
            <b/>
            <sz val="9"/>
            <rFont val="宋体"/>
            <charset val="134"/>
          </rPr>
          <t>D:</t>
        </r>
        <r>
          <rPr>
            <sz val="9"/>
            <rFont val="宋体"/>
            <charset val="134"/>
          </rPr>
          <t xml:space="preserve">
回款40990元，下此账13663.66元</t>
        </r>
      </text>
    </comment>
    <comment ref="E28" authorId="0">
      <text>
        <r>
          <rPr>
            <sz val="9"/>
            <rFont val="宋体"/>
            <charset val="134"/>
          </rPr>
          <t xml:space="preserve">D:
回款40990元，下此账8450元
</t>
        </r>
      </text>
    </comment>
    <comment ref="E29" authorId="0">
      <text>
        <r>
          <rPr>
            <sz val="9"/>
            <rFont val="宋体"/>
            <charset val="134"/>
          </rPr>
          <t xml:space="preserve">回款40990元，下此账18876.34元
</t>
        </r>
      </text>
    </comment>
    <comment ref="E30" authorId="0">
      <text>
        <r>
          <rPr>
            <b/>
            <sz val="9"/>
            <rFont val="宋体"/>
            <charset val="134"/>
          </rPr>
          <t>D:</t>
        </r>
        <r>
          <rPr>
            <sz val="9"/>
            <rFont val="宋体"/>
            <charset val="134"/>
          </rPr>
          <t xml:space="preserve">
回款42.5万，下此账24万</t>
        </r>
      </text>
    </comment>
    <comment ref="E31" authorId="0">
      <text>
        <r>
          <rPr>
            <b/>
            <sz val="9"/>
            <rFont val="宋体"/>
            <charset val="134"/>
          </rPr>
          <t>D:</t>
        </r>
        <r>
          <rPr>
            <sz val="9"/>
            <rFont val="宋体"/>
            <charset val="134"/>
          </rPr>
          <t xml:space="preserve">
回款42.5万，下此账19.5万
</t>
        </r>
      </text>
    </comment>
    <comment ref="E38" authorId="0">
      <text>
        <r>
          <rPr>
            <b/>
            <sz val="9"/>
            <rFont val="宋体"/>
            <charset val="134"/>
          </rPr>
          <t>D:</t>
        </r>
        <r>
          <rPr>
            <sz val="9"/>
            <rFont val="宋体"/>
            <charset val="134"/>
          </rPr>
          <t xml:space="preserve">
回款140295元，下此账89550元</t>
        </r>
      </text>
    </comment>
    <comment ref="E39" authorId="0">
      <text>
        <r>
          <rPr>
            <b/>
            <sz val="9"/>
            <rFont val="宋体"/>
            <charset val="134"/>
          </rPr>
          <t>D:</t>
        </r>
        <r>
          <rPr>
            <sz val="9"/>
            <rFont val="宋体"/>
            <charset val="134"/>
          </rPr>
          <t xml:space="preserve">
回款140295元，下此账50745元
</t>
        </r>
      </text>
    </comment>
    <comment ref="E41" authorId="0">
      <text>
        <r>
          <rPr>
            <b/>
            <sz val="9"/>
            <rFont val="宋体"/>
            <charset val="134"/>
          </rPr>
          <t>D:承兑回款61.5万，下此账5.68万</t>
        </r>
      </text>
    </comment>
    <comment ref="E42" authorId="0">
      <text>
        <r>
          <rPr>
            <b/>
            <sz val="9"/>
            <rFont val="宋体"/>
            <charset val="134"/>
          </rPr>
          <t>D:</t>
        </r>
        <r>
          <rPr>
            <sz val="9"/>
            <rFont val="宋体"/>
            <charset val="134"/>
          </rPr>
          <t xml:space="preserve">
承兑回款61.5万，下此账3.2万
</t>
        </r>
      </text>
    </comment>
    <comment ref="E43" authorId="0">
      <text>
        <r>
          <rPr>
            <b/>
            <sz val="9"/>
            <rFont val="宋体"/>
            <charset val="134"/>
          </rPr>
          <t>D:</t>
        </r>
        <r>
          <rPr>
            <sz val="9"/>
            <rFont val="宋体"/>
            <charset val="134"/>
          </rPr>
          <t xml:space="preserve">
承兑回款61.5万，下此账24万
</t>
        </r>
      </text>
    </comment>
    <comment ref="E44" authorId="0">
      <text>
        <r>
          <rPr>
            <b/>
            <sz val="9"/>
            <rFont val="宋体"/>
            <charset val="134"/>
          </rPr>
          <t>D:</t>
        </r>
        <r>
          <rPr>
            <sz val="9"/>
            <rFont val="宋体"/>
            <charset val="134"/>
          </rPr>
          <t xml:space="preserve">
承兑回款61.5万，下此账5.85万
</t>
        </r>
      </text>
    </comment>
    <comment ref="E45" authorId="0">
      <text>
        <r>
          <rPr>
            <b/>
            <sz val="9"/>
            <rFont val="宋体"/>
            <charset val="134"/>
          </rPr>
          <t>D:</t>
        </r>
        <r>
          <rPr>
            <sz val="9"/>
            <rFont val="宋体"/>
            <charset val="134"/>
          </rPr>
          <t xml:space="preserve">
承兑回款61.5万，下此账5.09万
</t>
        </r>
      </text>
    </comment>
    <comment ref="E46" authorId="0">
      <text>
        <r>
          <rPr>
            <b/>
            <sz val="9"/>
            <rFont val="宋体"/>
            <charset val="134"/>
          </rPr>
          <t>D:</t>
        </r>
        <r>
          <rPr>
            <sz val="9"/>
            <rFont val="宋体"/>
            <charset val="134"/>
          </rPr>
          <t xml:space="preserve">
承兑回款61.5万，下此账4.29万
</t>
        </r>
      </text>
    </comment>
    <comment ref="E47" authorId="0">
      <text>
        <r>
          <rPr>
            <b/>
            <sz val="9"/>
            <rFont val="宋体"/>
            <charset val="134"/>
          </rPr>
          <t>D:</t>
        </r>
        <r>
          <rPr>
            <sz val="9"/>
            <rFont val="宋体"/>
            <charset val="134"/>
          </rPr>
          <t xml:space="preserve">
承兑回款61.5万，下此账4.85万
</t>
        </r>
      </text>
    </comment>
    <comment ref="E48" authorId="0">
      <text>
        <r>
          <rPr>
            <b/>
            <sz val="9"/>
            <rFont val="宋体"/>
            <charset val="134"/>
          </rPr>
          <t>D:</t>
        </r>
        <r>
          <rPr>
            <sz val="9"/>
            <rFont val="宋体"/>
            <charset val="134"/>
          </rPr>
          <t xml:space="preserve">
承兑回款61.5万，下此账8.54万
</t>
        </r>
      </text>
    </comment>
    <comment ref="E50" authorId="0">
      <text>
        <r>
          <rPr>
            <b/>
            <sz val="9"/>
            <rFont val="宋体"/>
            <charset val="134"/>
          </rPr>
          <t>D:</t>
        </r>
        <r>
          <rPr>
            <sz val="9"/>
            <rFont val="宋体"/>
            <charset val="134"/>
          </rPr>
          <t xml:space="preserve">
回款5000元，下此账3200元</t>
        </r>
      </text>
    </comment>
    <comment ref="E51" authorId="0">
      <text>
        <r>
          <rPr>
            <b/>
            <sz val="9"/>
            <rFont val="宋体"/>
            <charset val="134"/>
          </rPr>
          <t>D:</t>
        </r>
        <r>
          <rPr>
            <sz val="9"/>
            <rFont val="宋体"/>
            <charset val="134"/>
          </rPr>
          <t xml:space="preserve">
回款5000元，下此账1800元
</t>
        </r>
      </text>
    </comment>
    <comment ref="E52" authorId="0">
      <text>
        <r>
          <rPr>
            <b/>
            <sz val="9"/>
            <rFont val="宋体"/>
            <charset val="134"/>
          </rPr>
          <t>D:</t>
        </r>
        <r>
          <rPr>
            <sz val="9"/>
            <rFont val="宋体"/>
            <charset val="134"/>
          </rPr>
          <t xml:space="preserve">
回款5080元，下此账2500元</t>
        </r>
      </text>
    </comment>
    <comment ref="E53" authorId="0">
      <text>
        <r>
          <rPr>
            <b/>
            <sz val="9"/>
            <rFont val="宋体"/>
            <charset val="134"/>
          </rPr>
          <t>D:</t>
        </r>
        <r>
          <rPr>
            <sz val="9"/>
            <rFont val="宋体"/>
            <charset val="134"/>
          </rPr>
          <t xml:space="preserve">
回款5080元，下此账2580元。</t>
        </r>
      </text>
    </comment>
    <comment ref="E54" authorId="0">
      <text>
        <r>
          <rPr>
            <b/>
            <sz val="9"/>
            <rFont val="宋体"/>
            <charset val="134"/>
          </rPr>
          <t>D:</t>
        </r>
        <r>
          <rPr>
            <sz val="9"/>
            <rFont val="宋体"/>
            <charset val="134"/>
          </rPr>
          <t xml:space="preserve">
调账</t>
        </r>
      </text>
    </comment>
    <comment ref="E55" authorId="0">
      <text>
        <r>
          <rPr>
            <b/>
            <sz val="9"/>
            <rFont val="宋体"/>
            <charset val="134"/>
          </rPr>
          <t>D:</t>
        </r>
        <r>
          <rPr>
            <sz val="9"/>
            <rFont val="宋体"/>
            <charset val="134"/>
          </rPr>
          <t xml:space="preserve">
调账</t>
        </r>
      </text>
    </comment>
    <comment ref="E56" authorId="0">
      <text>
        <r>
          <rPr>
            <b/>
            <sz val="9"/>
            <rFont val="宋体"/>
            <charset val="134"/>
          </rPr>
          <t>D:</t>
        </r>
        <r>
          <rPr>
            <sz val="9"/>
            <rFont val="宋体"/>
            <charset val="134"/>
          </rPr>
          <t xml:space="preserve">
调账</t>
        </r>
      </text>
    </comment>
    <comment ref="E57" authorId="0">
      <text>
        <r>
          <rPr>
            <b/>
            <sz val="9"/>
            <rFont val="宋体"/>
            <charset val="134"/>
          </rPr>
          <t>D:</t>
        </r>
        <r>
          <rPr>
            <sz val="9"/>
            <rFont val="宋体"/>
            <charset val="134"/>
          </rPr>
          <t xml:space="preserve">
调账</t>
        </r>
      </text>
    </comment>
    <comment ref="E58" authorId="0">
      <text>
        <r>
          <rPr>
            <b/>
            <sz val="9"/>
            <rFont val="宋体"/>
            <charset val="134"/>
          </rPr>
          <t>D:</t>
        </r>
        <r>
          <rPr>
            <sz val="9"/>
            <rFont val="宋体"/>
            <charset val="134"/>
          </rPr>
          <t xml:space="preserve">
调账</t>
        </r>
      </text>
    </comment>
    <comment ref="E59" authorId="0">
      <text>
        <r>
          <rPr>
            <b/>
            <sz val="9"/>
            <rFont val="宋体"/>
            <charset val="134"/>
          </rPr>
          <t>D:调账</t>
        </r>
      </text>
    </comment>
    <comment ref="E60" authorId="0">
      <text>
        <r>
          <rPr>
            <b/>
            <sz val="9"/>
            <rFont val="宋体"/>
            <charset val="134"/>
          </rPr>
          <t>D:</t>
        </r>
        <r>
          <rPr>
            <sz val="9"/>
            <rFont val="宋体"/>
            <charset val="134"/>
          </rPr>
          <t xml:space="preserve">
调账</t>
        </r>
      </text>
    </comment>
  </commentList>
</comments>
</file>

<file path=xl/comments7.xml><?xml version="1.0" encoding="utf-8"?>
<comments xmlns="http://schemas.openxmlformats.org/spreadsheetml/2006/main">
  <authors>
    <author>D</author>
  </authors>
  <commentList>
    <comment ref="E6" authorId="0">
      <text>
        <r>
          <rPr>
            <b/>
            <sz val="9"/>
            <rFont val="宋体"/>
            <charset val="134"/>
          </rPr>
          <t>D:</t>
        </r>
        <r>
          <rPr>
            <sz val="9"/>
            <rFont val="宋体"/>
            <charset val="134"/>
          </rPr>
          <t xml:space="preserve">
回款11855.31元，下此账8361.25元</t>
        </r>
      </text>
    </comment>
    <comment ref="E7" authorId="0">
      <text>
        <r>
          <rPr>
            <b/>
            <sz val="9"/>
            <rFont val="宋体"/>
            <charset val="134"/>
          </rPr>
          <t>D:</t>
        </r>
        <r>
          <rPr>
            <sz val="9"/>
            <rFont val="宋体"/>
            <charset val="134"/>
          </rPr>
          <t xml:space="preserve">
D:
回款11855.31元，下此账3494.06元
</t>
        </r>
      </text>
    </comment>
    <comment ref="C10" authorId="0">
      <text>
        <r>
          <rPr>
            <b/>
            <sz val="9"/>
            <rFont val="宋体"/>
            <charset val="134"/>
          </rPr>
          <t>D:</t>
        </r>
        <r>
          <rPr>
            <sz val="9"/>
            <rFont val="宋体"/>
            <charset val="134"/>
          </rPr>
          <t xml:space="preserve">
下账单位：玉溪新平永发新型建材有限公司
</t>
        </r>
      </text>
    </comment>
    <comment ref="E16" authorId="0">
      <text>
        <r>
          <rPr>
            <b/>
            <sz val="9"/>
            <rFont val="宋体"/>
            <charset val="134"/>
          </rPr>
          <t>D:</t>
        </r>
        <r>
          <rPr>
            <sz val="9"/>
            <rFont val="宋体"/>
            <charset val="134"/>
          </rPr>
          <t xml:space="preserve">
回款124033.76，下此账60033.76
</t>
        </r>
      </text>
    </comment>
    <comment ref="E17" authorId="0">
      <text>
        <r>
          <rPr>
            <b/>
            <sz val="9"/>
            <rFont val="宋体"/>
            <charset val="134"/>
          </rPr>
          <t>D:</t>
        </r>
        <r>
          <rPr>
            <sz val="9"/>
            <rFont val="宋体"/>
            <charset val="134"/>
          </rPr>
          <t xml:space="preserve">
回款124033.76，下此账64000</t>
        </r>
      </text>
    </comment>
    <comment ref="E18" authorId="0">
      <text>
        <r>
          <rPr>
            <b/>
            <sz val="9"/>
            <rFont val="宋体"/>
            <charset val="134"/>
          </rPr>
          <t>D:</t>
        </r>
        <r>
          <rPr>
            <sz val="9"/>
            <rFont val="宋体"/>
            <charset val="134"/>
          </rPr>
          <t xml:space="preserve">
回款196000元，下此账96000元</t>
        </r>
      </text>
    </comment>
    <comment ref="E19" authorId="0">
      <text>
        <r>
          <rPr>
            <b/>
            <sz val="9"/>
            <rFont val="宋体"/>
            <charset val="134"/>
          </rPr>
          <t>D:</t>
        </r>
        <r>
          <rPr>
            <sz val="9"/>
            <rFont val="宋体"/>
            <charset val="134"/>
          </rPr>
          <t xml:space="preserve">
回款196000元，下此账100000元</t>
        </r>
      </text>
    </comment>
    <comment ref="E21" authorId="0">
      <text>
        <r>
          <rPr>
            <b/>
            <sz val="9"/>
            <rFont val="宋体"/>
            <charset val="134"/>
          </rPr>
          <t>D:</t>
        </r>
        <r>
          <rPr>
            <sz val="9"/>
            <rFont val="宋体"/>
            <charset val="134"/>
          </rPr>
          <t xml:space="preserve">
回款金额49600元，下此账8100元。</t>
        </r>
      </text>
    </comment>
    <comment ref="E22" authorId="0">
      <text>
        <r>
          <rPr>
            <b/>
            <sz val="9"/>
            <rFont val="宋体"/>
            <charset val="134"/>
          </rPr>
          <t>D:</t>
        </r>
        <r>
          <rPr>
            <sz val="9"/>
            <rFont val="宋体"/>
            <charset val="134"/>
          </rPr>
          <t xml:space="preserve">
回款金额49600元，下此账32000元</t>
        </r>
      </text>
    </comment>
    <comment ref="E23" authorId="0">
      <text>
        <r>
          <rPr>
            <b/>
            <sz val="9"/>
            <rFont val="宋体"/>
            <charset val="134"/>
          </rPr>
          <t>D:</t>
        </r>
        <r>
          <rPr>
            <sz val="9"/>
            <rFont val="宋体"/>
            <charset val="134"/>
          </rPr>
          <t xml:space="preserve">
回款金额49600元，下此账9500元。</t>
        </r>
      </text>
    </comment>
    <comment ref="E30" authorId="0">
      <text>
        <r>
          <rPr>
            <b/>
            <sz val="9"/>
            <rFont val="宋体"/>
            <charset val="134"/>
          </rPr>
          <t>D:</t>
        </r>
        <r>
          <rPr>
            <sz val="9"/>
            <rFont val="宋体"/>
            <charset val="134"/>
          </rPr>
          <t xml:space="preserve">
回款198000元，下此账56516元</t>
        </r>
      </text>
    </comment>
    <comment ref="E31" authorId="0">
      <text>
        <r>
          <rPr>
            <b/>
            <sz val="9"/>
            <rFont val="宋体"/>
            <charset val="134"/>
          </rPr>
          <t>D:</t>
        </r>
        <r>
          <rPr>
            <sz val="9"/>
            <rFont val="宋体"/>
            <charset val="134"/>
          </rPr>
          <t xml:space="preserve">
回款198000元，下此账12002.4元</t>
        </r>
      </text>
    </comment>
    <comment ref="E32" authorId="0">
      <text>
        <r>
          <rPr>
            <b/>
            <sz val="9"/>
            <rFont val="宋体"/>
            <charset val="134"/>
          </rPr>
          <t>D:</t>
        </r>
        <r>
          <rPr>
            <sz val="9"/>
            <rFont val="宋体"/>
            <charset val="134"/>
          </rPr>
          <t xml:space="preserve">
回款198000元，下此账22130.2元</t>
        </r>
      </text>
    </comment>
    <comment ref="E33" authorId="0">
      <text>
        <r>
          <rPr>
            <b/>
            <sz val="9"/>
            <rFont val="宋体"/>
            <charset val="134"/>
          </rPr>
          <t>D:</t>
        </r>
        <r>
          <rPr>
            <sz val="9"/>
            <rFont val="宋体"/>
            <charset val="134"/>
          </rPr>
          <t xml:space="preserve">
回款198000元，下此账50925.3元</t>
        </r>
      </text>
    </comment>
    <comment ref="E34" authorId="0">
      <text>
        <r>
          <rPr>
            <b/>
            <sz val="9"/>
            <rFont val="宋体"/>
            <charset val="134"/>
          </rPr>
          <t>D:</t>
        </r>
        <r>
          <rPr>
            <sz val="9"/>
            <rFont val="宋体"/>
            <charset val="134"/>
          </rPr>
          <t xml:space="preserve">
回款198000元，下此账42872.7元</t>
        </r>
      </text>
    </comment>
    <comment ref="E35" authorId="0">
      <text>
        <r>
          <rPr>
            <b/>
            <sz val="9"/>
            <rFont val="宋体"/>
            <charset val="134"/>
          </rPr>
          <t>D:</t>
        </r>
        <r>
          <rPr>
            <sz val="9"/>
            <rFont val="宋体"/>
            <charset val="134"/>
          </rPr>
          <t xml:space="preserve">
回款198000元，下此账13553.4元
</t>
        </r>
      </text>
    </comment>
    <comment ref="E37" authorId="0">
      <text>
        <r>
          <rPr>
            <b/>
            <sz val="9"/>
            <rFont val="宋体"/>
            <charset val="134"/>
          </rPr>
          <t>D:</t>
        </r>
        <r>
          <rPr>
            <sz val="9"/>
            <rFont val="宋体"/>
            <charset val="134"/>
          </rPr>
          <t xml:space="preserve">
回款270000元，下此账34584.3元</t>
        </r>
      </text>
    </comment>
    <comment ref="E38" authorId="0">
      <text>
        <r>
          <rPr>
            <b/>
            <sz val="9"/>
            <rFont val="宋体"/>
            <charset val="134"/>
          </rPr>
          <t>D:</t>
        </r>
        <r>
          <rPr>
            <sz val="9"/>
            <rFont val="宋体"/>
            <charset val="134"/>
          </rPr>
          <t xml:space="preserve">
回款270000元，下此账85415.7
</t>
        </r>
      </text>
    </comment>
    <comment ref="E39" authorId="0">
      <text>
        <r>
          <rPr>
            <b/>
            <sz val="9"/>
            <rFont val="宋体"/>
            <charset val="134"/>
          </rPr>
          <t>D:</t>
        </r>
        <r>
          <rPr>
            <sz val="9"/>
            <rFont val="宋体"/>
            <charset val="134"/>
          </rPr>
          <t xml:space="preserve">
回款270000元，下此账15万</t>
        </r>
      </text>
    </comment>
    <comment ref="E42" authorId="0">
      <text>
        <r>
          <rPr>
            <b/>
            <sz val="9"/>
            <rFont val="宋体"/>
            <charset val="134"/>
          </rPr>
          <t>D:</t>
        </r>
        <r>
          <rPr>
            <sz val="9"/>
            <rFont val="宋体"/>
            <charset val="134"/>
          </rPr>
          <t xml:space="preserve">
回款30000元，下此账11100元</t>
        </r>
      </text>
    </comment>
    <comment ref="E43" authorId="0">
      <text>
        <r>
          <rPr>
            <sz val="9"/>
            <rFont val="宋体"/>
            <charset val="134"/>
          </rPr>
          <t>回3万，下此账18900元</t>
        </r>
      </text>
    </comment>
  </commentList>
</comments>
</file>

<file path=xl/comments8.xml><?xml version="1.0" encoding="utf-8"?>
<comments xmlns="http://schemas.openxmlformats.org/spreadsheetml/2006/main">
  <authors>
    <author>D</author>
    <author>Administrator</author>
  </authors>
  <commentList>
    <comment ref="F4" authorId="0">
      <text>
        <r>
          <rPr>
            <b/>
            <sz val="9"/>
            <rFont val="宋体"/>
            <charset val="134"/>
          </rPr>
          <t>D:</t>
        </r>
        <r>
          <rPr>
            <sz val="9"/>
            <rFont val="宋体"/>
            <charset val="134"/>
          </rPr>
          <t xml:space="preserve">
余经理确认过</t>
        </r>
      </text>
    </comment>
    <comment ref="E14" authorId="0">
      <text>
        <r>
          <rPr>
            <b/>
            <sz val="9"/>
            <rFont val="宋体"/>
            <charset val="134"/>
          </rPr>
          <t>D:</t>
        </r>
        <r>
          <rPr>
            <sz val="9"/>
            <rFont val="宋体"/>
            <charset val="134"/>
          </rPr>
          <t xml:space="preserve">
回款370438.48元 下账10万</t>
        </r>
      </text>
    </comment>
    <comment ref="E15" authorId="0">
      <text>
        <r>
          <rPr>
            <b/>
            <sz val="9"/>
            <rFont val="宋体"/>
            <charset val="134"/>
          </rPr>
          <t>D:</t>
        </r>
        <r>
          <rPr>
            <sz val="9"/>
            <rFont val="宋体"/>
            <charset val="134"/>
          </rPr>
          <t xml:space="preserve">
回款370438.48元  下账270438.48元</t>
        </r>
      </text>
    </comment>
    <comment ref="I15" authorId="1">
      <text>
        <r>
          <rPr>
            <b/>
            <sz val="9"/>
            <rFont val="宋体"/>
            <charset val="134"/>
          </rPr>
          <t>Administrator:</t>
        </r>
        <r>
          <rPr>
            <sz val="9"/>
            <rFont val="宋体"/>
            <charset val="134"/>
          </rPr>
          <t xml:space="preserve">
2024.11.11八钢还没审计完</t>
        </r>
      </text>
    </comment>
    <comment ref="E26" authorId="0">
      <text>
        <r>
          <rPr>
            <b/>
            <sz val="9"/>
            <rFont val="宋体"/>
            <charset val="134"/>
          </rPr>
          <t>D:</t>
        </r>
        <r>
          <rPr>
            <sz val="9"/>
            <rFont val="宋体"/>
            <charset val="134"/>
          </rPr>
          <t xml:space="preserve">
回款73475，此合同下账1万</t>
        </r>
      </text>
    </comment>
    <comment ref="E27" authorId="0">
      <text>
        <r>
          <rPr>
            <b/>
            <sz val="9"/>
            <rFont val="宋体"/>
            <charset val="134"/>
          </rPr>
          <t>D:</t>
        </r>
        <r>
          <rPr>
            <sz val="9"/>
            <rFont val="宋体"/>
            <charset val="134"/>
          </rPr>
          <t xml:space="preserve">
回款73475元 此合同下账63475</t>
        </r>
      </text>
    </comment>
  </commentList>
</comments>
</file>

<file path=xl/comments9.xml><?xml version="1.0" encoding="utf-8"?>
<comments xmlns="http://schemas.openxmlformats.org/spreadsheetml/2006/main">
  <authors>
    <author>D</author>
  </authors>
  <commentList>
    <comment ref="F28" authorId="0">
      <text>
        <r>
          <rPr>
            <b/>
            <sz val="9"/>
            <rFont val="宋体"/>
            <charset val="134"/>
          </rPr>
          <t>D:</t>
        </r>
        <r>
          <rPr>
            <sz val="9"/>
            <rFont val="宋体"/>
            <charset val="134"/>
          </rPr>
          <t xml:space="preserve">
合计回款90231.71，下账14300</t>
        </r>
      </text>
    </comment>
    <comment ref="F29" authorId="0">
      <text>
        <r>
          <rPr>
            <b/>
            <sz val="9"/>
            <rFont val="宋体"/>
            <charset val="134"/>
          </rPr>
          <t>D:</t>
        </r>
        <r>
          <rPr>
            <sz val="9"/>
            <rFont val="宋体"/>
            <charset val="134"/>
          </rPr>
          <t xml:space="preserve">
合计回款90231.71，下账14300
</t>
        </r>
      </text>
    </comment>
    <comment ref="F30" authorId="0">
      <text>
        <r>
          <rPr>
            <b/>
            <sz val="9"/>
            <rFont val="宋体"/>
            <charset val="134"/>
          </rPr>
          <t>D:</t>
        </r>
        <r>
          <rPr>
            <sz val="9"/>
            <rFont val="宋体"/>
            <charset val="134"/>
          </rPr>
          <t xml:space="preserve">
合计回款90231.71，下账50000  余下131.71元下项目款里
</t>
        </r>
      </text>
    </comment>
  </commentList>
</comments>
</file>

<file path=xl/sharedStrings.xml><?xml version="1.0" encoding="utf-8"?>
<sst xmlns="http://schemas.openxmlformats.org/spreadsheetml/2006/main" count="4013" uniqueCount="1197">
  <si>
    <t>1月回款明细表</t>
  </si>
  <si>
    <t>序列</t>
  </si>
  <si>
    <t>日期</t>
  </si>
  <si>
    <t>公司名称</t>
  </si>
  <si>
    <t>合同号</t>
  </si>
  <si>
    <t>回款金额（元）</t>
  </si>
  <si>
    <t>回款方式</t>
  </si>
  <si>
    <t>备注</t>
  </si>
  <si>
    <t>负责人</t>
  </si>
  <si>
    <t>项目内容</t>
  </si>
  <si>
    <t>计划内外</t>
  </si>
  <si>
    <t>福建鼎信实业有限公司</t>
  </si>
  <si>
    <t>KMX241112-104-XF</t>
  </si>
  <si>
    <t>武汉华夏</t>
  </si>
  <si>
    <t>青海发投碱业有限公司</t>
  </si>
  <si>
    <t>KMX250416-027-XF</t>
  </si>
  <si>
    <t>武汉浦发</t>
  </si>
  <si>
    <t>林全意转款</t>
  </si>
  <si>
    <t>东方希望重庆水泥有限公司</t>
  </si>
  <si>
    <t>KMX250701-054</t>
  </si>
  <si>
    <t>武汉汉口</t>
  </si>
  <si>
    <t>东方希望重庆水泥丰泥焊接修复 2#立磨断裂的摇臂项目</t>
  </si>
  <si>
    <t>内蒙古君正能源化工集团股份有限公司</t>
  </si>
  <si>
    <t>KMX250721-060</t>
  </si>
  <si>
    <t>2025年8月水泥分公司设备大修项目</t>
  </si>
  <si>
    <t>招商银行</t>
  </si>
  <si>
    <t>KMX250529-040</t>
  </si>
  <si>
    <t>福建鼎信实业托轮修补项目</t>
  </si>
  <si>
    <t>联峰钢铁（张家港）有限公司（江苏永钢）</t>
  </si>
  <si>
    <t>KMX250329-026-XF</t>
  </si>
  <si>
    <t>将混料筒给矿端及排矿端的圈带进行修复，对混料筒的 4 个托辊、2 个侧挡辊、大齿圈和小齿轮进行整体调整，并出具检测数据等</t>
  </si>
  <si>
    <t>喀什红旗水泥有限责任公司</t>
  </si>
  <si>
    <t>KMX211028-410-XF</t>
  </si>
  <si>
    <t xml:space="preserve">2500T/D回转窑检修（轮带垫板加垫（甲供材料）；托轮、轮带剥落掉块修复；
托轮车削；轮带磨削；轮带侧面磨削；
液压挡轮车削；回转窑动、静态检测；
回转窑动态托轮受力及窑体中心线调整；
大齿圈翻面及弹簧板更换（甲供材料）及大齿圈销轴镗孔；小齿轮更换及校正（不含压装）；
</t>
  </si>
  <si>
    <t>江苏永钢集团物资贸易有限公司</t>
  </si>
  <si>
    <t>KMX241205-108-XF</t>
  </si>
  <si>
    <t>银行承兑汇票（新）</t>
  </si>
  <si>
    <t>石灰车间二窑回转窑调整项目</t>
  </si>
  <si>
    <t>张家港市联泰科技有限公司（江苏永钢）</t>
  </si>
  <si>
    <t>KMX231018-239-XF</t>
  </si>
  <si>
    <t>球团车间烘干机区域检修工程（1、轮带及配套挡轮更换1套；2、烘干机托轮修复4个；3、烘干机整体调窑；4、大齿圈齿面在线精磨；5、下轮带在线磨削；6、筒体裂纹修补；7、烘干燃烧室火道口铁板更换，耐材砌筑制作；8、外部料斗制作更换；9、内部料斗更换；10、内部扬料板更换；11、螺旋板更换；12、烘干机头尾部鱼鳞片更换；13、割废）</t>
  </si>
  <si>
    <t>冀东海德堡(扶风)水泥有限公司</t>
  </si>
  <si>
    <t>KMX211204-478-XF</t>
  </si>
  <si>
    <t>湖北工行西山</t>
  </si>
  <si>
    <t>5000/D回转窑大齿圈单面磨损修复</t>
  </si>
  <si>
    <t>新疆伊犁钢铁有限责任公司</t>
  </si>
  <si>
    <t>KMX231117-250-XF</t>
  </si>
  <si>
    <t>通宝</t>
  </si>
  <si>
    <t>伊犁钢铁炼铁厂高炉年修维修工程项目</t>
  </si>
  <si>
    <t>富蕴天山水泥有限责任公司</t>
  </si>
  <si>
    <t>KMX240604-071-XF</t>
  </si>
  <si>
    <t>齿轮更换间隙调整</t>
  </si>
  <si>
    <t>江苏金峰水泥集团有限公司</t>
  </si>
  <si>
    <t>湖北京兰水泥集团有限公司</t>
  </si>
  <si>
    <t>KMX202615-001</t>
  </si>
  <si>
    <t>石灰石辊喂机NWG2324-给料辊耐磨堆焊</t>
  </si>
  <si>
    <t>内蒙古宜化化工有限公司</t>
  </si>
  <si>
    <t>KMX250419-028</t>
  </si>
  <si>
    <t>内蒙古宜化化工有限公司新1号炉中修施工项目施工合同</t>
  </si>
  <si>
    <t>KMX240109-010-XF</t>
  </si>
  <si>
    <t>重碱车间2023年新增离心机节能增效技术改造项目（设备、电气、仪表、管道安装）</t>
  </si>
  <si>
    <t>KMX2503018-019-XF</t>
  </si>
  <si>
    <t>青海发投碱业有限公司重碱车间一座碳化塔更新项目施工总承包合同</t>
  </si>
  <si>
    <t>青海发投碱业有限公司煅烧车间轻、重灰闪发器更新项目及轻灰一闪总管、重灰煅烧炉进气总管技改项目施工项目</t>
  </si>
  <si>
    <t>KMX250307-014-XF</t>
  </si>
  <si>
    <t>青海发投碱业有限公司重灰2#、3#、5#重灰炉炉头总成技改项目</t>
  </si>
  <si>
    <t>KMX250429-033</t>
  </si>
  <si>
    <t>青海发投碱业有限公司供压缩 3.82MPA蒸汽管线优化改造及新增重灰减温减压装置(安装)</t>
  </si>
  <si>
    <t>KMX2503018-020-XF</t>
  </si>
  <si>
    <t>青海发投碱业有限公司一期渣场二、三、四级泵站出口平台母管更换项目施工总承包合同</t>
  </si>
  <si>
    <t>KMX250618-049</t>
  </si>
  <si>
    <t>青海发投碱业有限公司重碱车间压缩系统节能降碳技术改造项目窑气管线移位及管线甩头项目</t>
  </si>
  <si>
    <t>KMX250618-046</t>
  </si>
  <si>
    <t>青海发投碱业有限公司重碱车间管线及阀门更换项目</t>
  </si>
  <si>
    <t>KMX250618-048</t>
  </si>
  <si>
    <t>青海发投碱业有限公司重碱车间压缩工段阀门管线更换、新增系统甩头项目</t>
  </si>
  <si>
    <t>KMX250618-047</t>
  </si>
  <si>
    <t>青海发投碱业有限公司重碱车间蒸吸工段阀门及管线更换项目</t>
  </si>
  <si>
    <t>KMX250114-003-XF</t>
  </si>
  <si>
    <t>青海发投碱业有限公司2025 年零星设备维修、安装、更换项目</t>
  </si>
  <si>
    <t>KMX240508-064-XF</t>
  </si>
  <si>
    <t>水气车间阀门、管线、伸缩节更换项目</t>
  </si>
  <si>
    <t>中盐内蒙古建材有限公司</t>
  </si>
  <si>
    <t>KMX250530-041</t>
  </si>
  <si>
    <t>中盐内蒙古建材回转窑检测维修项目</t>
  </si>
  <si>
    <t>安钢集团信阳钢铁有限责任公司</t>
  </si>
  <si>
    <t>KMX160226-57-NM</t>
  </si>
  <si>
    <t>锤头1件(离线）</t>
  </si>
  <si>
    <t>合计</t>
  </si>
  <si>
    <t>2月回款明细表</t>
  </si>
  <si>
    <t>天瑞集团汝州水泥有限公司</t>
  </si>
  <si>
    <t>KMX250310-015-XF</t>
  </si>
  <si>
    <t>天瑞集团汝州水泥有限公司一线三档托轮3#瓦、4瓦维修</t>
  </si>
  <si>
    <t>日照钢铁有限公司</t>
  </si>
  <si>
    <t>KMX240507-063-XF</t>
  </si>
  <si>
    <t>循环经济部石灰工场回转窑在线维修</t>
  </si>
  <si>
    <t>云南澜沧三环建材有限公司</t>
  </si>
  <si>
    <t>KMX240705-079-XF</t>
  </si>
  <si>
    <t>质保金</t>
  </si>
  <si>
    <t>池州恒鑫材料科技有限公司</t>
  </si>
  <si>
    <t>KMX250721-061</t>
  </si>
  <si>
    <t>回转窑托轮、挡轮更换和维修项目</t>
  </si>
  <si>
    <t>KMX20251222 - 085</t>
  </si>
  <si>
    <t>回转窑下挡轮紧急更换项目</t>
  </si>
  <si>
    <t>新疆宜化化工有限公司</t>
  </si>
  <si>
    <t>KMX202595-064</t>
  </si>
  <si>
    <t>新疆宜化5#电石炉大修项目</t>
  </si>
  <si>
    <t>江西亚东水泥有限公司</t>
  </si>
  <si>
    <t>KMX20251024-077</t>
  </si>
  <si>
    <t>江西亚东破碎机转子离线修复项目</t>
  </si>
  <si>
    <t>KMX240524-070-XF</t>
  </si>
  <si>
    <t>除尘灰处理工场提锌窑维修项目</t>
  </si>
  <si>
    <t>洛阳黄河同力水泥有限责任公司</t>
  </si>
  <si>
    <t>武汉彤烨中信</t>
  </si>
  <si>
    <t>!</t>
  </si>
  <si>
    <t>湖北双环科技股份有限公司</t>
  </si>
  <si>
    <t>KMX250806 -065</t>
  </si>
  <si>
    <t>湖北双环零星维修项目施工合同（2025）</t>
  </si>
  <si>
    <t>贵州金久水泥有限公司</t>
  </si>
  <si>
    <t>KMX210201-068-XF</t>
  </si>
  <si>
    <t>KMX240930-100-XF</t>
  </si>
  <si>
    <t>炼铁厂竖炉2024年设备功能精度恢复</t>
  </si>
  <si>
    <t>KMX240930-099-XF</t>
  </si>
  <si>
    <t>炼铁厂高炉、烧结2024年设备功能精度恢复</t>
  </si>
  <si>
    <t>KMX240930-101-XF</t>
  </si>
  <si>
    <t>炼铁厂捞渣机、高炉主垄沟2024年设备功能精度恢复</t>
  </si>
  <si>
    <t>湖北恒博机械科技有限公司（华新水泥（恩施）有限公司）</t>
  </si>
  <si>
    <t>KMX211216-497-XF</t>
  </si>
  <si>
    <t>2个托轮离线修复：1.托轮一（直径1.2米）修复内容：1、探伤，2.止推盘被推了，做个止推环安装好（必须是过盈配合），3.轴磨损修复和油封磨损修复，4.剥落掉块和和裂纹修复。
托轮二（直径1.3米），修复内容：1.探伤，2.轴处理光洁度，密封磨损修复，3.剥落掉块修复。</t>
  </si>
  <si>
    <t>玉溪新平永发新型建材有限公司（元江县永发水泥有限公司）</t>
  </si>
  <si>
    <t>KMX190805-289-XF</t>
  </si>
  <si>
    <t>3.2米磨机大齿圈单面磨损修复</t>
  </si>
  <si>
    <t>内乡县万基水泥有限公司</t>
  </si>
  <si>
    <t>KMX210720-281-XF</t>
  </si>
  <si>
    <t>磨机前后端滑履磨削2条</t>
  </si>
  <si>
    <t>KMX2025121-080</t>
  </si>
  <si>
    <t>新建宜化4#5#电石炉技改项目安装工程</t>
  </si>
  <si>
    <t>崇阳县昌华实业有限公司</t>
  </si>
  <si>
    <t>KMX250121-005-XF</t>
  </si>
  <si>
    <t>崇阳县昌华实业有限公司破碎机+托轮焊补</t>
  </si>
  <si>
    <t>KMX20251222 -084</t>
  </si>
  <si>
    <t>破碎机转子耐磨堆焊</t>
  </si>
  <si>
    <t>大冶市成美贸易有限公司</t>
  </si>
  <si>
    <t>KMX230221-057-XF</t>
  </si>
  <si>
    <t>磨机滑履1台拆装检查、清理、滑履瓦刮研2片</t>
  </si>
  <si>
    <t>海西顺达物流有限公司</t>
  </si>
  <si>
    <t>KMX200318-052-XF</t>
  </si>
  <si>
    <t>回转窑托轮剥落掉块修复；托轮车削；轮带磨削；筒体裂纹修复，一条长323CM</t>
  </si>
  <si>
    <t>KMX240313-048-XF</t>
  </si>
  <si>
    <t>青海发投热电车间5台脱硫塔入口烟道更换项目</t>
  </si>
  <si>
    <t>KMX240122-019-XF</t>
  </si>
  <si>
    <t>青海发投热电车间引风机出口烟道更换项目 5台</t>
  </si>
  <si>
    <t>青海发投保证金回款调账131.71元项目款里</t>
  </si>
  <si>
    <t>3月回款明细表</t>
  </si>
  <si>
    <t>岚丹中信</t>
  </si>
  <si>
    <t>联峰钢铁（张家港）有限公司</t>
  </si>
  <si>
    <t>KMX220720-289-XF</t>
  </si>
  <si>
    <t>450二期循环风机叶轮在线修复（叶片耐磨堆焊及动平衡调整）</t>
  </si>
  <si>
    <t>江西福丰新材料科技有限公司</t>
  </si>
  <si>
    <t>KMX2026127-008</t>
  </si>
  <si>
    <t>江西福丰新材料科技有限公司反应炉托轮、轮带维修及调整项目26-008</t>
  </si>
  <si>
    <t>湖北双环零星维修项目施工合同（2025</t>
  </si>
  <si>
    <t>KMX250505-034</t>
  </si>
  <si>
    <t>东方希望重庆水泥丰泥3#立磨摇臂轴承座及立柱裂焊修复</t>
  </si>
  <si>
    <t>KMX231209-270-XF</t>
  </si>
  <si>
    <t>3#线三挡轮带表面、侧面磨削；三挡两个托轮磨削；液压挡轮斜面磨削</t>
  </si>
  <si>
    <t>KMX250715-062</t>
  </si>
  <si>
    <t>挡轮带震动纹车削、磨削维修项目</t>
  </si>
  <si>
    <t>山东泰山钢铁集团有限公司管理人</t>
  </si>
  <si>
    <t>KMX240328-051-XF</t>
  </si>
  <si>
    <t>回转窑轮带4.3*30m、烘干筒轮带维修3m*20m（含动态测窑、调整，轮带堆焊、磨削、垫板更换）</t>
  </si>
  <si>
    <t>内蒙古兴发科技有限公司</t>
  </si>
  <si>
    <t>KMX250829-063</t>
  </si>
  <si>
    <t>内蒙兴发冷渣机检测车削调整项目</t>
  </si>
  <si>
    <t>广州市越堡水泥有限公司</t>
  </si>
  <si>
    <t>KMX231106-247-XF</t>
  </si>
  <si>
    <t>6000T/D回转窑二档托轮车削2个，三档轮带侧面及液压挡轮磨削</t>
  </si>
  <si>
    <t>KMX250624-052</t>
  </si>
  <si>
    <t>新疆伊犁钢铁炼钢厂烘烤器改造项目</t>
  </si>
  <si>
    <t>KMX240218-035-XF</t>
  </si>
  <si>
    <t>伊犁钢铁炼铁厂产能提升项目</t>
  </si>
  <si>
    <t>KMX240229-042-XF</t>
  </si>
  <si>
    <t>盐水车间精盐水罐面及杂水罐花架平台更换项目</t>
  </si>
  <si>
    <t>KMX231208-265-XF</t>
  </si>
  <si>
    <t>盐水车间1#-4#化盐桶北侧地埋进水管线更换项目</t>
  </si>
  <si>
    <t>4月回款明细表</t>
  </si>
  <si>
    <t>四川峨胜水泥集团股份有限公司</t>
  </si>
  <si>
    <t>KMX250325-024-XF</t>
  </si>
  <si>
    <t>四川峨胜水泥3#水泥滑履磨端面R角裂纹修复</t>
  </si>
  <si>
    <t>KMX250210-009-XF</t>
  </si>
  <si>
    <t>四川峨胜水泥集团股份有限公司滑履磨削</t>
  </si>
  <si>
    <t>内</t>
  </si>
  <si>
    <t>日照京华新型建材有限公司</t>
  </si>
  <si>
    <t>KMX250606-042</t>
  </si>
  <si>
    <t>日照钢铁建材厂石灰工场回转窑及附属设施维修项目</t>
  </si>
  <si>
    <t>新洋丰农业科技股份有限公司</t>
  </si>
  <si>
    <t>KMX250613-044</t>
  </si>
  <si>
    <t>新洋丰2025年硫酸钾厂中修非标工程项目</t>
  </si>
  <si>
    <t>KMX2025922 -071</t>
  </si>
  <si>
    <t>新洋丰2025年硫酸钾厂大修非标工程（硫酸钾厂大修工程-三线造粒机更换机头拖带、大齿圈、弹力板及四线造粒机更换弹力板 ）</t>
  </si>
  <si>
    <t>KMX240708-081-XF</t>
  </si>
  <si>
    <t xml:space="preserve">武汉华夏 </t>
  </si>
  <si>
    <t>KMX231127-260-XF</t>
  </si>
  <si>
    <t>水气车间液氨站安装尾气回收装置土建及设备安装项目</t>
  </si>
  <si>
    <t>江西赣锋锂业集团股份有限公司（马洪分公司）</t>
  </si>
  <si>
    <t>KMX240701-076-XF</t>
  </si>
  <si>
    <t>一期回转窑检修</t>
  </si>
  <si>
    <t>台泥（重庆）水泥有限公司</t>
  </si>
  <si>
    <t>KMX240326-050-XF</t>
  </si>
  <si>
    <t>水泥分厂辊压机辊子主轴轴肩位修复（对轴肩磨损区域进行堆焊后进行车削处理）</t>
  </si>
  <si>
    <t>广安昌兴水泥有限公司</t>
  </si>
  <si>
    <t>KMX20251119-079</t>
  </si>
  <si>
    <t>广安台泥回转窑调整及拖轮/轮带在线调整合同</t>
  </si>
  <si>
    <t>KMX240115-014-XF</t>
  </si>
  <si>
    <t>煅烧车间炉气冷凝洗涤塔至炉气横管短接及三通更换项目</t>
  </si>
  <si>
    <t>山东圣川新材料科技股份有限公司</t>
  </si>
  <si>
    <t>KMX2025125 -081</t>
  </si>
  <si>
    <t>银行承兑汇票5张（新）</t>
  </si>
  <si>
    <t>回转窑检修合同</t>
  </si>
  <si>
    <t>新余市汇益信新型材料有限公司</t>
  </si>
  <si>
    <t>KMX250225-011-XF</t>
  </si>
  <si>
    <t>回转窑轮带局部剥落掉块</t>
  </si>
  <si>
    <t>中盐内蒙古化工股份有限公司盐碱分公司</t>
  </si>
  <si>
    <t>KMX241218-112-XF</t>
  </si>
  <si>
    <t>制碱车间 2”、3"碳化塔更新拆解</t>
  </si>
  <si>
    <t>湖北岚丹中信</t>
  </si>
  <si>
    <t>5月回款明细表</t>
  </si>
  <si>
    <t>福建韩研环保科技有限公司</t>
  </si>
  <si>
    <t>KMX2026429-017</t>
  </si>
  <si>
    <t>湖北开明工行</t>
  </si>
  <si>
    <t>福建韩研环保-炉子滚圈维修及检测调整工程</t>
  </si>
  <si>
    <t>KMX20251011-074</t>
  </si>
  <si>
    <t>湖北双环热电分厂5#锅炉磨机对开齿轮更换施工施工合同</t>
  </si>
  <si>
    <t>辽宁银盛水泥集团有限公司</t>
  </si>
  <si>
    <t>KMX241119-106-XF</t>
  </si>
  <si>
    <t>轮带拖轮补焊修复</t>
  </si>
  <si>
    <t>KMX2026112-002</t>
  </si>
  <si>
    <t>福建鼎信实业-AOD摇炉大齿轮磨损修复26-002</t>
  </si>
  <si>
    <t>KMX2026116-003</t>
  </si>
  <si>
    <t>托轮轮带焊补维修</t>
  </si>
  <si>
    <t>河南晋开化工投资控股集团有限责任公司</t>
  </si>
  <si>
    <t>KMX250109-002-XF</t>
  </si>
  <si>
    <t>河南晋开化工投资控股集团有限责任公司二分公司硝铵车间干燥转筒滚圈断裂维修项目</t>
  </si>
  <si>
    <t>海南逸盛石化有限公司</t>
  </si>
  <si>
    <t>KMX220504-185-XF</t>
  </si>
  <si>
    <t>余永昕</t>
  </si>
  <si>
    <t>干燥机出料端滚圈点蚀剥落掉块修复及在线磨削共2台</t>
  </si>
  <si>
    <t>KMX220527-223-XF</t>
  </si>
  <si>
    <t>干燥机滚圈贯穿性裂纹修复1条；PTA 干燥机出料端滚圈修复</t>
  </si>
  <si>
    <t>KMX221213-437-XF</t>
  </si>
  <si>
    <t>精制车间滚圈裂纹修复4条，滚圈磨削1条</t>
  </si>
  <si>
    <t>KMX231208-268-XF</t>
  </si>
  <si>
    <t>干燥机1条滚圈堆焊+磨削，2条滚圈磨削</t>
  </si>
  <si>
    <t>6月回款明细表</t>
  </si>
  <si>
    <t>黄冈亚东水泥有限公司</t>
  </si>
  <si>
    <t>KMX241223-114-XF</t>
  </si>
  <si>
    <t>TG-23079 窑壳切换等工作</t>
  </si>
  <si>
    <t>KMX240430-060-XF</t>
  </si>
  <si>
    <t xml:space="preserve">辊压机主轴返厂修复
</t>
  </si>
  <si>
    <t>贵州黔西中水发电有限公司</t>
  </si>
  <si>
    <t>KMX210810-310-XF</t>
  </si>
  <si>
    <t>2、3号炉磨煤机大齿轮断齿修复</t>
  </si>
  <si>
    <t>KMX220401-157-XF</t>
  </si>
  <si>
    <t>磨煤机大齿轮断齿修复，磨煤机大齿轮轮毂裂纹修复</t>
  </si>
  <si>
    <t>KMX230915-225-XF</t>
  </si>
  <si>
    <t>2023-2024年度1-4号炉磨煤机大齿轮修复</t>
  </si>
  <si>
    <t>KMX230609-156-XF</t>
  </si>
  <si>
    <t>液压挡轮装置总成离线修复；托轮轴承组总成离线修复</t>
  </si>
  <si>
    <t>北京金隅琉水环保科技有限公司</t>
  </si>
  <si>
    <t>KMX220510-190-XF</t>
  </si>
  <si>
    <t>二线窑2500T/D回转窑一档西托轮更换（含托轮瓦刮研2片），一二档轮带档铁和支撑单板更换及轮带复位，三档更换部分支撑垫板</t>
  </si>
  <si>
    <t>尼勒克县瑞祥焦化有限责任公司（属伊伊犁钢铁分公司）</t>
  </si>
  <si>
    <t>KMX240105-007-XF</t>
  </si>
  <si>
    <t>瑞祥焦化煤气发电1号炉空预器抢修项目</t>
  </si>
  <si>
    <t>江西贵溪南方水泥有限公司</t>
  </si>
  <si>
    <t>KMX231023-240-XF</t>
  </si>
  <si>
    <t>武汉农商行</t>
  </si>
  <si>
    <t>辊压机轴磨损修复（前直径450mm，后直径460mm，轴长前、后各200mm）</t>
  </si>
  <si>
    <t>7月回款明细表</t>
  </si>
  <si>
    <t>徐中科</t>
  </si>
  <si>
    <t>回转窑轮带局部剥落掉块
修复</t>
  </si>
  <si>
    <t>林柱生</t>
  </si>
  <si>
    <t>煅烧炉滚圈托轮在线修复调整</t>
  </si>
  <si>
    <t>中空轴裂纹修复</t>
  </si>
  <si>
    <t>2#窑壳切换工作（筒体更换）</t>
  </si>
  <si>
    <t>公司</t>
  </si>
  <si>
    <t>回转窑检测项目</t>
  </si>
  <si>
    <t>管厚良</t>
  </si>
  <si>
    <t>干燥机托轮</t>
  </si>
  <si>
    <t>二档托轮及轮带剥落掉块修复</t>
  </si>
  <si>
    <t>φ4×60m回转窑轮带侧面磨削</t>
  </si>
  <si>
    <t>牛国庆</t>
  </si>
  <si>
    <t>1、7#生料磨循环风机叶轮堆焊检修
2、7#生料立磨摇臂裂纹焊接检修</t>
  </si>
  <si>
    <t>姚煜均</t>
  </si>
  <si>
    <t>回转窑大、小齿单面磨损在线修复及齿顶间隙调整</t>
  </si>
  <si>
    <t>托轮、轮带掉块修复</t>
  </si>
  <si>
    <t>4.2米磨机端盖裂纹约5.5米</t>
  </si>
  <si>
    <t>石灰石辊喂机NWG2324-给料辊耐磨堆焊；石灰石破碎机NCP2025-锤盘转子堆焊</t>
  </si>
  <si>
    <t>回转窑大齿圈两面堆焊项目</t>
  </si>
  <si>
    <t>C线窑液压挡轮磨削</t>
  </si>
  <si>
    <t>5000T/D回转窑轮带裂纹需两边加固40mm厚筋板共2块，撑到7月份停窑检修处理裂纹</t>
  </si>
  <si>
    <t>C线1档托轮剥落掉块修复；B线立磨下面减速机壳体裂纹修复2.64米</t>
  </si>
  <si>
    <t>中档托轮剥落掉块修复，2处
（约400*400mm），2500T/D回转窑一档托轮车削2个</t>
  </si>
  <si>
    <t>窑系统Ⅰ、Ⅱ挡轮带垫板、挡铁更换（含测量、制作）及窑找正维修</t>
  </si>
  <si>
    <t>托轮、轮带剥落掉块修复</t>
  </si>
  <si>
    <t>二线回转窑三档左侧托轮掉剥落掉块在线修复</t>
  </si>
  <si>
    <t>1#回转窑检测调整打磨（回转窑动态检测、调整，三档轮带侧面磨削，二档一个托轮磨削）</t>
  </si>
  <si>
    <t>林维</t>
  </si>
  <si>
    <t>盐碱分公司制碱车间 2”、3"碳化塔更新拆解</t>
  </si>
  <si>
    <t>三档轮带裂纹修复</t>
  </si>
  <si>
    <t>#2号窑窑壳20-27.95米切换</t>
  </si>
  <si>
    <t>李权智</t>
  </si>
  <si>
    <t>钢渣作业区4台套热焖罐盖离线维修</t>
  </si>
  <si>
    <t>叶涛</t>
  </si>
  <si>
    <t>1000T/D回转窑三档轮磨削；三档托轮更换（含刮瓦、安装及调整）；二档轮带裂纹修复；二三档轮带剥落掉块修复</t>
  </si>
  <si>
    <t>8月回款明细表</t>
  </si>
  <si>
    <t>汤卓宁有记录</t>
  </si>
  <si>
    <t>9月回款明细表</t>
  </si>
  <si>
    <t>老账</t>
  </si>
  <si>
    <t>10月回款明细表</t>
  </si>
  <si>
    <t>11月回款明细表</t>
  </si>
  <si>
    <t>未正常业务，无合同号</t>
  </si>
  <si>
    <t>红圈数据</t>
  </si>
  <si>
    <t>调整金额</t>
  </si>
  <si>
    <t>12月回款明细表</t>
  </si>
  <si>
    <t>阿拉伯化肥干燥机斜铁更换工程</t>
  </si>
  <si>
    <t>干燥机滚圈斜铁更换工程合同</t>
  </si>
  <si>
    <r>
      <rPr>
        <sz val="6"/>
        <color theme="1"/>
        <rFont val="宋体"/>
        <charset val="134"/>
        <scheme val="minor"/>
      </rPr>
      <t>烧结车间</t>
    </r>
    <r>
      <rPr>
        <sz val="9"/>
        <color rgb="FF222222"/>
        <rFont val="Segoe UI"/>
        <charset val="134"/>
      </rPr>
      <t>3#</t>
    </r>
    <r>
      <rPr>
        <sz val="9"/>
        <color rgb="FF222222"/>
        <rFont val="宋体"/>
        <charset val="134"/>
      </rPr>
      <t>回转窑窑线测量调整</t>
    </r>
  </si>
  <si>
    <t>阜阳皖润电力有限公司磨煤机大齿轮安全防护隐患治理项目</t>
  </si>
  <si>
    <t>烧结车间一台回转窑机械大修项目</t>
  </si>
  <si>
    <t>3#炉炉头滚圈裂纹1处修复及滚圈校正</t>
  </si>
  <si>
    <t>3#炉滚圈在线磨削2条</t>
  </si>
  <si>
    <t>纯碱厂煅烧炉滚圈托轮在线修复调整</t>
  </si>
  <si>
    <t>纯碱厂煅烧炉滚圏委外维修</t>
  </si>
  <si>
    <t>21N230干燥机滚圈托辊修复 2条滚圈 4个托辊</t>
  </si>
  <si>
    <t>齿辊破断齿修复</t>
  </si>
  <si>
    <t>2023年11月富蕴天山回转窑检测、维修及调整施工 外协维修项目
一、静态维修：1、对回转窑大齿圈柱销依据孔眼进行重新加工安装，注销两端加长，在耳轴处加相匹配的挡板。
2、二挡轮带跑偏复位，挡块更换。
二、动态维修：1、对回转窑运行状态进行在线动态监测，记录数据。
2、根据监测结果，对回转窑轮带、托轮、液压挡轮、轮带侧面等工作面进行在线车磨削修复。
3、根据监测结果对回转窑整体运行状态进行调整，保证回转窑运行圆直度。</t>
  </si>
  <si>
    <t>洛南生产基地磨机大齿圈螺栓孔镗孔</t>
  </si>
  <si>
    <t>立磨磨辊耐磨堆焊， 辊压机辊子耐磨堆焊，立磨辊皮打磨修复</t>
  </si>
  <si>
    <t>青海发投碱业有限公司煅烧车间轻灰2#烧炉滚圈及托轮在线车削与调整项目</t>
  </si>
  <si>
    <t>内蒙古宜化转化器总管更换安装项目</t>
  </si>
  <si>
    <t>烧结厂机单辊破碎机主轴大修(离线）</t>
  </si>
  <si>
    <t>月份</t>
  </si>
  <si>
    <t>2023年回款金额</t>
  </si>
  <si>
    <t>2024年回款金额</t>
  </si>
  <si>
    <t>2025年回款金额</t>
  </si>
  <si>
    <t>2026年回款金额</t>
  </si>
  <si>
    <t>1月</t>
  </si>
  <si>
    <t>2月</t>
  </si>
  <si>
    <t>3月</t>
  </si>
  <si>
    <t>4月</t>
  </si>
  <si>
    <t>5月</t>
  </si>
  <si>
    <t>6月</t>
  </si>
  <si>
    <t>7月</t>
  </si>
  <si>
    <t>8月</t>
  </si>
  <si>
    <t>9月</t>
  </si>
  <si>
    <t>10月</t>
  </si>
  <si>
    <t>11月</t>
  </si>
  <si>
    <t>12月</t>
  </si>
  <si>
    <t>宁波钢铁有限公司</t>
  </si>
  <si>
    <t>营业回款</t>
  </si>
  <si>
    <t>青海盐湖镁业有限公司</t>
  </si>
  <si>
    <t>登电集团水泥有限公司</t>
  </si>
  <si>
    <t>汉中西乡尧柏水泥有限公司</t>
  </si>
  <si>
    <t>芜湖新兴铸管有限责任公司</t>
  </si>
  <si>
    <t>泰安中联水泥有限公司</t>
  </si>
  <si>
    <t>平泉冀东水泥有限责任公司</t>
  </si>
  <si>
    <t>四川兰丰水泥有限公司</t>
  </si>
  <si>
    <t>华新贵州顶效特种水泥有限公司</t>
  </si>
  <si>
    <t>华润水泥(罗定)有限公司</t>
  </si>
  <si>
    <t>武汉浦发收青海发投碱业有限公司承兑一张，票号： 131333386060420231211726269694</t>
  </si>
  <si>
    <t>武汉浦发收青海发投碱业有限公司承兑一张，票号：  110420800308420231213727551283</t>
  </si>
  <si>
    <t>武汉浦发收青海发投碱业有限公司承兑一张，票号：  510420800308420240205001809985</t>
  </si>
  <si>
    <t>武汉浦发收青海发投碱业有限公司承兑一张，票号：  531358400800720240131001354598</t>
  </si>
  <si>
    <t>武汉浦发收青海发投碱业有限公司承兑一张，票号：  510420800308420240205001821494</t>
  </si>
  <si>
    <t>保证金回款明细表</t>
  </si>
  <si>
    <t>回款类型</t>
  </si>
  <si>
    <t>保证金编号</t>
  </si>
  <si>
    <t>退款退还编号</t>
  </si>
  <si>
    <t>山东泰山钢铁集团有限公司</t>
  </si>
  <si>
    <t>转账</t>
  </si>
  <si>
    <t>林维转款（武汉浦发）</t>
  </si>
  <si>
    <t>安全保证金</t>
  </si>
  <si>
    <t>红圈无编号</t>
  </si>
  <si>
    <t>安徽省优质采科技发展有限责任公司</t>
  </si>
  <si>
    <t>投标保证金</t>
  </si>
  <si>
    <t>BZJSQ-20251118-0158</t>
  </si>
  <si>
    <t>BZJTH-20260126-0001</t>
  </si>
  <si>
    <t>履约保证金</t>
  </si>
  <si>
    <t>BZJSQ-20250311-0032</t>
  </si>
  <si>
    <t>BZJTH-20260128-0002</t>
  </si>
  <si>
    <t>BZJSQ-20250318-0040</t>
  </si>
  <si>
    <t>BZJTH-20260128-0003</t>
  </si>
  <si>
    <t>BZJSQ-20250319-0045</t>
  </si>
  <si>
    <t>BZJTH-20260128-0004</t>
  </si>
  <si>
    <t>BZJSQ-20250429-0069</t>
  </si>
  <si>
    <t>BZJTH-20260128-0005</t>
  </si>
  <si>
    <t>BZJSQ-20250609-0092</t>
  </si>
  <si>
    <t>BZJTH-20260128-0006</t>
  </si>
  <si>
    <t>BZJSQ-20250609-0095</t>
  </si>
  <si>
    <t>BZJTH-20260128-0007</t>
  </si>
  <si>
    <t>BZJSQ-20250609-0098</t>
  </si>
  <si>
    <t>BZJTH-20260128-0008</t>
  </si>
  <si>
    <t>BZJSQ-20250609-0101</t>
  </si>
  <si>
    <t>BZJTH-20260128-0009</t>
  </si>
  <si>
    <t>BZJSQ-20250623-0108</t>
  </si>
  <si>
    <t>BZJTH-20260128-0010</t>
  </si>
  <si>
    <t>BZJSQ-20250623-0109</t>
  </si>
  <si>
    <t>BZJTH-20260128-0011</t>
  </si>
  <si>
    <t>BZJSQ-20250623-0110</t>
  </si>
  <si>
    <t>BZJTH-20260128-0012</t>
  </si>
  <si>
    <t>BZJSQ-20250318-0038</t>
  </si>
  <si>
    <t>BZJTH-20260128-0013</t>
  </si>
  <si>
    <t>江苏唐电电力安装有限公司</t>
  </si>
  <si>
    <t>BZJSQ-20250416-0059</t>
  </si>
  <si>
    <t>BZJTH-20260128-0014</t>
  </si>
  <si>
    <t>农民工工资保证金</t>
  </si>
  <si>
    <t>BZJSQ-20241026-0115</t>
  </si>
  <si>
    <t>BZJTH-20260209-0015</t>
  </si>
  <si>
    <t>BZJSQ-20241026-0116</t>
  </si>
  <si>
    <t>BZJTH-20260209-0016</t>
  </si>
  <si>
    <t>BZJSQ-20241026-0117</t>
  </si>
  <si>
    <t>BZJTH-20260209-0017</t>
  </si>
  <si>
    <t>BZJSQ-20241030-0122</t>
  </si>
  <si>
    <t>BZJTH-20260209-0018</t>
  </si>
  <si>
    <t>BZJSQ-20241030-0123</t>
  </si>
  <si>
    <t>BZJTH-20260209-0019</t>
  </si>
  <si>
    <t>BZJSQ-20241030-0124</t>
  </si>
  <si>
    <t>BZJTH-20260209-0020</t>
  </si>
  <si>
    <t>BZJSQ-20241230-0143</t>
  </si>
  <si>
    <t>BZJTH-20260227-0021</t>
  </si>
  <si>
    <t>BZJSQ-20250114-0006</t>
  </si>
  <si>
    <t>BZJTH-20260227-0022</t>
  </si>
  <si>
    <t>BZJSQ-20250311-0033</t>
  </si>
  <si>
    <t>BZJTH-20260227-0023</t>
  </si>
  <si>
    <t>BZJSQ-20231208-0777</t>
  </si>
  <si>
    <t>BZJTH-20260228-0024</t>
  </si>
  <si>
    <t>BZJSQ-20240508-0076</t>
  </si>
  <si>
    <t>BZJTH-20260228-0025</t>
  </si>
  <si>
    <t>BZJSQ-20240508-0077</t>
  </si>
  <si>
    <t>BZJTH-20260228-0026</t>
  </si>
  <si>
    <t>BZJSQ-20250114-0005</t>
  </si>
  <si>
    <t>BZJTH-20260228-0027</t>
  </si>
  <si>
    <t>保证金</t>
  </si>
  <si>
    <t>BZJSQ-20260227-0008</t>
  </si>
  <si>
    <t>BZJTH-20260310-0028</t>
  </si>
  <si>
    <t>BZJSQ-20260129-0001</t>
  </si>
  <si>
    <t>BZJTH-20260314-0029</t>
  </si>
  <si>
    <t>BZJSQ-20260209-0004</t>
  </si>
  <si>
    <t>BZJTH-20260314-0030</t>
  </si>
  <si>
    <t>BZJSQ-20260209-0003</t>
  </si>
  <si>
    <t>ZJTH-20260316-0031</t>
  </si>
  <si>
    <t>BZJSQ-20251225-0163</t>
  </si>
  <si>
    <t>BZJTH-20260318-0032</t>
  </si>
  <si>
    <t>佛山住商肥料有限公司</t>
  </si>
  <si>
    <t>BZJSQ-20260303-0014</t>
  </si>
  <si>
    <t>BZJTH-20260325-0033</t>
  </si>
  <si>
    <t>成都云图控股股份有限公司</t>
  </si>
  <si>
    <t>BZJSQ-20260311-0017</t>
  </si>
  <si>
    <t>BZJTH-20260407-0034</t>
  </si>
  <si>
    <t>江西省精彩纵横采购咨询有限公司</t>
  </si>
  <si>
    <t>BZJSQ-20260302-0013</t>
  </si>
  <si>
    <t>BZJTH-20260407-0035</t>
  </si>
  <si>
    <t>王先梅</t>
  </si>
  <si>
    <t>BZJSQ-20260224-0007</t>
  </si>
  <si>
    <t>BZJTH-20260409-0036</t>
  </si>
  <si>
    <t>BZJSQ-20260403-0027</t>
  </si>
  <si>
    <t>BZJTH-20260414-0037</t>
  </si>
  <si>
    <t>湖北长江运营咨询有限公司</t>
  </si>
  <si>
    <t>BZJSQ-20260317-0019</t>
  </si>
  <si>
    <t>BZJTH-20260414-0038</t>
  </si>
  <si>
    <t>BZJSQ-20260317-0020</t>
  </si>
  <si>
    <t>BZJTH-20260414-0039</t>
  </si>
  <si>
    <t>BZJSQ-20260317-0021</t>
  </si>
  <si>
    <t>BZJTH-20260414-0040</t>
  </si>
  <si>
    <t>BZJSQ-20260317-0022</t>
  </si>
  <si>
    <t>BZJTH-20260414-0041</t>
  </si>
  <si>
    <t>BZJSQ-20260317-0023</t>
  </si>
  <si>
    <t>BZJTH-20260414-0042</t>
  </si>
  <si>
    <t>BZJSQ-20260403-0026</t>
  </si>
  <si>
    <t>BZJTH-20260420-0043</t>
  </si>
  <si>
    <t>BZJSQ-20260410-0028</t>
  </si>
  <si>
    <t>BZJTH-20260428-0044</t>
  </si>
  <si>
    <t>青海黎明化工有限责任公司</t>
  </si>
  <si>
    <t>BZJSQ-20260401-0025</t>
  </si>
  <si>
    <t>BZJTH-20260429-0045</t>
  </si>
  <si>
    <t>山东钢铁集团日照有限公司</t>
  </si>
  <si>
    <t>BZJSQ-20251230-0164</t>
  </si>
  <si>
    <t>BZJTH-20260429-0046</t>
  </si>
  <si>
    <t>BZJSQ-20260427-0031</t>
  </si>
  <si>
    <t>BZJTH-20260507-0047</t>
  </si>
  <si>
    <t>BZJSQ-20260228-0010</t>
  </si>
  <si>
    <t>BZJTH-20260514-0048</t>
  </si>
  <si>
    <t>BZJSQ-20260228-0012</t>
  </si>
  <si>
    <t>BZJTH-20260514-0049</t>
  </si>
  <si>
    <t>攀枝花东方钛业有限公司</t>
  </si>
  <si>
    <t>BZJSQ-20260309-0016</t>
  </si>
  <si>
    <t>BZJTH-20260522-0050</t>
  </si>
  <si>
    <t>福建永安建福水泥有限公司</t>
  </si>
  <si>
    <t>BZJSQ-20260424-0030</t>
  </si>
  <si>
    <t>BZJTH-20260528-0051</t>
  </si>
  <si>
    <t>新疆天山水泥有限责任公司</t>
  </si>
  <si>
    <t>BZJSQ-20260506-0032</t>
  </si>
  <si>
    <t>BZJTH-20260611-0052</t>
  </si>
  <si>
    <t>BZJSQ-20260525-0036</t>
  </si>
  <si>
    <t>BZJTH-20260623-0056</t>
  </si>
  <si>
    <t>青海宜化化工有限责任公司</t>
  </si>
  <si>
    <t>BZJSQ-20260305-0015</t>
  </si>
  <si>
    <t>BZJTH-20260617-0053</t>
  </si>
  <si>
    <t>BZJSQ-20260313-0018</t>
  </si>
  <si>
    <t>BZJTH-20260617-0054</t>
  </si>
  <si>
    <t>阳新弘盛 铜业有限公司</t>
  </si>
  <si>
    <t>BZJSQ-20260518-0035</t>
  </si>
  <si>
    <t>BZJTH-20260618-0055</t>
  </si>
  <si>
    <t>BZJSQ-20260527-0039</t>
  </si>
  <si>
    <t>BZJTH-20260623-0057</t>
  </si>
  <si>
    <t>江苏省镔鑫钢铁集团有限公司</t>
  </si>
  <si>
    <t>BZJSQ-20260413-0029</t>
  </si>
  <si>
    <t>BZJTH-20260629-0058</t>
  </si>
  <si>
    <t>江阴兴澄特种钢铁有限公司</t>
  </si>
  <si>
    <t>BZJSQ-20260511-0034</t>
  </si>
  <si>
    <t>BZJTH-20260629-0059</t>
  </si>
  <si>
    <t>合计：</t>
  </si>
  <si>
    <t>82行</t>
  </si>
  <si>
    <t>126行</t>
  </si>
  <si>
    <t>求和项:回款金额（元）</t>
  </si>
  <si>
    <t>杨春龙、林维</t>
  </si>
  <si>
    <t>诉讼</t>
  </si>
  <si>
    <t>吉林亚泰明城水泥有限公司</t>
  </si>
  <si>
    <t>吉林亚泰水泥有限公司</t>
  </si>
  <si>
    <t>朱利勇</t>
  </si>
  <si>
    <t>亚泰集团铁岭水泥有限公司</t>
  </si>
  <si>
    <t>于广洲</t>
  </si>
  <si>
    <t>嘉峪关祁连山水泥有限公司</t>
  </si>
  <si>
    <t>曾江利</t>
  </si>
  <si>
    <t>殷坤鹏</t>
  </si>
  <si>
    <t>兆山集团诸暨水泥有限公司</t>
  </si>
  <si>
    <t>伍平</t>
  </si>
  <si>
    <t>于广洲、李峰</t>
  </si>
  <si>
    <t>河南九丰建设有限公司</t>
  </si>
  <si>
    <t>张强</t>
  </si>
  <si>
    <t>要退款</t>
  </si>
  <si>
    <t>汉中勉县尧柏水泥有限公司</t>
  </si>
  <si>
    <t>(空白)</t>
  </si>
  <si>
    <t>冀东水泥铜川有限公司</t>
  </si>
  <si>
    <t>李锋</t>
  </si>
  <si>
    <t>湖南华菱湘潭钢铁有限公司</t>
  </si>
  <si>
    <t>总计</t>
  </si>
  <si>
    <t>山东鲁泰环保建材有限公司</t>
  </si>
  <si>
    <t>湖北鸿茂矿渣微粉有限公司</t>
  </si>
  <si>
    <t>黔南州宏安建材有限公司</t>
  </si>
  <si>
    <t>内蒙古万晨能源股份有限公司千峰水泥分公司</t>
  </si>
  <si>
    <t>山西吉港冠宇水泥有限公司</t>
  </si>
  <si>
    <t>新疆圣雄水泥有限公司</t>
  </si>
  <si>
    <t>安徽郎溪南方水泥有限公司</t>
  </si>
  <si>
    <t>江西玉山万年青水泥有限公司</t>
  </si>
  <si>
    <t>江西乐平万年青水泥有限公司</t>
  </si>
  <si>
    <t>溆浦大盛建材有限责任公司</t>
  </si>
  <si>
    <t>湖南古丈南方水泥有限公司</t>
  </si>
  <si>
    <t>湖南浏阳南方水泥有限公司</t>
  </si>
  <si>
    <t>绥江县永固水泥有限责任公司</t>
  </si>
  <si>
    <t>重庆市富丰水泥集团特种水泥有限公司</t>
  </si>
  <si>
    <t>广西北港新材料有限公司</t>
  </si>
  <si>
    <t>承德翼东水泥有限责任公司</t>
  </si>
  <si>
    <t>葛洲坝石门特种水泥有限公司</t>
  </si>
  <si>
    <t>华新水泥(河南信阳)有限公司</t>
  </si>
  <si>
    <t>回款金额</t>
  </si>
  <si>
    <t>武汉开明华夏</t>
  </si>
  <si>
    <t>交城义望铁合金有限责任公司</t>
  </si>
  <si>
    <t>武汉开明浦发（承兑）</t>
  </si>
  <si>
    <t>湖北六国化工股份有限公司</t>
  </si>
  <si>
    <t>武汉开明华夏（承兑）</t>
  </si>
  <si>
    <t>沃达建设集团有限公司（周薇付）</t>
  </si>
  <si>
    <t>个体户王先梅</t>
  </si>
  <si>
    <t>武汉开明浦发</t>
  </si>
  <si>
    <t>武汉开明浦发（商业承兑）</t>
  </si>
  <si>
    <t>威顿水泥集团有限责任公司</t>
  </si>
  <si>
    <t>武汉开明汉口</t>
  </si>
  <si>
    <t>广德新杭南方水泥有限公司</t>
  </si>
  <si>
    <t>合肥南方水泥有限公司</t>
  </si>
  <si>
    <t>惠州市光大水泥企业有限公司</t>
  </si>
  <si>
    <t>四川省二郎山喇叭河水泥有限公司</t>
  </si>
  <si>
    <t>武汉开明光大</t>
  </si>
  <si>
    <t>安吉南方水泥有限公司</t>
  </si>
  <si>
    <t>武汉开明汉口（承兑）</t>
  </si>
  <si>
    <t>重庆秀山西南水泥有限公司</t>
  </si>
  <si>
    <t>福建春驰集团新丰水泥有限公司</t>
  </si>
  <si>
    <t>云南普洱西南水泥有限公司</t>
  </si>
  <si>
    <t>富民金锐水泥建材有限责任公司</t>
  </si>
  <si>
    <t>国家电投集团山西铝业有限公司</t>
  </si>
  <si>
    <t>河北新金钢铁有限公司</t>
  </si>
  <si>
    <t>河南济源钢铁(集团)有限公司</t>
  </si>
  <si>
    <t>江西宝丰生物科技有限公司</t>
  </si>
  <si>
    <t>山东泰西水泥有限公司</t>
  </si>
  <si>
    <t>武汉开明浦发（承兑）
收20张承兑共计1050000元，找零5000元</t>
  </si>
  <si>
    <t>华润电力焦作有限公司</t>
  </si>
  <si>
    <t>台泥（怀化）水泥有限公司</t>
  </si>
  <si>
    <t>杭州临安南方水泥有限公司</t>
  </si>
  <si>
    <t>英德市英马水泥有限公司</t>
  </si>
  <si>
    <t>泗县中联水泥有限公司</t>
  </si>
  <si>
    <t>武汉开明华夏（承兑）
收承兑500000.00元，
找零承兑325400.00元</t>
  </si>
  <si>
    <t>包头冀东水泥有限公司</t>
  </si>
  <si>
    <t>景谷红狮水泥有限公司</t>
  </si>
  <si>
    <t>新疆阜康天山水泥有限责任公司</t>
  </si>
  <si>
    <t>江苏沙钢钢铁有限公司</t>
  </si>
  <si>
    <t>四川筠连西南水泥有限公司</t>
  </si>
  <si>
    <t>武钢中冶工业技术服务有限公司</t>
  </si>
  <si>
    <t>河北金隅鼎鑫水泥有限公司</t>
  </si>
  <si>
    <t>湖北开明工行（承兑）</t>
  </si>
  <si>
    <t>中材常德水泥有限责任公司</t>
  </si>
  <si>
    <t>中材株洲水泥有限责任公司</t>
  </si>
  <si>
    <t>河钢股份有限公司邯郸分公司</t>
  </si>
  <si>
    <t>湖南苏仙南方水泥有限公司</t>
  </si>
  <si>
    <t>广西金鲤水泥有限公司</t>
  </si>
  <si>
    <t>漳平红狮水泥有限公司</t>
  </si>
  <si>
    <t>准格尔旗铸城水泥有限责任公司</t>
  </si>
  <si>
    <t>江西安福南方水泥有限公司</t>
  </si>
  <si>
    <t>甘肃永固特种水泥有限公司</t>
  </si>
  <si>
    <t>武汉彤烨中信（承兑）</t>
  </si>
  <si>
    <t>华润水泥（平南）有限公司</t>
  </si>
  <si>
    <t>华润水泥（龙岩曹溪）有限公司（ 结算矿山破碎机壳体更换D下料仓改造项目费）</t>
  </si>
  <si>
    <t>华润水泥（龙岩曹溪）有限公司（ 结算矿山E下料管改造项目费用）</t>
  </si>
  <si>
    <t>彤烨中信收亚泰集团铁岭水泥有限公司</t>
  </si>
  <si>
    <t>绥江县永固水泥有限责任公司（维修费）</t>
  </si>
  <si>
    <t xml:space="preserve">新疆蒙鑫水泥有限公司奇台分公司 </t>
  </si>
  <si>
    <t>贵州凯里瑞安建材有限公司</t>
  </si>
  <si>
    <t>惠州市光大水泥企业有限公司（货款）</t>
  </si>
  <si>
    <t>福建金牛水泥有限公司（设备修复款）</t>
  </si>
  <si>
    <t>四川峨胜水泥集团股份有限公司（摇臂裂纹维修款）</t>
  </si>
  <si>
    <t>山西金隅冀东环保科技有限公司（修理费）</t>
  </si>
  <si>
    <t>淮北众城水泥有限责任公司（一线回转窑轮带修复项目质保金）</t>
  </si>
  <si>
    <t xml:space="preserve"> 广西北港新材料有限公司 （烧结厂180线烧结风箱维修承包项目）</t>
  </si>
  <si>
    <t>湖南金山环保建材有限公司</t>
  </si>
  <si>
    <t>安阳市湖波熟料有限公司</t>
  </si>
  <si>
    <t>武汉鑫缘绿色冶金渣技术开发有限公司</t>
  </si>
  <si>
    <t>山东鲁碧建材有限公司</t>
  </si>
  <si>
    <t>湖北白兆山水泥有限公司</t>
  </si>
  <si>
    <t>湖北鸿茂矿渣微粉有限公司（设备款）</t>
  </si>
  <si>
    <t>玉溪新平永发新型建材有限公司</t>
  </si>
  <si>
    <t>内蒙古天皓水泥集团有限公司</t>
  </si>
  <si>
    <t>福建春驰集团国产实业水泥有限公司</t>
  </si>
  <si>
    <t>武汉彤烨工行</t>
  </si>
  <si>
    <t>广西都安西江鱼峰水泥有限公司</t>
  </si>
  <si>
    <t>新疆宜化化工有限公司（00360927@三胺分厂滚圈磨削项目费用）</t>
  </si>
  <si>
    <t>新疆米东天山水泥有限责任公司（维修费）</t>
  </si>
  <si>
    <t>景谷红狮水泥有限公司（五金材料款）</t>
  </si>
  <si>
    <t>湖南骏泰新材料科技有限责任公司（维修费）</t>
  </si>
  <si>
    <t>江西亚东水泥有限公司（维修费）</t>
  </si>
  <si>
    <t>青海发投碱业有限公司（项目款）</t>
  </si>
  <si>
    <t>山东申丰水泥集团有限公司</t>
  </si>
  <si>
    <t>中材机电备件有限公司</t>
  </si>
  <si>
    <t>武汉京邦瑞机械设备有限公司</t>
  </si>
  <si>
    <t>中冶武勘工程技术有限公司</t>
  </si>
  <si>
    <t>曲靖市宣威宇恒水泥有限公司宣威分公司</t>
  </si>
  <si>
    <t>杨敬辉（代四川德阳创璟支付货款）</t>
  </si>
  <si>
    <t>KMX210623-247-XF</t>
  </si>
  <si>
    <t>武汉开明工行</t>
  </si>
  <si>
    <t>宁都县赣锋锂业有限公司</t>
  </si>
  <si>
    <t>KMX240118-017-XF</t>
  </si>
  <si>
    <t>收台泥（重庆）水泥有限公司</t>
  </si>
  <si>
    <t>KMX231122-256-XF</t>
  </si>
  <si>
    <t>KMX230116-027-XF</t>
  </si>
  <si>
    <t>KMX230126-030-XF</t>
  </si>
  <si>
    <t>KMX220623-254-XF</t>
  </si>
  <si>
    <t>收葛洲坝荆门水泥有限公司</t>
  </si>
  <si>
    <t>KMX230805-200-XF</t>
  </si>
  <si>
    <t>KMX220510-191-XF</t>
  </si>
  <si>
    <t>华润水泥（龙岩）有限公司</t>
  </si>
  <si>
    <t>KMX210309-129-XF</t>
  </si>
  <si>
    <t xml:space="preserve">曲靖市宣威宇恒水泥有限公司宣威分公司   </t>
  </si>
  <si>
    <t>KMX220118-034-XF</t>
  </si>
  <si>
    <t>收孝义市兴安化工有限公司</t>
  </si>
  <si>
    <t>KMX161030-217-XF</t>
  </si>
  <si>
    <t>收贵州西能电力建设有限公司--对公</t>
  </si>
  <si>
    <t>KMX220705-271-XF</t>
  </si>
  <si>
    <t>武汉开明浦发143280</t>
  </si>
  <si>
    <t>KMX230406-099-XF</t>
  </si>
  <si>
    <t xml:space="preserve">鹤岗鑫塔水泥有限责任公司  </t>
  </si>
  <si>
    <t>KMX230105-011-XF</t>
  </si>
  <si>
    <t>收江西瑞金万年青水泥有限责任公司</t>
  </si>
  <si>
    <t>KMX240226-039-XF</t>
  </si>
  <si>
    <t>收河北新金钢铁有限公司</t>
  </si>
  <si>
    <t>KMX210719-280-XF</t>
  </si>
  <si>
    <t>查收据开多少</t>
  </si>
  <si>
    <t>收葛洲坝钟祥水泥有限公司  质保金</t>
  </si>
  <si>
    <t>KMX230128-034-XF</t>
  </si>
  <si>
    <t>KMX220505-186-XF</t>
  </si>
  <si>
    <t>KMX201225-361-XF</t>
  </si>
  <si>
    <t>KMX211104-424-XF</t>
  </si>
  <si>
    <t>武汉开明浦发15450</t>
  </si>
  <si>
    <t>KMX211129-466-XF</t>
  </si>
  <si>
    <t>KMX220115-027-XF</t>
  </si>
  <si>
    <t>KMX220214-090-XF</t>
  </si>
  <si>
    <t>KMX220705-272-XF</t>
  </si>
  <si>
    <t>KMX220815-322-XF</t>
  </si>
  <si>
    <t>收江苏沙钢钢铁有限公司  质保金</t>
  </si>
  <si>
    <t>KMX221220-443-XF</t>
  </si>
  <si>
    <t>待确认合同号</t>
  </si>
  <si>
    <t>收遵义赛德水泥有限公司质保金</t>
  </si>
  <si>
    <t>KMX230418-119-XF</t>
  </si>
  <si>
    <t>武汉华夏收山东申丰水泥承兑一张</t>
  </si>
  <si>
    <t>KMX221025-382-XF</t>
  </si>
  <si>
    <t>银行承兑</t>
  </si>
  <si>
    <t>确认收据开多少,是否少付</t>
  </si>
  <si>
    <t>亚泰集团哈尔滨水泥有限公司</t>
  </si>
  <si>
    <t>KMX210906-343-XF</t>
  </si>
  <si>
    <t>-</t>
  </si>
  <si>
    <t>老彤烨质保三个</t>
  </si>
  <si>
    <t>江西上高南方水泥有限公司</t>
  </si>
  <si>
    <t>KMX220617-249-XF</t>
  </si>
  <si>
    <t>收亚泰集团哈尔滨水泥（阿城）有限公司承兑</t>
  </si>
  <si>
    <t>KMX210825-328-XF</t>
  </si>
  <si>
    <t>武汉彤烨中信14万</t>
  </si>
  <si>
    <t>KMX211006-374-XF</t>
  </si>
  <si>
    <t>KMX230703-176-XF</t>
  </si>
  <si>
    <t>河源市金杰环保建材有限公司</t>
  </si>
  <si>
    <t>KMX220119-051-XF</t>
  </si>
  <si>
    <t>收山东鲁泰环保建材有限公司</t>
  </si>
  <si>
    <t>KMX221107-396-XF</t>
  </si>
  <si>
    <t>商业承兑汇票</t>
  </si>
  <si>
    <t>KMX210706-258-XF</t>
  </si>
  <si>
    <t>退质保金</t>
  </si>
  <si>
    <t>KMX220827-333-XF</t>
  </si>
  <si>
    <t>武汉开明光大银行</t>
  </si>
  <si>
    <t>葛洲坝宜城水泥有限公司</t>
  </si>
  <si>
    <t>KMX221001-367-XF</t>
  </si>
  <si>
    <t>武汉开明汉口银行</t>
  </si>
  <si>
    <t>供应部吴双退还</t>
  </si>
  <si>
    <t>杨敬辉</t>
  </si>
  <si>
    <t>代四川德阳创璟支付货款</t>
  </si>
  <si>
    <t>和远东亚鑫是同一家</t>
  </si>
  <si>
    <t>武汉开明浦发28775</t>
  </si>
  <si>
    <t>银行承兑汇票</t>
  </si>
  <si>
    <t>KMX220420-172-XF</t>
  </si>
  <si>
    <t>KMX211016-383-XF</t>
  </si>
  <si>
    <t>成县祁连山水泥有限公司</t>
  </si>
  <si>
    <t>KMX221221-445-XF</t>
  </si>
  <si>
    <t>KMX211104-426-XF</t>
  </si>
  <si>
    <t>武汉彤烨中信5万</t>
  </si>
  <si>
    <t>萍乡萍钢安源钢铁有限公司</t>
  </si>
  <si>
    <t>KMX231212-272-XF</t>
  </si>
  <si>
    <t>陕西实丰水泥股份有限公司</t>
  </si>
  <si>
    <t>KMX240113-013-XF</t>
  </si>
  <si>
    <t>KMX230830-214-XF</t>
  </si>
  <si>
    <t>福建省永安万年水泥有限公司</t>
  </si>
  <si>
    <t>KMX180305-085-XF</t>
  </si>
  <si>
    <t>KMX220311-136-XF</t>
  </si>
  <si>
    <t>确认合同号，暂挂</t>
  </si>
  <si>
    <t>天能化工有限公司</t>
  </si>
  <si>
    <t>KMX220207-075-XF</t>
  </si>
  <si>
    <t>湖北宜化肥业有限公司</t>
  </si>
  <si>
    <t>KMX230318-080-XF</t>
  </si>
  <si>
    <t>未查到回款1.7万</t>
  </si>
  <si>
    <t>四川省星船城水泥股份有限公司</t>
  </si>
  <si>
    <t>KMX220308-134-XF</t>
  </si>
  <si>
    <t>武汉开明华夏59200</t>
  </si>
  <si>
    <t>KMX230113-022-XF</t>
  </si>
  <si>
    <t>KMX230130-037-XF</t>
  </si>
  <si>
    <t>KMX230728-189-XF</t>
  </si>
  <si>
    <t>江西赣锋锂业集团股份有限公司</t>
  </si>
  <si>
    <t>KMX221213-439-XF</t>
  </si>
  <si>
    <t xml:space="preserve"> 吐鲁番天山水泥有限责任公司</t>
  </si>
  <si>
    <t>KMX211202-472-XF</t>
  </si>
  <si>
    <t>句容台泥水泥有限公司</t>
  </si>
  <si>
    <t>KMX200429-075-XF</t>
  </si>
  <si>
    <t>宜城安达特种水泥有限公司</t>
  </si>
  <si>
    <t>重庆铜梁西南水泥有限公司</t>
  </si>
  <si>
    <t>KMX240102-001-XF</t>
  </si>
  <si>
    <t>会东利森水泥有限公司质保金</t>
  </si>
  <si>
    <t>KMX170124-024-XF</t>
  </si>
  <si>
    <t>KMX211213-492-XF</t>
  </si>
  <si>
    <t>KMX240126-022-XF</t>
  </si>
  <si>
    <t>KMX230325-091-XF</t>
  </si>
  <si>
    <t>KMX221210-434-XF</t>
  </si>
  <si>
    <t>KMX221020-380-XF</t>
  </si>
  <si>
    <t>KMX230212-049-XF</t>
  </si>
  <si>
    <t>KMX240516-066-XF</t>
  </si>
  <si>
    <t>KMX211028-411-XF</t>
  </si>
  <si>
    <t>云南昆钢嘉华水泥建材有限公司</t>
  </si>
  <si>
    <t>KMX240304-044-XF</t>
  </si>
  <si>
    <t>武汉阳训科技有限公司</t>
  </si>
  <si>
    <t>KMX220419-171-XF</t>
  </si>
  <si>
    <t>武汉信茂浦发</t>
  </si>
  <si>
    <t>KMX230518-143-XF</t>
  </si>
  <si>
    <t>鄂尔多斯市清能新材料有限公司</t>
  </si>
  <si>
    <t>KMX230519-144-XF</t>
  </si>
  <si>
    <t>河南华润电力首阳山有限公司</t>
  </si>
  <si>
    <t>KMX240319-049-XF</t>
  </si>
  <si>
    <t>葛洲坝嘉鱼水泥有限公司</t>
  </si>
  <si>
    <t>KMX220528-224-XF</t>
  </si>
  <si>
    <t>退还质保金</t>
  </si>
  <si>
    <t>KMX190308-118-XF</t>
  </si>
  <si>
    <t>KMX220703-266-XF</t>
  </si>
  <si>
    <t>KMX230807-202-XF</t>
  </si>
  <si>
    <t>检测费</t>
  </si>
  <si>
    <t>KMX231108-248-XF</t>
  </si>
  <si>
    <t>武汉开明浦发200700</t>
  </si>
  <si>
    <t>武汉工行</t>
  </si>
  <si>
    <t>代创璟支付货款</t>
  </si>
  <si>
    <t>KMX231120-254-XF</t>
  </si>
  <si>
    <t>KMX240105-006-XF</t>
  </si>
  <si>
    <t>武汉开明通宝</t>
  </si>
  <si>
    <t>票据</t>
  </si>
  <si>
    <t>坤鹏</t>
  </si>
  <si>
    <t>KMX231120-255-XF</t>
  </si>
  <si>
    <t>KMX230914-223-XF</t>
  </si>
  <si>
    <t>山西华兴铝业有限公司</t>
  </si>
  <si>
    <t>无</t>
  </si>
  <si>
    <t>单位已销帐，努力后追回</t>
  </si>
  <si>
    <t>KMX221108-399-XF</t>
  </si>
  <si>
    <t>KMX211108-434-XF</t>
  </si>
  <si>
    <t>武汉彤烨20万</t>
  </si>
  <si>
    <t>KMX220801-303-XF</t>
  </si>
  <si>
    <t>KMX221107-398-XF</t>
  </si>
  <si>
    <t>KMX210419-177-XF</t>
  </si>
  <si>
    <t>武汉华夏9600</t>
  </si>
  <si>
    <t>催收</t>
  </si>
  <si>
    <t>KMX211115-444-XF</t>
  </si>
  <si>
    <t>KMX141101-212</t>
  </si>
  <si>
    <t>武汉华夏20000</t>
  </si>
  <si>
    <t>KMX150313-065-XF</t>
  </si>
  <si>
    <t>侯马市汇丰建材有限责任公司</t>
  </si>
  <si>
    <t>KMX221208-432-XF</t>
  </si>
  <si>
    <t>武汉华夏88488.75</t>
  </si>
  <si>
    <t>KMX240523-068-XF</t>
  </si>
  <si>
    <t>KMX230526-150-XF</t>
  </si>
  <si>
    <t>同上</t>
  </si>
  <si>
    <t>修理费</t>
  </si>
  <si>
    <t>KMX210723-288-XF</t>
  </si>
  <si>
    <t>KMX220516-206-XF</t>
  </si>
  <si>
    <t>KMX211223-511-XF</t>
  </si>
  <si>
    <t>KMX220105-009-XF</t>
  </si>
  <si>
    <t>武汉华夏160000</t>
  </si>
  <si>
    <t>KMX190619-230-XF</t>
  </si>
  <si>
    <t>武汉华夏33000</t>
  </si>
  <si>
    <t>KMX180524-160-XF</t>
  </si>
  <si>
    <t>KMX240611-072-XF</t>
  </si>
  <si>
    <t>轮带维修费</t>
  </si>
  <si>
    <t>KMX220704-267-XF</t>
  </si>
  <si>
    <t>KMX240704-078-XF</t>
  </si>
  <si>
    <t>KMX220313-137-XF</t>
  </si>
  <si>
    <t>KMX220921-356-XF</t>
  </si>
  <si>
    <t>王先梅邮政</t>
  </si>
  <si>
    <t>KMX240103-004-XF</t>
  </si>
  <si>
    <t>KMX220112-021-XF</t>
  </si>
  <si>
    <t>武汉华夏60980</t>
  </si>
  <si>
    <t>KMX210426-185-XF</t>
  </si>
  <si>
    <t>KMX221027-386-XF</t>
  </si>
  <si>
    <t>KMX211022-395-XF</t>
  </si>
  <si>
    <t>KMX220323-147-XF</t>
  </si>
  <si>
    <t>KMX230128-035-XF</t>
  </si>
  <si>
    <t>KMX220712-282-XF</t>
  </si>
  <si>
    <t>KMX210222-106-XF</t>
  </si>
  <si>
    <t>KMX231102-244-XF</t>
  </si>
  <si>
    <t>KMX210906-340-XF</t>
  </si>
  <si>
    <t>KMX200608-109-XF</t>
  </si>
  <si>
    <t>KMX240103-003-XF</t>
  </si>
  <si>
    <t>武汉浦发369003.5</t>
  </si>
  <si>
    <t>KMX231102-245-XF</t>
  </si>
  <si>
    <t>KMX150418-093-XF</t>
  </si>
  <si>
    <t>武汉华夏10万</t>
  </si>
  <si>
    <t>KMX150213-043</t>
  </si>
  <si>
    <t>KMX220620-250-XF</t>
  </si>
  <si>
    <t>彤烨老账</t>
  </si>
  <si>
    <t>案件受理费2460+利息15000</t>
  </si>
  <si>
    <t>KMX230403-098-XF</t>
  </si>
  <si>
    <t>KMX240125-021-XF</t>
  </si>
  <si>
    <t>KMX230427-132-XF</t>
  </si>
  <si>
    <t>KMX210421-180-XF</t>
  </si>
  <si>
    <t>KMX220205-070-XF</t>
  </si>
  <si>
    <t>武汉浦发2万</t>
  </si>
  <si>
    <t>KMX220709-276-XF</t>
  </si>
  <si>
    <t>KMX230515-142-XF</t>
  </si>
  <si>
    <t>KMX220306-129-XF</t>
  </si>
  <si>
    <t>武汉华夏3.8万</t>
  </si>
  <si>
    <t>KMX220222-110-XF</t>
  </si>
  <si>
    <t>KMX220121-052-XF</t>
  </si>
  <si>
    <t>KMX221111-403-XF</t>
  </si>
  <si>
    <t>武汉浦发5250</t>
  </si>
  <si>
    <t>KMX220209-077-XF</t>
  </si>
  <si>
    <t>KMX240105-008-XF</t>
  </si>
  <si>
    <t>四川德阳创璟建材有限公司</t>
  </si>
  <si>
    <t>KMX230204-043-XF</t>
  </si>
  <si>
    <t>KMX231209-269-XF</t>
  </si>
  <si>
    <t>四川省达州钢铁集团有限责任公司</t>
  </si>
  <si>
    <t>KMX220624-257-XF</t>
  </si>
  <si>
    <t>徐州中联水泥有限公司</t>
  </si>
  <si>
    <t>KMX231011-235-XF</t>
  </si>
  <si>
    <t>KMX230407-100-XF</t>
  </si>
  <si>
    <t>汉中尧柏水泥有限公司</t>
  </si>
  <si>
    <t>KMX211213-490-XF</t>
  </si>
  <si>
    <t>KMX230809-206-XF</t>
  </si>
  <si>
    <t>华润水泥（田阳）有限公司</t>
  </si>
  <si>
    <t>KMX210209-098-XF</t>
  </si>
  <si>
    <t>KMX220118-042-XF</t>
  </si>
  <si>
    <t>KMX230330-095-XF</t>
  </si>
  <si>
    <t>武汉华夏77424</t>
  </si>
  <si>
    <t>KMX230502-133-XF</t>
  </si>
  <si>
    <t>蒲城尧柏特种水泥有限公司</t>
  </si>
  <si>
    <t>KMX201201-322-XF</t>
  </si>
  <si>
    <t>KMX210203-086-XF</t>
  </si>
  <si>
    <t>KMX220601-229-XF</t>
  </si>
  <si>
    <t>云南远东亚鑫水泥有限责任公司</t>
  </si>
  <si>
    <t>夏河祁连山安多水泥有限公司</t>
  </si>
  <si>
    <t>KMX220926-360-XF</t>
  </si>
  <si>
    <t>青州中联水泥有限公司</t>
  </si>
  <si>
    <t>KMX220305-128-XF</t>
  </si>
  <si>
    <t>KMX220923-358-XF</t>
  </si>
  <si>
    <t>KMX230116-028-XF</t>
  </si>
  <si>
    <t>KMX221209-433-XF</t>
  </si>
  <si>
    <t>华新水泥（河南信阳）有限公司</t>
  </si>
  <si>
    <t>内蒙古亿利冀东水泥有限责任公司</t>
  </si>
  <si>
    <t>KMX231226-278-XF</t>
  </si>
  <si>
    <t>KMX240202-031-XF</t>
  </si>
  <si>
    <t>银行承兑汇票（新）12张</t>
  </si>
  <si>
    <t>KMX240220-038-XF</t>
  </si>
  <si>
    <t>KMX240408-052-XF</t>
  </si>
  <si>
    <t>KMX240129-025-XF</t>
  </si>
  <si>
    <t>8.26电汇72158.26-退保证金71500=658.26月下账应收款</t>
  </si>
  <si>
    <t>青海众信建筑安装有限公司</t>
  </si>
  <si>
    <t>KMX240815-092-XF</t>
  </si>
  <si>
    <t>王先梅账户</t>
  </si>
  <si>
    <t>赵许武</t>
  </si>
  <si>
    <t>KMX220121-055-XF</t>
  </si>
  <si>
    <t>KMX221202-424-XF</t>
  </si>
  <si>
    <t>KMX220119-046-XF</t>
  </si>
  <si>
    <t>徐中科、周瑞龙</t>
  </si>
  <si>
    <t>湖南耒阳南方水泥有限公司</t>
  </si>
  <si>
    <t>KMX230620-165-XF</t>
  </si>
  <si>
    <t>诉讼费</t>
  </si>
  <si>
    <t>诉讼费回款4331、2020多付应收款</t>
  </si>
  <si>
    <t>三门峡腾跃同力水泥有限公司</t>
  </si>
  <si>
    <t>KMX220419-170-XF</t>
  </si>
  <si>
    <t>武汉光大</t>
  </si>
  <si>
    <t>桐庐红狮水泥有限公司</t>
  </si>
  <si>
    <t>KMX240104-005-XF</t>
  </si>
  <si>
    <t>湖南张家界南方水泥有限公司</t>
  </si>
  <si>
    <t>KMX220804-308-XF</t>
  </si>
  <si>
    <t>湖南常德南方水泥有限公司</t>
  </si>
  <si>
    <t>KMX200120-036-XF</t>
  </si>
  <si>
    <t>青海农村商业银行农民工工资专户</t>
  </si>
  <si>
    <t>KMX230901-216-XF</t>
  </si>
  <si>
    <t>银行承兑汇票（新）3张</t>
  </si>
  <si>
    <t>杨春龙</t>
  </si>
  <si>
    <t>KMX230610-157-XF</t>
  </si>
  <si>
    <t>内蒙古万晨石灰有限公司</t>
  </si>
  <si>
    <t>KMX220207-076-XF</t>
  </si>
  <si>
    <t>KMX201219-351-XF</t>
  </si>
  <si>
    <t>五矿铜业（湖南）有限公司</t>
  </si>
  <si>
    <t>账龄表2023.12月已经销账</t>
  </si>
  <si>
    <t>商业承兑汇票（新）</t>
  </si>
  <si>
    <t>赵许武（青海众信建筑安装有限公司）</t>
  </si>
  <si>
    <t>KMX230612-159-XF</t>
  </si>
  <si>
    <t>华润水泥（阳春）有限公司</t>
  </si>
  <si>
    <t>KMX210507-193-XF</t>
  </si>
  <si>
    <t>墨江县森鑫达水泥建材有限责任公司</t>
  </si>
  <si>
    <t>KMX211103-422-XF</t>
  </si>
  <si>
    <t>武汉信茂</t>
  </si>
  <si>
    <t>银行承兑汇票（新）2张</t>
  </si>
  <si>
    <t>刘万青（青海发投）</t>
  </si>
  <si>
    <t>无合同</t>
  </si>
  <si>
    <t>河源市金圆建材贸易代付</t>
  </si>
  <si>
    <t>KMX220217-097-XF</t>
  </si>
  <si>
    <t>应城市新都化工有限责任公司</t>
  </si>
  <si>
    <t>KMX231201-261-XF</t>
  </si>
  <si>
    <t>湖北亚东水泥有限公司</t>
  </si>
  <si>
    <t>KMX240430-061-XF</t>
  </si>
  <si>
    <t>湘潭县亿鑫锌业有限公司</t>
  </si>
  <si>
    <t>KMX220313-138-XF</t>
  </si>
  <si>
    <t>律师函</t>
  </si>
  <si>
    <t>南京中联水泥有限公司</t>
  </si>
  <si>
    <t>KMX230407-101-XF</t>
  </si>
  <si>
    <t>山东鲁碧集团有限公司</t>
  </si>
  <si>
    <t>KMX220801-302-XF</t>
  </si>
  <si>
    <t>中盐青海昆仑碱业有限公司</t>
  </si>
  <si>
    <t>KMX221022-381-XF</t>
  </si>
  <si>
    <t>KMX180428-137-XF</t>
  </si>
  <si>
    <t>无为华塑矿业有限公司</t>
  </si>
  <si>
    <t>KMX221013-374-XF</t>
  </si>
  <si>
    <t>唐山重装冶金工程技术有限公司</t>
  </si>
  <si>
    <t>咨询费</t>
  </si>
  <si>
    <t>KMX221219-442-XF</t>
  </si>
  <si>
    <t>德州中联大坝水泥有限公司</t>
  </si>
  <si>
    <t>KMX211210-487-XF</t>
  </si>
  <si>
    <t>沂南中联水泥有限公司</t>
  </si>
  <si>
    <t>KMX221114-407-XF</t>
  </si>
  <si>
    <t>武汉浦东</t>
  </si>
  <si>
    <t>新疆米东天山水泥有限责任公司</t>
  </si>
  <si>
    <t>KMX230203-041-XF</t>
  </si>
  <si>
    <t>殷坤鹏、徐中科、周瑞龙</t>
  </si>
  <si>
    <t>喀什天山水泥有限责任公司</t>
  </si>
  <si>
    <t>KMX211206-481-XF</t>
  </si>
  <si>
    <t>KMX220331-156-XF</t>
  </si>
  <si>
    <t>中材安徽水泥有限公司</t>
  </si>
  <si>
    <t>KMX220226-117-XF</t>
  </si>
  <si>
    <t>KMX220427-181-XF</t>
  </si>
  <si>
    <t>KMX230615-162-XF</t>
  </si>
  <si>
    <t>KMX230320-083-XF</t>
  </si>
  <si>
    <t>江苏鹤林水泥有限公司</t>
  </si>
  <si>
    <t>KMX240411-054-XF</t>
  </si>
  <si>
    <t>KMX170209-041-XF</t>
  </si>
  <si>
    <t>KMX230726-187-XF</t>
  </si>
  <si>
    <t>怀宁上峰水泥有限公司</t>
  </si>
  <si>
    <t>KMX240103-002-XF</t>
  </si>
  <si>
    <t>湖北岚丹</t>
  </si>
  <si>
    <t>江西九江南方水泥有限公司</t>
  </si>
  <si>
    <t>KMX210201-061-XF</t>
  </si>
  <si>
    <t>KMX210125-037-XF</t>
  </si>
  <si>
    <t>KMX210308-127-XF</t>
  </si>
  <si>
    <t>KMX210819-320-XF</t>
  </si>
  <si>
    <t>质保款</t>
  </si>
  <si>
    <t>KMX211101-415-XF</t>
  </si>
  <si>
    <t>KMX240118-016-XF</t>
  </si>
  <si>
    <t>KMX220916-351-XF</t>
  </si>
  <si>
    <t>KMX220518-209-XF</t>
  </si>
  <si>
    <t>KMX221122-414-XF</t>
  </si>
  <si>
    <t>KMX211209-483-XF</t>
  </si>
  <si>
    <t>KMX240218-033-XF</t>
  </si>
  <si>
    <t>KMX240218-034-XF</t>
  </si>
  <si>
    <t>KMX240706-080-XF</t>
  </si>
  <si>
    <t>湖南金山水泥有限公司</t>
  </si>
  <si>
    <t>KMX211019-388-XF</t>
  </si>
  <si>
    <t>天能水泥有限公司</t>
  </si>
  <si>
    <t>KMX240429-059-XF</t>
  </si>
  <si>
    <t>新疆兴悦化工有限公司</t>
  </si>
  <si>
    <t>KMX220519-211-XF</t>
  </si>
  <si>
    <t>KMX230623-168-XF</t>
  </si>
  <si>
    <t>KMX240228-041-XF</t>
  </si>
  <si>
    <t>邢台金隅冀东水泥有限公司</t>
  </si>
  <si>
    <t>KMX230103-007-XF</t>
  </si>
  <si>
    <t>武汉吉如代收65628.32扣税款2251.32</t>
  </si>
  <si>
    <t>新疆八一钢铁股份有限公司</t>
  </si>
  <si>
    <t>KMX221107-397-XF</t>
  </si>
  <si>
    <t>商业承兑汇票(新)</t>
  </si>
  <si>
    <t>殷坤鹏、徐中科</t>
  </si>
  <si>
    <t>阳泉冀东水泥有限责任公司</t>
  </si>
  <si>
    <t>KMX220408-162-XF</t>
  </si>
  <si>
    <t>KMX240108-009-XF</t>
  </si>
  <si>
    <t>KMX230323-087-XF</t>
  </si>
  <si>
    <t>KMX230621-167-XF</t>
  </si>
  <si>
    <t>涞水金隅冀东环保科技有限公司</t>
  </si>
  <si>
    <t>KMX211214-495-XF</t>
  </si>
  <si>
    <t>武汉工行西山</t>
  </si>
  <si>
    <t>银行承兑汇票2张（新）</t>
  </si>
  <si>
    <t>枣庄中联水泥有限公司</t>
  </si>
  <si>
    <t>KMX221215-440-XF</t>
  </si>
  <si>
    <t>承德金隅水泥有限责任公司</t>
  </si>
  <si>
    <t>KMX211130-470-XF</t>
  </si>
  <si>
    <t>华润水泥（封开）有限公司</t>
  </si>
  <si>
    <t>KMX230227-062-XF</t>
  </si>
  <si>
    <t>巴彦淖尔中联水泥有限公司</t>
  </si>
  <si>
    <t>KMX191023-381-XF</t>
  </si>
  <si>
    <t>商洛尧柏龙桥水泥有限公司</t>
  </si>
  <si>
    <t>KMX211001-373-XF</t>
  </si>
  <si>
    <t>安康市尧柏水泥有限公司</t>
  </si>
  <si>
    <t>KMX190219-094-XF</t>
  </si>
  <si>
    <t>熊艳</t>
  </si>
  <si>
    <t>KMX191102-387-XF</t>
  </si>
  <si>
    <t>冀东水泥（烟台）有限责任公司</t>
  </si>
  <si>
    <t>KMX220316-141-XF</t>
  </si>
  <si>
    <t>黄华容</t>
  </si>
  <si>
    <t>尼勒克县瑞祥焦化有限责任公司</t>
  </si>
  <si>
    <t>通宝平台</t>
  </si>
  <si>
    <t>KMX210316-138-XF</t>
  </si>
  <si>
    <t>福建三钢闽光股份有限公司</t>
  </si>
  <si>
    <t>KMX240513-065-XF</t>
  </si>
  <si>
    <t>KMX220916-353-XF</t>
  </si>
  <si>
    <t>卫辉市天瑞水泥有限公司</t>
  </si>
  <si>
    <t>KMX221130-420-XF</t>
  </si>
  <si>
    <t>KMX210312-135-XF</t>
  </si>
  <si>
    <t>华新水泥（恩施）有限公司</t>
  </si>
  <si>
    <t>银行承兑汇票（新）（代付）湖北恒博机械科技有限公司</t>
  </si>
  <si>
    <t>赞皇金隅水泥有限公司</t>
  </si>
  <si>
    <t>KMX210704-257-XF</t>
  </si>
  <si>
    <t>KMX221111-404-XF</t>
  </si>
  <si>
    <t>KMX240215-032-XF</t>
  </si>
  <si>
    <t>KMX190624-237-XF</t>
  </si>
  <si>
    <t>KMX200713-143-XF</t>
  </si>
  <si>
    <t>KMX231009-233-XF</t>
  </si>
  <si>
    <t>KMX170317-071-JX</t>
  </si>
  <si>
    <t>湖北岚丹农民工账户</t>
  </si>
  <si>
    <t>永州莲花水泥有限责任公司</t>
  </si>
  <si>
    <t>KMX201029-279-XF</t>
  </si>
  <si>
    <t>湖南隆回南方水泥有限公司</t>
  </si>
  <si>
    <t>KMX221201-422-XF</t>
  </si>
  <si>
    <t>KMX230608-155-XF</t>
  </si>
  <si>
    <t>KMX220802-305-XF</t>
  </si>
  <si>
    <t>十堰同创精密机械有限公司</t>
  </si>
  <si>
    <t>KMX240729-085-XF</t>
  </si>
  <si>
    <t>铜陵上峰水泥股份有限公司</t>
  </si>
  <si>
    <t>KMX170902-203-XF</t>
  </si>
  <si>
    <t>KMX210907-346-XF</t>
  </si>
  <si>
    <t>将乐金牛水泥有限公司</t>
  </si>
  <si>
    <t>KMX210322-147-XF</t>
  </si>
  <si>
    <t>KMX221126-416-XF</t>
  </si>
  <si>
    <t>KMX230126-032-XF</t>
  </si>
  <si>
    <t>徐中科组</t>
  </si>
  <si>
    <t>KMX220315-139-XF</t>
  </si>
  <si>
    <t>北京中燕建设工程有限公司</t>
  </si>
  <si>
    <t>KMX230225-061-XF</t>
  </si>
  <si>
    <t>KMX211105-428-XF</t>
  </si>
  <si>
    <t>KMX211115-442-XF</t>
  </si>
  <si>
    <t>青海海西化工建材股份有限公司</t>
  </si>
  <si>
    <t>KMX230709-178-XF</t>
  </si>
  <si>
    <t>内蒙古鄂尔多斯电力冶金集团股份有限公司资源综合利用分公司（鄂尔多斯市清能新材料有限公司）</t>
  </si>
  <si>
    <t>KMX210324-150-XF</t>
  </si>
  <si>
    <t>KMX230304-068-XF</t>
  </si>
  <si>
    <t>葛洲坝当阳水泥有限公司</t>
  </si>
  <si>
    <t>KMX220106-010-XF</t>
  </si>
  <si>
    <t>KMX220704-268-XF</t>
  </si>
  <si>
    <t>KMX221006-368-XF</t>
  </si>
  <si>
    <t>叶城天山水泥有限责任公司</t>
  </si>
  <si>
    <t>KMX230224-060-XF</t>
  </si>
  <si>
    <t>四川德胜集团水泥有限公司</t>
  </si>
  <si>
    <t>KMX230313-076-XF</t>
  </si>
  <si>
    <t>河北京兰水泥有限公司</t>
  </si>
  <si>
    <t>KMX220626-259-XF</t>
  </si>
  <si>
    <t>KMX230919-228-XF</t>
  </si>
  <si>
    <t>KMX221116-410-XF</t>
  </si>
  <si>
    <t>彤烨</t>
  </si>
  <si>
    <t>湖北宜化江家墩矿业有限公司宜昌猇亭分公司</t>
  </si>
  <si>
    <t>KMX230513-141-XF</t>
  </si>
  <si>
    <t>债务转让给湖北宜化肥业有限公司</t>
  </si>
  <si>
    <t>山西佳诚液压有限公司</t>
  </si>
  <si>
    <t>KMX230328-093-XF</t>
  </si>
  <si>
    <t>KMX221010-369-XF</t>
  </si>
  <si>
    <t>阿克苏天山多浪水泥有限责任公司</t>
  </si>
  <si>
    <t>KMX220119-044-XF</t>
  </si>
  <si>
    <t>KMX191209-416-XF</t>
  </si>
  <si>
    <t>KMX221202-423-XF</t>
  </si>
  <si>
    <t>KMX231117-249-XF</t>
  </si>
  <si>
    <t>KMX231117-251-XF</t>
  </si>
  <si>
    <t>KMX211110-436-XF</t>
  </si>
  <si>
    <t>KMX240130-027-XF</t>
  </si>
  <si>
    <t>吐鲁番天山水泥有限责任公司</t>
  </si>
  <si>
    <t>KMX231104-246-XF</t>
  </si>
  <si>
    <t>KMX200819-198-XF</t>
  </si>
  <si>
    <t>KMX230206-045-XF</t>
  </si>
  <si>
    <t>KMX230110-017-XF</t>
  </si>
  <si>
    <t>新疆中建西部建设水泥制造有限公司</t>
  </si>
  <si>
    <t>KMX220519-212-XF</t>
  </si>
  <si>
    <t>KMX240226-040-XF</t>
  </si>
  <si>
    <t>张家港市联泰科技有限公司</t>
  </si>
  <si>
    <t>银行承兑汇票4张（新）</t>
  </si>
  <si>
    <t>KMX220801-300-XF</t>
  </si>
  <si>
    <t>唐山冀东水泥股份有限公司唐山分公司</t>
  </si>
  <si>
    <t>KMX230307-072-XF</t>
  </si>
  <si>
    <t>KMX220420-174-XF</t>
  </si>
  <si>
    <t>徐中科团队</t>
  </si>
  <si>
    <t>KMX220728-293-XF</t>
  </si>
  <si>
    <t>湖南宁乡南方水泥有限公司</t>
  </si>
  <si>
    <t>KMX211209-484-XF</t>
  </si>
  <si>
    <t xml:space="preserve">武汉彤烨中信 </t>
  </si>
  <si>
    <t>湖南骏泰新材料科技有限责任公司</t>
  </si>
  <si>
    <t>KMX230426-129-XF</t>
  </si>
  <si>
    <t>中国阿拉伯化肥有限公司</t>
  </si>
  <si>
    <t>KMX240505-062-XF</t>
  </si>
  <si>
    <t>KMX230510-137-XF</t>
  </si>
  <si>
    <t>KMX230731-193-XF</t>
  </si>
  <si>
    <t>KMX240129-023-XF</t>
  </si>
  <si>
    <t>山玉英</t>
  </si>
  <si>
    <t>KMX230321-084-XF</t>
  </si>
  <si>
    <t>保证金180180下180</t>
  </si>
  <si>
    <t>银行承兑汇票（新）5张</t>
  </si>
  <si>
    <t>KMX230414-112-XF</t>
  </si>
  <si>
    <t>KMX230729-191-XF</t>
  </si>
  <si>
    <t>KMX230414-117-XF</t>
  </si>
  <si>
    <t>KMX230414-116-XF</t>
  </si>
  <si>
    <t>KMX231120-253-XF</t>
  </si>
  <si>
    <t>KMX230912-221-XF</t>
  </si>
  <si>
    <t>KMX230829-213-XF</t>
  </si>
  <si>
    <t>KMX230523-148-XF</t>
  </si>
  <si>
    <t>KMX230414-110-XF</t>
  </si>
  <si>
    <t>KMX230414-113-XF</t>
  </si>
  <si>
    <t>KMX230414-114-XF</t>
  </si>
  <si>
    <t>KMX231123-257-XF</t>
  </si>
  <si>
    <t>保山昆钢嘉华水泥建材有限公司</t>
  </si>
  <si>
    <t>KMX230916-226-XF</t>
  </si>
  <si>
    <t>日钢接的私活2万王先梅账户收款，无合同不开票</t>
  </si>
  <si>
    <t>银行承兑汇票（新）4张</t>
  </si>
  <si>
    <t>KMX230725-185-XF</t>
  </si>
  <si>
    <t>KMX230414-111-XF</t>
  </si>
  <si>
    <t>KMX230412-105-XF</t>
  </si>
  <si>
    <t>德令哈市人民法院退费（青海海西）</t>
  </si>
  <si>
    <t>KMX230301-064-XF</t>
  </si>
  <si>
    <t>湖北宜化松滋肥业有限公司</t>
  </si>
  <si>
    <t>KMX230427-131-XF</t>
  </si>
  <si>
    <t>KMX230731-192-XF</t>
  </si>
  <si>
    <t>唐山冀东发展机械设备制造有限公司</t>
  </si>
  <si>
    <t>KMX221228-449-XF</t>
  </si>
  <si>
    <t>KMX230128-033-XF</t>
  </si>
  <si>
    <t>重庆市合川区人民法院（重庆富丰）</t>
  </si>
  <si>
    <t>诉讼/徐中科</t>
  </si>
  <si>
    <t>KMX220729-296-XF</t>
  </si>
  <si>
    <t>KMX220810-316-XF</t>
  </si>
  <si>
    <t>违约金1万+诉讼费3036.2</t>
  </si>
  <si>
    <t>KMX230203-042-XF</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</si>
</sst>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7" formatCode="&quot;￥&quot;#,##0.00;&quot;￥&quot;\-#,##0.00"/>
    <numFmt numFmtId="8" formatCode="&quot;￥&quot;#,##0.00;[Red]&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Red]\(0.00\)"/>
    <numFmt numFmtId="178" formatCode="0.00_);\(0.00\)"/>
    <numFmt numFmtId="179" formatCode="&quot;￥&quot;#,##0.00_);[Red]\(&quot;￥&quot;#,##0.00\)"/>
    <numFmt numFmtId="180" formatCode="#,##0.00_);[Red]\(#,##0.00\)"/>
    <numFmt numFmtId="181" formatCode="yyyy&quot;年&quot;mm&quot;月&quot;dd&quot;日&quot;;@"/>
    <numFmt numFmtId="182" formatCode="_ * #,##0.00_ ;_ * \-#,##0.00_ ;_ * &quot;&quot;??_ ;_ @_ "/>
    <numFmt numFmtId="183" formatCode="&quot;￥&quot;#,##0.00_);[Red]\(&quot;￥&quot;#,##0.00\)"/>
    <numFmt numFmtId="184" formatCode="&quot;￥&quot;#,##0.00_);[Red]\(&quot;￥&quot;#,##0.00\)"/>
  </numFmts>
  <fonts count="42">
    <font>
      <sz val="11"/>
      <color theme="1"/>
      <name val="宋体"/>
      <charset val="134"/>
      <scheme val="minor"/>
    </font>
    <font>
      <sz val="11"/>
      <name val="宋体"/>
      <charset val="134"/>
      <scheme val="minor"/>
    </font>
    <font>
      <b/>
      <sz val="11"/>
      <color theme="1"/>
      <name val="宋体"/>
      <charset val="134"/>
      <scheme val="minor"/>
    </font>
    <font>
      <b/>
      <sz val="16"/>
      <color theme="1"/>
      <name val="宋体"/>
      <charset val="134"/>
      <scheme val="minor"/>
    </font>
    <font>
      <sz val="11"/>
      <color rgb="FF000000"/>
      <name val="宋体"/>
      <charset val="134"/>
    </font>
    <font>
      <sz val="10"/>
      <color rgb="FF000000"/>
      <name val="宋体"/>
      <charset val="134"/>
    </font>
    <font>
      <sz val="10.5"/>
      <color rgb="FF1890FF"/>
      <name val="Segoe UI"/>
      <charset val="134"/>
    </font>
    <font>
      <sz val="10"/>
      <name val="宋体"/>
      <charset val="134"/>
    </font>
    <font>
      <sz val="10"/>
      <color theme="1"/>
      <name val="宋体"/>
      <charset val="134"/>
      <scheme val="minor"/>
    </font>
    <font>
      <sz val="9"/>
      <name val="微软雅黑"/>
      <charset val="134"/>
    </font>
    <font>
      <b/>
      <sz val="12"/>
      <color theme="1"/>
      <name val="宋体"/>
      <charset val="134"/>
    </font>
    <font>
      <sz val="11"/>
      <color theme="1"/>
      <name val="宋体"/>
      <charset val="134"/>
    </font>
    <font>
      <b/>
      <sz val="11"/>
      <color theme="1"/>
      <name val="宋体"/>
      <charset val="134"/>
    </font>
    <font>
      <sz val="6"/>
      <color theme="1"/>
      <name val="宋体"/>
      <charset val="134"/>
      <scheme val="minor"/>
    </font>
    <font>
      <b/>
      <sz val="8"/>
      <color theme="1"/>
      <name val="宋体"/>
      <charset val="134"/>
      <scheme val="minor"/>
    </font>
    <font>
      <strike/>
      <sz val="11"/>
      <name val="宋体"/>
      <charset val="134"/>
      <scheme val="minor"/>
    </font>
    <font>
      <sz val="9"/>
      <name val="宋体"/>
      <charset val="134"/>
    </font>
    <font>
      <sz val="8"/>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9"/>
      <color rgb="FF222222"/>
      <name val="Segoe UI"/>
      <charset val="134"/>
    </font>
    <font>
      <sz val="9"/>
      <color rgb="FF222222"/>
      <name val="宋体"/>
      <charset val="134"/>
    </font>
    <font>
      <b/>
      <sz val="9"/>
      <name val="宋体"/>
      <charset val="134"/>
    </font>
    <font>
      <sz val="9"/>
      <name val="宋体"/>
      <charset val="134"/>
    </font>
  </fonts>
  <fills count="38">
    <fill>
      <patternFill patternType="none"/>
    </fill>
    <fill>
      <patternFill patternType="gray125"/>
    </fill>
    <fill>
      <patternFill patternType="solid">
        <fgColor rgb="FFFFFF00"/>
        <bgColor indexed="64"/>
      </patternFill>
    </fill>
    <fill>
      <patternFill patternType="solid">
        <fgColor theme="8" tint="0.4"/>
        <bgColor indexed="64"/>
      </patternFill>
    </fill>
    <fill>
      <patternFill patternType="solid">
        <fgColor rgb="FFFFFFFF"/>
        <bgColor indexed="64"/>
      </patternFill>
    </fill>
    <fill>
      <patternFill patternType="solid">
        <fgColor theme="7" tint="0.799920651875362"/>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7" borderId="5"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6" applyNumberFormat="0" applyFill="0" applyAlignment="0" applyProtection="0">
      <alignment vertical="center"/>
    </xf>
    <xf numFmtId="0" fontId="24" fillId="0" borderId="6" applyNumberFormat="0" applyFill="0" applyAlignment="0" applyProtection="0">
      <alignment vertical="center"/>
    </xf>
    <xf numFmtId="0" fontId="25" fillId="0" borderId="7" applyNumberFormat="0" applyFill="0" applyAlignment="0" applyProtection="0">
      <alignment vertical="center"/>
    </xf>
    <xf numFmtId="0" fontId="25" fillId="0" borderId="0" applyNumberFormat="0" applyFill="0" applyBorder="0" applyAlignment="0" applyProtection="0">
      <alignment vertical="center"/>
    </xf>
    <xf numFmtId="0" fontId="26" fillId="8" borderId="8" applyNumberFormat="0" applyAlignment="0" applyProtection="0">
      <alignment vertical="center"/>
    </xf>
    <xf numFmtId="0" fontId="27" fillId="9" borderId="9" applyNumberFormat="0" applyAlignment="0" applyProtection="0">
      <alignment vertical="center"/>
    </xf>
    <xf numFmtId="0" fontId="28" fillId="9" borderId="8" applyNumberFormat="0" applyAlignment="0" applyProtection="0">
      <alignment vertical="center"/>
    </xf>
    <xf numFmtId="0" fontId="29" fillId="10" borderId="10" applyNumberFormat="0" applyAlignment="0" applyProtection="0">
      <alignment vertical="center"/>
    </xf>
    <xf numFmtId="0" fontId="30" fillId="0" borderId="11" applyNumberFormat="0" applyFill="0" applyAlignment="0" applyProtection="0">
      <alignment vertical="center"/>
    </xf>
    <xf numFmtId="0" fontId="31" fillId="0" borderId="12" applyNumberFormat="0" applyFill="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5" fillId="37" borderId="0" applyNumberFormat="0" applyBorder="0" applyAlignment="0" applyProtection="0">
      <alignment vertical="center"/>
    </xf>
    <xf numFmtId="0" fontId="37" fillId="0" borderId="0">
      <alignment vertical="center"/>
    </xf>
  </cellStyleXfs>
  <cellXfs count="132">
    <xf numFmtId="0" fontId="0" fillId="0" borderId="0" xfId="0">
      <alignment vertical="center"/>
    </xf>
    <xf numFmtId="0" fontId="0" fillId="2" borderId="0" xfId="0" applyFill="1">
      <alignment vertical="center"/>
    </xf>
    <xf numFmtId="0" fontId="1" fillId="3" borderId="0" xfId="0" applyFont="1" applyFill="1">
      <alignment vertical="center"/>
    </xf>
    <xf numFmtId="0" fontId="0" fillId="0" borderId="1" xfId="0" applyBorder="1">
      <alignment vertical="center"/>
    </xf>
    <xf numFmtId="176" fontId="0" fillId="0" borderId="1" xfId="0" applyNumberFormat="1" applyBorder="1">
      <alignment vertical="center"/>
    </xf>
    <xf numFmtId="176" fontId="2"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177" fontId="2" fillId="0" borderId="1" xfId="1" applyNumberFormat="1" applyFont="1" applyFill="1" applyBorder="1" applyAlignment="1">
      <alignment horizontal="center" vertical="center"/>
    </xf>
    <xf numFmtId="177" fontId="2" fillId="0" borderId="1" xfId="0" applyNumberFormat="1" applyFont="1" applyFill="1" applyBorder="1" applyAlignment="1">
      <alignment horizontal="center" vertical="center"/>
    </xf>
    <xf numFmtId="0" fontId="0" fillId="2" borderId="1" xfId="0" applyFill="1" applyBorder="1">
      <alignment vertical="center"/>
    </xf>
    <xf numFmtId="176" fontId="0" fillId="2" borderId="1" xfId="0" applyNumberFormat="1" applyFill="1" applyBorder="1">
      <alignment vertical="center"/>
    </xf>
    <xf numFmtId="43" fontId="0" fillId="2" borderId="1" xfId="0" applyNumberFormat="1" applyFill="1" applyBorder="1">
      <alignment vertical="center"/>
    </xf>
    <xf numFmtId="0" fontId="1" fillId="3" borderId="1" xfId="0" applyFont="1" applyFill="1" applyBorder="1">
      <alignment vertical="center"/>
    </xf>
    <xf numFmtId="176" fontId="1" fillId="3" borderId="1" xfId="0" applyNumberFormat="1" applyFont="1" applyFill="1" applyBorder="1">
      <alignment vertical="center"/>
    </xf>
    <xf numFmtId="0" fontId="0" fillId="0" borderId="0" xfId="0" applyAlignment="1">
      <alignment horizontal="center" vertical="center"/>
    </xf>
    <xf numFmtId="0" fontId="0" fillId="0" borderId="1" xfId="0" applyBorder="1" applyAlignment="1">
      <alignment horizontal="center" vertical="center"/>
    </xf>
    <xf numFmtId="178" fontId="0" fillId="0" borderId="1" xfId="0" applyNumberFormat="1" applyBorder="1">
      <alignment vertical="center"/>
    </xf>
    <xf numFmtId="43" fontId="0" fillId="0" borderId="1" xfId="0" applyNumberFormat="1" applyBorder="1">
      <alignment vertical="center"/>
    </xf>
    <xf numFmtId="176" fontId="0" fillId="0" borderId="0" xfId="0" applyNumberFormat="1">
      <alignment vertical="center"/>
    </xf>
    <xf numFmtId="176" fontId="3" fillId="0" borderId="0" xfId="0" applyNumberFormat="1" applyFont="1" applyFill="1" applyAlignment="1">
      <alignment horizontal="center" vertical="center"/>
    </xf>
    <xf numFmtId="0" fontId="0" fillId="0" borderId="1" xfId="0" applyFill="1" applyBorder="1" applyAlignment="1">
      <alignment horizontal="center" vertical="center"/>
    </xf>
    <xf numFmtId="176" fontId="1" fillId="0" borderId="1" xfId="0" applyNumberFormat="1" applyFont="1" applyFill="1" applyBorder="1" applyAlignment="1">
      <alignment horizontal="center" vertical="center"/>
    </xf>
    <xf numFmtId="0" fontId="4" fillId="0" borderId="1" xfId="0" applyFont="1" applyFill="1" applyBorder="1" applyAlignment="1">
      <alignment horizontal="center" vertical="center"/>
    </xf>
    <xf numFmtId="7" fontId="0" fillId="0" borderId="1" xfId="0" applyNumberFormat="1" applyFill="1" applyBorder="1" applyAlignment="1">
      <alignment horizontal="center" vertical="center"/>
    </xf>
    <xf numFmtId="0" fontId="5" fillId="0" borderId="1" xfId="0" applyFont="1" applyFill="1" applyBorder="1" applyAlignment="1">
      <alignment vertical="center" wrapText="1"/>
    </xf>
    <xf numFmtId="0" fontId="6" fillId="4" borderId="0" xfId="0" applyFont="1" applyFill="1">
      <alignment vertical="center"/>
    </xf>
    <xf numFmtId="0" fontId="4" fillId="0" borderId="1" xfId="0" applyFont="1" applyFill="1" applyBorder="1" applyAlignment="1">
      <alignment horizontal="left" vertical="center"/>
    </xf>
    <xf numFmtId="179" fontId="0" fillId="0" borderId="1" xfId="0" applyNumberFormat="1" applyFill="1" applyBorder="1" applyAlignment="1">
      <alignment horizontal="center" vertical="center"/>
    </xf>
    <xf numFmtId="0" fontId="0" fillId="0" borderId="0" xfId="0" applyFill="1" applyAlignment="1">
      <alignment vertical="center"/>
    </xf>
    <xf numFmtId="0" fontId="1" fillId="0" borderId="1" xfId="0" applyFont="1" applyFill="1" applyBorder="1" applyAlignment="1">
      <alignment horizontal="center" vertical="center"/>
    </xf>
    <xf numFmtId="179" fontId="1" fillId="0" borderId="1" xfId="0" applyNumberFormat="1" applyFont="1" applyFill="1" applyBorder="1" applyAlignment="1">
      <alignment horizontal="center" vertical="center"/>
    </xf>
    <xf numFmtId="0" fontId="0" fillId="0" borderId="0" xfId="0" applyFill="1" applyAlignment="1">
      <alignment horizontal="center" vertical="center"/>
    </xf>
    <xf numFmtId="0" fontId="7" fillId="0" borderId="0" xfId="0" applyFont="1" applyFill="1" applyBorder="1" applyAlignment="1">
      <alignment horizontal="left" vertical="center" wrapText="1"/>
    </xf>
    <xf numFmtId="0" fontId="6" fillId="4" borderId="0" xfId="0" applyFont="1" applyFill="1" applyBorder="1" applyAlignment="1">
      <alignment vertical="center"/>
    </xf>
    <xf numFmtId="0" fontId="7" fillId="0" borderId="1" xfId="0" applyFont="1" applyFill="1" applyBorder="1" applyAlignment="1">
      <alignment horizontal="left" vertical="center" wrapText="1"/>
    </xf>
    <xf numFmtId="0" fontId="7" fillId="0" borderId="0" xfId="0" applyFont="1" applyFill="1" applyAlignment="1">
      <alignment horizontal="left" vertical="center" wrapText="1"/>
    </xf>
    <xf numFmtId="176" fontId="0" fillId="0" borderId="1" xfId="0" applyNumberFormat="1" applyFill="1" applyBorder="1" applyAlignment="1">
      <alignment horizontal="center" vertical="center"/>
    </xf>
    <xf numFmtId="0" fontId="6" fillId="4" borderId="0" xfId="0" applyFont="1" applyFill="1" applyAlignment="1">
      <alignment vertical="center"/>
    </xf>
    <xf numFmtId="176" fontId="1" fillId="0" borderId="2" xfId="0" applyNumberFormat="1" applyFont="1" applyFill="1" applyBorder="1" applyAlignment="1">
      <alignment horizontal="center" vertical="center"/>
    </xf>
    <xf numFmtId="0" fontId="5" fillId="0" borderId="1" xfId="0" applyFont="1" applyBorder="1" applyAlignment="1">
      <alignment vertical="center" wrapText="1"/>
    </xf>
    <xf numFmtId="0" fontId="6" fillId="0" borderId="0" xfId="0" applyFont="1">
      <alignment vertical="center"/>
    </xf>
    <xf numFmtId="0" fontId="7" fillId="0" borderId="1" xfId="0" applyFont="1" applyFill="1" applyBorder="1" applyAlignment="1">
      <alignment horizontal="left" vertical="center"/>
    </xf>
    <xf numFmtId="0" fontId="1" fillId="0" borderId="1" xfId="0" applyFont="1" applyFill="1" applyBorder="1" applyAlignment="1">
      <alignment vertical="center"/>
    </xf>
    <xf numFmtId="0" fontId="5" fillId="0" borderId="1" xfId="0" applyFont="1" applyFill="1" applyBorder="1" applyAlignment="1">
      <alignment horizontal="center" vertical="center" wrapText="1"/>
    </xf>
    <xf numFmtId="0" fontId="6" fillId="0" borderId="0" xfId="0" applyFont="1" applyFill="1" applyAlignment="1">
      <alignment vertical="center"/>
    </xf>
    <xf numFmtId="0" fontId="8" fillId="0" borderId="1" xfId="0" applyFont="1" applyBorder="1" applyAlignment="1">
      <alignment vertical="center" wrapText="1"/>
    </xf>
    <xf numFmtId="179" fontId="1" fillId="0" borderId="1" xfId="0" applyNumberFormat="1" applyFont="1" applyFill="1" applyBorder="1" applyAlignment="1">
      <alignment horizontal="right" vertical="center"/>
    </xf>
    <xf numFmtId="0" fontId="1" fillId="0" borderId="1" xfId="0" applyFont="1" applyFill="1" applyBorder="1" applyAlignment="1">
      <alignment horizontal="left" vertical="center"/>
    </xf>
    <xf numFmtId="0" fontId="0" fillId="0" borderId="1" xfId="0" applyFill="1" applyBorder="1" applyAlignment="1">
      <alignment vertical="center"/>
    </xf>
    <xf numFmtId="0" fontId="2" fillId="0" borderId="1" xfId="0" applyFont="1" applyFill="1" applyBorder="1" applyAlignment="1">
      <alignment vertical="center"/>
    </xf>
    <xf numFmtId="180" fontId="2" fillId="0" borderId="1" xfId="0" applyNumberFormat="1" applyFont="1" applyFill="1" applyBorder="1" applyAlignment="1">
      <alignment horizontal="center" vertical="center"/>
    </xf>
    <xf numFmtId="0" fontId="0" fillId="0" borderId="1" xfId="0" applyBorder="1" applyAlignment="1">
      <alignment horizontal="right" vertical="center"/>
    </xf>
    <xf numFmtId="181" fontId="9" fillId="5" borderId="1" xfId="0" applyNumberFormat="1" applyFont="1" applyFill="1" applyBorder="1" applyAlignment="1" applyProtection="1">
      <alignment horizontal="center" vertical="center"/>
      <protection hidden="1"/>
    </xf>
    <xf numFmtId="182" fontId="9" fillId="5" borderId="1" xfId="1" applyNumberFormat="1" applyFont="1" applyFill="1" applyBorder="1" applyAlignment="1" applyProtection="1">
      <alignment horizontal="left" vertical="center"/>
      <protection hidden="1"/>
    </xf>
    <xf numFmtId="182" fontId="9" fillId="5" borderId="1" xfId="1" applyNumberFormat="1" applyFont="1" applyFill="1" applyBorder="1" applyAlignment="1" applyProtection="1">
      <alignment horizontal="center" vertical="center"/>
      <protection hidden="1"/>
    </xf>
    <xf numFmtId="43" fontId="0" fillId="0" borderId="0" xfId="0" applyNumberFormat="1">
      <alignment vertical="center"/>
    </xf>
    <xf numFmtId="0" fontId="10" fillId="6" borderId="1" xfId="0" applyFont="1" applyFill="1" applyBorder="1" applyAlignment="1">
      <alignment horizontal="center" vertical="center"/>
    </xf>
    <xf numFmtId="44" fontId="10" fillId="6" borderId="1" xfId="0" applyNumberFormat="1" applyFont="1" applyFill="1" applyBorder="1" applyAlignment="1">
      <alignment horizontal="center" vertical="center"/>
    </xf>
    <xf numFmtId="43" fontId="10" fillId="6" borderId="1" xfId="0" applyNumberFormat="1" applyFont="1" applyFill="1" applyBorder="1" applyAlignment="1">
      <alignment horizontal="center" vertical="center"/>
    </xf>
    <xf numFmtId="0" fontId="11" fillId="0" borderId="1" xfId="0" applyFont="1" applyBorder="1" applyAlignment="1">
      <alignment horizontal="center" vertical="center"/>
    </xf>
    <xf numFmtId="44" fontId="11" fillId="0" borderId="1" xfId="2" applyFont="1" applyBorder="1" applyAlignment="1">
      <alignment horizontal="center" vertical="center"/>
    </xf>
    <xf numFmtId="44" fontId="11" fillId="0" borderId="1" xfId="2" applyFont="1" applyBorder="1">
      <alignment vertical="center"/>
    </xf>
    <xf numFmtId="0" fontId="12" fillId="2" borderId="1" xfId="0" applyFont="1" applyFill="1" applyBorder="1" applyAlignment="1">
      <alignment horizontal="center" vertical="center"/>
    </xf>
    <xf numFmtId="44" fontId="12" fillId="2" borderId="1" xfId="2" applyFont="1" applyFill="1" applyBorder="1" applyAlignment="1">
      <alignment horizontal="center" vertical="center"/>
    </xf>
    <xf numFmtId="0" fontId="0" fillId="0" borderId="0" xfId="0" applyFont="1" applyFill="1" applyAlignment="1">
      <alignment horizontal="center" vertical="center"/>
    </xf>
    <xf numFmtId="0" fontId="2" fillId="0" borderId="0" xfId="0" applyFont="1" applyFill="1" applyAlignment="1">
      <alignment horizontal="center" vertical="center"/>
    </xf>
    <xf numFmtId="0" fontId="0" fillId="0" borderId="0" xfId="0" applyFill="1">
      <alignment vertical="center"/>
    </xf>
    <xf numFmtId="0" fontId="2" fillId="0" borderId="0" xfId="0" applyFont="1">
      <alignment vertical="center"/>
    </xf>
    <xf numFmtId="43" fontId="2" fillId="0" borderId="1" xfId="1" applyNumberFormat="1" applyFont="1" applyFill="1" applyBorder="1" applyAlignment="1">
      <alignment horizontal="center" vertical="center"/>
    </xf>
    <xf numFmtId="0" fontId="13" fillId="0" borderId="1" xfId="0" applyFont="1" applyBorder="1" applyAlignment="1">
      <alignment vertical="center" wrapText="1"/>
    </xf>
    <xf numFmtId="0" fontId="0" fillId="0" borderId="1" xfId="0" applyFill="1" applyBorder="1">
      <alignment vertical="center"/>
    </xf>
    <xf numFmtId="0" fontId="13" fillId="0" borderId="1" xfId="0" applyFont="1" applyFill="1" applyBorder="1" applyAlignment="1">
      <alignment vertical="center" wrapText="1"/>
    </xf>
    <xf numFmtId="0" fontId="4" fillId="0" borderId="3" xfId="0" applyFont="1" applyBorder="1" applyAlignment="1">
      <alignment horizontal="left" vertical="center"/>
    </xf>
    <xf numFmtId="0" fontId="4" fillId="0" borderId="1" xfId="0" applyFont="1" applyBorder="1" applyAlignment="1">
      <alignment horizontal="left" vertical="center"/>
    </xf>
    <xf numFmtId="0" fontId="2" fillId="0" borderId="1" xfId="0" applyFont="1" applyBorder="1" applyAlignment="1">
      <alignment horizontal="center" vertical="center"/>
    </xf>
    <xf numFmtId="0" fontId="2" fillId="0" borderId="1" xfId="0" applyFont="1" applyBorder="1">
      <alignment vertical="center"/>
    </xf>
    <xf numFmtId="179" fontId="2" fillId="0" borderId="1" xfId="0" applyNumberFormat="1" applyFont="1" applyBorder="1">
      <alignment vertical="center"/>
    </xf>
    <xf numFmtId="4" fontId="0" fillId="0" borderId="0" xfId="0" applyNumberFormat="1">
      <alignment vertical="center"/>
    </xf>
    <xf numFmtId="0" fontId="1" fillId="0" borderId="1" xfId="0" applyFont="1" applyFill="1" applyBorder="1" applyAlignment="1">
      <alignment horizontal="left" vertical="center" wrapText="1"/>
    </xf>
    <xf numFmtId="0" fontId="1" fillId="0" borderId="1" xfId="0" applyFont="1" applyFill="1" applyBorder="1" applyAlignment="1">
      <alignment vertical="center" wrapText="1"/>
    </xf>
    <xf numFmtId="0" fontId="0" fillId="0" borderId="0" xfId="0" applyBorder="1">
      <alignment vertical="center"/>
    </xf>
    <xf numFmtId="0" fontId="1" fillId="2" borderId="1" xfId="0" applyFont="1" applyFill="1" applyBorder="1" applyAlignment="1">
      <alignment vertical="center"/>
    </xf>
    <xf numFmtId="0" fontId="1" fillId="2" borderId="1" xfId="0" applyFont="1" applyFill="1" applyBorder="1" applyAlignment="1">
      <alignment horizontal="left" vertical="center"/>
    </xf>
    <xf numFmtId="0" fontId="14" fillId="0" borderId="1" xfId="0" applyFont="1" applyFill="1" applyBorder="1" applyAlignment="1">
      <alignment horizontal="center" vertical="center"/>
    </xf>
    <xf numFmtId="0" fontId="0" fillId="0" borderId="1" xfId="0" applyFont="1" applyFill="1" applyBorder="1" applyAlignment="1">
      <alignment horizontal="left" vertical="center"/>
    </xf>
    <xf numFmtId="179" fontId="1" fillId="2" borderId="1" xfId="0" applyNumberFormat="1" applyFont="1" applyFill="1" applyBorder="1" applyAlignment="1">
      <alignment horizontal="right" vertical="center"/>
    </xf>
    <xf numFmtId="176" fontId="2" fillId="0" borderId="1" xfId="0" applyNumberFormat="1" applyFont="1" applyBorder="1">
      <alignment vertical="center"/>
    </xf>
    <xf numFmtId="176" fontId="0" fillId="0" borderId="1" xfId="0" applyNumberFormat="1" applyFill="1" applyBorder="1" applyAlignment="1">
      <alignment horizontal="center" vertical="center"/>
    </xf>
    <xf numFmtId="0" fontId="0" fillId="0" borderId="1" xfId="0" applyFill="1" applyBorder="1" applyAlignment="1">
      <alignment vertical="center"/>
    </xf>
    <xf numFmtId="0" fontId="0" fillId="0" borderId="1" xfId="0" applyFill="1" applyBorder="1" applyAlignment="1">
      <alignment horizontal="center" vertical="center"/>
    </xf>
    <xf numFmtId="0" fontId="4" fillId="0" borderId="1" xfId="0" applyFont="1" applyFill="1" applyBorder="1" applyAlignment="1">
      <alignment horizontal="left" vertical="center"/>
    </xf>
    <xf numFmtId="0" fontId="4" fillId="0" borderId="1" xfId="0" applyFont="1" applyFill="1" applyBorder="1" applyAlignment="1">
      <alignment vertical="center"/>
    </xf>
    <xf numFmtId="176" fontId="0" fillId="0" borderId="1" xfId="0" applyNumberFormat="1" applyBorder="1" applyAlignment="1">
      <alignment horizontal="center" vertical="center"/>
    </xf>
    <xf numFmtId="8" fontId="0" fillId="0" borderId="1" xfId="0" applyNumberFormat="1" applyBorder="1">
      <alignment vertical="center"/>
    </xf>
    <xf numFmtId="0" fontId="0" fillId="0" borderId="0" xfId="0" applyAlignment="1">
      <alignment vertical="center" wrapText="1"/>
    </xf>
    <xf numFmtId="176" fontId="3" fillId="0" borderId="0" xfId="0" applyNumberFormat="1" applyFont="1" applyFill="1" applyAlignment="1">
      <alignment horizontal="center" vertical="center" wrapText="1"/>
    </xf>
    <xf numFmtId="0" fontId="2" fillId="0" borderId="1" xfId="0" applyFont="1" applyFill="1" applyBorder="1" applyAlignment="1">
      <alignment horizontal="center" vertical="center" wrapText="1"/>
    </xf>
    <xf numFmtId="0" fontId="4" fillId="0" borderId="0" xfId="0" applyFont="1" applyFill="1">
      <alignment vertical="center"/>
    </xf>
    <xf numFmtId="176" fontId="15" fillId="0" borderId="1" xfId="0" applyNumberFormat="1" applyFont="1" applyFill="1" applyBorder="1" applyAlignment="1">
      <alignment horizontal="center" vertical="center"/>
    </xf>
    <xf numFmtId="0" fontId="0" fillId="0" borderId="1" xfId="0" applyFill="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2" fillId="0" borderId="1" xfId="0" applyFont="1" applyBorder="1" applyAlignment="1">
      <alignment vertical="center" wrapText="1"/>
    </xf>
    <xf numFmtId="0" fontId="1" fillId="0" borderId="0" xfId="0" applyFont="1" applyFill="1" applyAlignment="1">
      <alignment vertical="center"/>
    </xf>
    <xf numFmtId="0" fontId="1" fillId="2" borderId="0" xfId="0" applyFont="1" applyFill="1" applyAlignment="1">
      <alignment vertical="center"/>
    </xf>
    <xf numFmtId="176" fontId="0" fillId="0" borderId="0" xfId="0" applyNumberFormat="1" applyFill="1" applyAlignment="1">
      <alignment horizontal="center" vertical="center"/>
    </xf>
    <xf numFmtId="0" fontId="0" fillId="0" borderId="0" xfId="0" applyFill="1" applyAlignment="1">
      <alignment horizontal="left" vertical="center"/>
    </xf>
    <xf numFmtId="43" fontId="0" fillId="0" borderId="0" xfId="0" applyNumberFormat="1" applyFill="1" applyAlignment="1">
      <alignment vertical="center"/>
    </xf>
    <xf numFmtId="176" fontId="4" fillId="0" borderId="1" xfId="0" applyNumberFormat="1" applyFont="1" applyBorder="1" applyAlignment="1">
      <alignment horizontal="center" vertical="center"/>
    </xf>
    <xf numFmtId="0" fontId="4" fillId="0" borderId="1" xfId="0" applyFont="1" applyBorder="1" applyAlignment="1">
      <alignment vertical="center"/>
    </xf>
    <xf numFmtId="0" fontId="8" fillId="0" borderId="1" xfId="0" applyFont="1" applyFill="1" applyBorder="1" applyAlignment="1">
      <alignment vertical="center" wrapText="1"/>
    </xf>
    <xf numFmtId="7" fontId="1" fillId="0" borderId="1" xfId="0" applyNumberFormat="1" applyFont="1" applyFill="1" applyBorder="1" applyAlignment="1">
      <alignment vertical="center"/>
    </xf>
    <xf numFmtId="0" fontId="1" fillId="2" borderId="1" xfId="0" applyFont="1" applyFill="1" applyBorder="1" applyAlignment="1">
      <alignment horizontal="center" vertical="center"/>
    </xf>
    <xf numFmtId="176" fontId="1" fillId="2" borderId="1" xfId="0" applyNumberFormat="1" applyFont="1" applyFill="1" applyBorder="1" applyAlignment="1">
      <alignment horizontal="center" vertical="center"/>
    </xf>
    <xf numFmtId="7" fontId="1" fillId="2" borderId="1" xfId="0" applyNumberFormat="1" applyFont="1" applyFill="1" applyBorder="1" applyAlignment="1">
      <alignment vertical="center"/>
    </xf>
    <xf numFmtId="0" fontId="4" fillId="2" borderId="1" xfId="0" applyFont="1" applyFill="1" applyBorder="1" applyAlignment="1">
      <alignment vertical="center"/>
    </xf>
    <xf numFmtId="0" fontId="0" fillId="2" borderId="1" xfId="0" applyFont="1" applyFill="1" applyBorder="1" applyAlignment="1">
      <alignment horizontal="left" vertical="center"/>
    </xf>
    <xf numFmtId="0" fontId="8" fillId="2" borderId="1" xfId="0" applyFont="1" applyFill="1" applyBorder="1" applyAlignment="1">
      <alignment vertical="center" wrapText="1"/>
    </xf>
    <xf numFmtId="0" fontId="2" fillId="0" borderId="1" xfId="0" applyFont="1" applyFill="1" applyBorder="1" applyAlignment="1">
      <alignment horizontal="left" vertical="center"/>
    </xf>
    <xf numFmtId="43" fontId="2" fillId="0" borderId="1" xfId="0" applyNumberFormat="1" applyFont="1" applyFill="1" applyBorder="1" applyAlignment="1">
      <alignment horizontal="center" vertical="center"/>
    </xf>
    <xf numFmtId="0" fontId="0" fillId="0" borderId="0" xfId="0" applyFont="1" applyFill="1" applyAlignment="1">
      <alignment vertical="center"/>
    </xf>
    <xf numFmtId="176" fontId="3" fillId="0" borderId="0" xfId="0" applyNumberFormat="1" applyFont="1" applyFill="1" applyAlignment="1">
      <alignment horizontal="left" vertical="center"/>
    </xf>
    <xf numFmtId="0" fontId="0" fillId="0" borderId="0" xfId="0" applyFont="1" applyFill="1" applyAlignment="1">
      <alignment horizontal="left" vertical="center"/>
    </xf>
    <xf numFmtId="43" fontId="11" fillId="0" borderId="1" xfId="1" applyNumberFormat="1" applyFont="1" applyFill="1" applyBorder="1" applyAlignment="1" applyProtection="1">
      <alignment vertical="center"/>
      <protection hidden="1"/>
    </xf>
    <xf numFmtId="0" fontId="8" fillId="0" borderId="1" xfId="0" applyFont="1" applyFill="1" applyBorder="1" applyAlignment="1">
      <alignment horizontal="left" vertical="center"/>
    </xf>
    <xf numFmtId="43" fontId="16" fillId="0" borderId="1" xfId="49" applyNumberFormat="1" applyFont="1" applyFill="1" applyBorder="1" applyAlignment="1" applyProtection="1">
      <alignment horizontal="center" vertical="center" wrapText="1"/>
    </xf>
    <xf numFmtId="43" fontId="16" fillId="0" borderId="1" xfId="0" applyNumberFormat="1" applyFont="1" applyFill="1" applyBorder="1" applyAlignment="1">
      <alignment horizontal="center" vertical="center" shrinkToFit="1"/>
    </xf>
    <xf numFmtId="0" fontId="0" fillId="0" borderId="4" xfId="0" applyBorder="1" applyAlignment="1">
      <alignment horizontal="left" vertical="center" wrapText="1"/>
    </xf>
    <xf numFmtId="0" fontId="0" fillId="0" borderId="1" xfId="0" applyFont="1" applyFill="1" applyBorder="1" applyAlignment="1">
      <alignment vertical="center"/>
    </xf>
    <xf numFmtId="0" fontId="17" fillId="0" borderId="1" xfId="0" applyFont="1" applyBorder="1" applyAlignment="1">
      <alignment horizontal="left" vertical="center"/>
    </xf>
    <xf numFmtId="179" fontId="0" fillId="0" borderId="1" xfId="0" applyNumberFormat="1" applyFill="1" applyBorder="1" applyAlignment="1">
      <alignment horizontal="right" vertical="center"/>
    </xf>
    <xf numFmtId="179" fontId="2" fillId="0" borderId="1" xfId="0" applyNumberFormat="1"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15 2" xfId="49"/>
  </cellStyles>
  <dxfs count="1">
    <dxf>
      <font>
        <color rgb="FF9C0006"/>
      </font>
      <fill>
        <patternFill patternType="solid">
          <bgColor rgb="FFFFC7CE"/>
        </patternFill>
      </fill>
    </dxf>
  </dxf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schemas.openxmlformats.org/officeDocument/2006/relationships/styles" Target="styles.xml"/><Relationship Id="rId27" Type="http://schemas.openxmlformats.org/officeDocument/2006/relationships/customXml" Target="../customXml/item4.xml"/><Relationship Id="rId26" Type="http://schemas.openxmlformats.org/officeDocument/2006/relationships/sharedStrings" Target="sharedStrings.xml"/><Relationship Id="rId25" Type="http://schemas.openxmlformats.org/officeDocument/2006/relationships/theme" Target="theme/theme1.xml"/><Relationship Id="rId24" Type="http://schemas.openxmlformats.org/officeDocument/2006/relationships/externalLink" Target="externalLinks/externalLink2.xml"/><Relationship Id="rId23" Type="http://schemas.openxmlformats.org/officeDocument/2006/relationships/externalLink" Target="externalLinks/externalLink1.xml"/><Relationship Id="rId22" Type="http://schemas.openxmlformats.org/officeDocument/2006/relationships/pivotCacheDefinition" Target="pivotCache/pivotCacheDefinition1.xml"/><Relationship Id="rId21" Type="http://schemas.openxmlformats.org/officeDocument/2006/relationships/customXml" Target="../customXml/item3.xml"/><Relationship Id="rId20" Type="http://schemas.openxmlformats.org/officeDocument/2006/relationships/customXml" Target="../customXml/item2.xml"/><Relationship Id="rId2" Type="http://schemas.openxmlformats.org/officeDocument/2006/relationships/worksheet" Target="worksheets/sheet2.xml"/><Relationship Id="rId19" Type="http://schemas.openxmlformats.org/officeDocument/2006/relationships/customXml" Target="../customXml/item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0</xdr:colOff>
      <xdr:row>14</xdr:row>
      <xdr:rowOff>0</xdr:rowOff>
    </xdr:from>
    <xdr:to>
      <xdr:col>18</xdr:col>
      <xdr:colOff>133350</xdr:colOff>
      <xdr:row>36</xdr:row>
      <xdr:rowOff>193675</xdr:rowOff>
    </xdr:to>
    <xdr:pic>
      <xdr:nvPicPr>
        <xdr:cNvPr id="2" name="图片 1"/>
        <xdr:cNvPicPr>
          <a:picLocks noChangeAspect="1"/>
        </xdr:cNvPicPr>
      </xdr:nvPicPr>
      <xdr:blipFill>
        <a:blip r:embed="rId1"/>
        <a:stretch>
          <a:fillRect/>
        </a:stretch>
      </xdr:blipFill>
      <xdr:spPr>
        <a:xfrm>
          <a:off x="14052550" y="3190875"/>
          <a:ext cx="5467350" cy="494347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DELL\AppData\Roaming\kingsoft\office6\backup\2024.1&#26376;-6&#26376;&#26085;&#35760;&#3613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26&#24180;&#22238;&#27454;&#349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档案"/>
      <sheetName val="资金账户"/>
      <sheetName val="日期汇总"/>
      <sheetName val="流水汇总"/>
      <sheetName val="单日流水"/>
      <sheetName val="9"/>
      <sheetName val="1"/>
      <sheetName val="2"/>
      <sheetName val="3"/>
      <sheetName val="4"/>
      <sheetName val="5"/>
      <sheetName val="6"/>
      <sheetName val="7"/>
      <sheetName val="8"/>
      <sheetName val="10"/>
      <sheetName val="11"/>
      <sheetName val="12"/>
      <sheetName val="16"/>
      <sheetName val="17"/>
      <sheetName val="18"/>
      <sheetName val="19"/>
      <sheetName val="20"/>
      <sheetName val="21"/>
      <sheetName val="25"/>
      <sheetName val="26"/>
      <sheetName val="27"/>
      <sheetName val="28"/>
      <sheetName val="29"/>
      <sheetName val="30"/>
      <sheetName val="31"/>
      <sheetName val="32"/>
      <sheetName val="36"/>
      <sheetName val="37"/>
      <sheetName val="38"/>
      <sheetName val="42"/>
      <sheetName val="43"/>
      <sheetName val="44"/>
      <sheetName val="45"/>
      <sheetName val="50"/>
      <sheetName val="51"/>
      <sheetName val="52"/>
      <sheetName val="53"/>
      <sheetName val="46"/>
      <sheetName val="47"/>
      <sheetName val="48"/>
      <sheetName val="49"/>
      <sheetName val="13"/>
      <sheetName val="14"/>
      <sheetName val="15"/>
      <sheetName val="22"/>
      <sheetName val="23"/>
      <sheetName val="24"/>
      <sheetName val="33"/>
      <sheetName val="34"/>
      <sheetName val="35"/>
      <sheetName val="39"/>
      <sheetName val="40"/>
      <sheetName val="41"/>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月"/>
      <sheetName val="2月"/>
      <sheetName val="3月"/>
      <sheetName val="4月"/>
      <sheetName val="5月"/>
      <sheetName val="6月"/>
      <sheetName val="7月"/>
      <sheetName val="8月"/>
      <sheetName val="9月"/>
      <sheetName val="10月"/>
      <sheetName val="11月"/>
      <sheetName val="12月"/>
      <sheetName val="汇总"/>
      <sheetName val="保证金"/>
    </sheetNames>
    <sheetDataSet>
      <sheetData sheetId="0"/>
      <sheetData sheetId="1">
        <row r="36">
          <cell r="E36" t="e">
            <v>#REF!</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538.4766319444" refreshedBy="Administrator" recordCount="0">
  <cacheSource type="worksheet">
    <worksheetSource ref="A1:A1" sheet="1月"/>
  </cacheSource>
  <cacheFields count="9">
    <cacheField name="序列" numFmtId="0">
      <sharedItems containsString="0" containsBlank="1" containsNumber="1" containsInteger="1" minValue="0" maxValue="51" count="5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m/>
      </sharedItems>
    </cacheField>
    <cacheField name="日期" numFmtId="176">
      <sharedItems containsString="0" containsBlank="1" containsNonDate="0" containsDate="1" minDate="2024-07-03T00:00:00" maxDate="2024-07-31T00:00:00" count="18">
        <d v="2024-07-03T00:00:00"/>
        <d v="2024-07-04T00:00:00"/>
        <d v="2024-07-05T00:00:00"/>
        <d v="2024-07-08T00:00:00"/>
        <d v="2024-07-09T00:00:00"/>
        <d v="2024-07-10T00:00:00"/>
        <d v="2024-07-12T00:00:00"/>
        <d v="2024-07-15T00:00:00"/>
        <d v="2024-07-17T00:00:00"/>
        <d v="2024-07-19T00:00:00"/>
        <d v="2024-07-22T00:00:00"/>
        <d v="2024-07-23T00:00:00"/>
        <d v="2024-07-24T00:00:00"/>
        <d v="2024-07-26T00:00:00"/>
        <d v="2024-07-29T00:00:00"/>
        <d v="2024-07-30T00:00:00"/>
        <d v="2024-07-31T00:00:00"/>
        <m/>
      </sharedItems>
    </cacheField>
    <cacheField name="公司名称" numFmtId="0">
      <sharedItems containsBlank="1" count="35">
        <s v="江西亚东水泥有限公司"/>
        <s v="吉林亚泰明城水泥有限公司"/>
        <s v="广西北港新材料有限公司"/>
        <s v="绥江县永固水泥有限责任公司"/>
        <s v="内蒙古万晨能源股份有限公司千峰水泥分公司"/>
        <s v="山西吉港冠宇水泥有限公司"/>
        <s v="台泥（重庆）水泥有限公司"/>
        <s v="承德翼东水泥有限责任公司"/>
        <s v="安徽郎溪南方水泥有限公司"/>
        <s v="河南九丰建设有限公司"/>
        <s v="湖北鸿茂矿渣微粉有限公司"/>
        <s v="溆浦大盛建材有限责任公司"/>
        <s v="登电集团水泥有限公司"/>
        <s v="江阴兴澄特种钢铁有限公司"/>
        <s v="汉中勉县尧柏水泥有限公司"/>
        <s v="新疆圣雄水泥有限公司"/>
        <s v="吉林亚泰水泥有限公司"/>
        <s v="冀东水泥铜川有限公司"/>
        <s v="华新水泥(河南信阳)有限公司"/>
        <s v="嘉峪关祁连山水泥有限公司"/>
        <s v="江西玉山万年青水泥有限公司"/>
        <s v="青海发投碱业有限公司"/>
        <s v="葛洲坝石门特种水泥有限公司"/>
        <s v="兆山集团诸暨水泥有限公司"/>
        <s v="湖北恒博机械科技有限公司（华新水泥（恩施）有限公司）"/>
        <s v="亚泰集团铁岭水泥有限公司"/>
        <s v="日照钢铁有限公司"/>
        <s v="湖南古丈南方水泥有限公司"/>
        <s v="湖南浏阳南方水泥有限公司"/>
        <s v="湖南华菱湘潭钢铁有限公司"/>
        <s v="山东鲁泰环保建材有限公司"/>
        <s v="江西乐平万年青水泥有限公司"/>
        <s v="黔南州宏安建材有限公司"/>
        <s v="重庆市富丰水泥集团特种水泥有限公司"/>
        <m/>
      </sharedItems>
    </cacheField>
    <cacheField name="合同号" numFmtId="0">
      <sharedItems containsBlank="1" count="44">
        <s v="KMX240430-060-XF"/>
        <s v="KMX210723-288-XF"/>
        <s v="KMX220516-206-XF"/>
        <s v="KMX211223-511-XF"/>
        <s v="KMX220105-009-XF"/>
        <s v="KMX190619-230-XF"/>
        <s v="KMX180524-160-XF"/>
        <s v="KMX240611-072-XF"/>
        <s v="KMX240326-050-XF"/>
        <s v="KMX220704-267-XF"/>
        <s v="KMX240704-078-XF"/>
        <s v="KMX220313-137-XF"/>
        <s v="KMX220921-356-XF"/>
        <s v="KMX240103-004-XF"/>
        <s v="KMX220112-021-XF"/>
        <s v="KMX221020-380-XF"/>
        <s v="KMX210426-185-XF"/>
        <s v="KMX221027-386-XF"/>
        <s v="KMX211022-395-XF"/>
        <s v="KMX220323-147-XF"/>
        <s v="KMX230128-035-XF"/>
        <s v="KMX220712-282-XF"/>
        <s v="KMX210222-106-XF"/>
        <s v="KMX231102-244-XF"/>
        <s v="KMX210906-340-XF"/>
        <s v="KMX231102-245-XF"/>
        <s v="KMX240103-003-XF"/>
        <s v="KMX200608-109-XF"/>
        <s v="KMX150418-093-XF"/>
        <s v="KMX150213-043"/>
        <s v="KMX240126-022-XF"/>
        <s v="KMX211216-497-XF"/>
        <s v="KMX220620-250-XF"/>
        <s v="KMX230403-098-XF"/>
        <s v="KMX240125-021-XF"/>
        <s v="KMX230427-132-XF"/>
        <s v="KMX221207-429-XF"/>
        <s v="KMX220205-070-XF"/>
        <s v="KMX220709-276-XF"/>
        <s v="KMX230515-142-XF"/>
        <s v="KMX220306-129-XF"/>
        <s v="KMX220222-110-XF"/>
        <s v="KMX220121-052-XF"/>
        <m/>
      </sharedItems>
    </cacheField>
    <cacheField name="回款金额（元）" numFmtId="184">
      <sharedItems containsString="0" containsBlank="1" containsNumber="1" minValue="0" maxValue="1087032" count="48">
        <n v="61750"/>
        <n v="200000"/>
        <n v="8272"/>
        <n v="100000"/>
        <n v="150500"/>
        <n v="9500"/>
        <n v="14000"/>
        <n v="19000"/>
        <n v="31389.07"/>
        <n v="2000"/>
        <n v="1768.93"/>
        <n v="48816"/>
        <n v="2700"/>
        <n v="5000"/>
        <n v="2980"/>
        <n v="188000"/>
        <n v="50000"/>
        <n v="4445"/>
        <n v="56535"/>
        <n v="20000"/>
        <n v="60000"/>
        <n v="26514"/>
        <n v="30000"/>
        <n v="70000"/>
        <n v="150000"/>
        <n v="42000"/>
        <n v="46517.56"/>
        <n v="64000"/>
        <n v="300000"/>
        <n v="95000"/>
        <n v="15800"/>
        <n v="10000"/>
        <n v="61100"/>
        <n v="28900"/>
        <n v="184819.09"/>
        <n v="1087032"/>
        <n v="24000"/>
        <n v="29380"/>
        <n v="16900"/>
        <n v="3100"/>
        <n v="8991"/>
        <n v="24878.5"/>
        <n v="13121.5"/>
        <n v="220000"/>
        <n v="8035.44"/>
        <n v="11964.56"/>
        <n v="72000"/>
        <m/>
      </sharedItems>
    </cacheField>
    <cacheField name="回款方式" numFmtId="0">
      <sharedItems containsBlank="1" count="15">
        <s v="武汉华夏"/>
        <s v="武汉彤烨中信"/>
        <s v="武汉华夏160000"/>
        <s v="武汉华夏33000"/>
        <s v="武汉浦发"/>
        <s v="湖北工行西山"/>
        <s v="王先梅邮政"/>
        <s v="武汉农商行"/>
        <s v="武汉华夏60980"/>
        <s v="武汉汉口"/>
        <s v="武汉华夏10万"/>
        <s v="武汉浦发2万"/>
        <s v="武汉华夏3.8万"/>
        <s v="武汉浦发369003.5"/>
        <m/>
      </sharedItems>
    </cacheField>
    <cacheField name="备注" numFmtId="0">
      <sharedItems containsBlank="1" count="6">
        <s v="修理费"/>
        <m/>
        <s v="银行承兑汇票（新）"/>
        <s v="轮带维修费"/>
        <s v="商业承兑汇票"/>
        <s v="退质保金"/>
      </sharedItems>
    </cacheField>
    <cacheField name="负责人" numFmtId="0">
      <sharedItems containsBlank="1" count="19">
        <s v="伍平"/>
        <s v="诉讼"/>
        <m/>
        <s v="张强"/>
        <s v="于广洲"/>
        <s v="殷坤鹏"/>
        <s v="牛国庆"/>
        <s v="朱利勇"/>
        <s v="于广洲、李峰"/>
        <s v="杨春龙、林维"/>
        <s v="李锋"/>
        <s v="林柱生"/>
        <s v="曾江利"/>
        <s v="要退款"/>
        <s v="于广州" u="1"/>
        <s v="催收" u="1"/>
        <s v="杨春龙" u="1"/>
        <s v="客人彭义" u="1"/>
        <s v="调解（林柱生）" u="1"/>
      </sharedItems>
    </cacheField>
    <cacheField name="项目内容" numFmtId="0">
      <sharedItems containsBlank="1" containsNumber="1" containsInteger="1" containsMixedTypes="1" count="42">
        <s v="辊压机主轴返厂修复_x000a_"/>
        <s v="5000T/D回转窑2条窑动态测窑及调窑，托轮车削、轮带磨削"/>
        <s v="渣厂1线过滤机安装1套；渣厂皮带安装1套；电气设备安装1套_x000a_"/>
        <s v="4*60米回转窑一档托轮新件制件（含轴）共2件，离线"/>
        <s v="调整回转窑同轴度（直线度）；调整传动系统、托轮系统（含回转窑中心线检测、各挡基础标高检测、及大小齿间隙检测调整）；1.2.3档轮带垫板更换（垫板尺寸由乙方确定不另收取费用）；更换大齿圈密封"/>
        <s v="1号线5000吨回转窑大齿圈、小齿轮双面磨损修复"/>
        <s v="2号线5000吨回转窑大齿轮单面磨损1~3mm；2号线5000吨回转窑小齿轮单面磨损1~3mm"/>
        <n v="0"/>
        <s v="水泥分厂辊压机辊子主轴轴肩位修复（对轴肩磨损区域进行堆焊后进行车削处理）"/>
        <s v="3500T/D回窑中档轮带正面磨削1条，托轮车削1个"/>
        <e v="#N/A"/>
        <s v="三档托轮剥落掉块修复"/>
        <s v="6#、7# 4.5*100米4档窑动态检测、动态调整技术指导"/>
        <s v="小齿轮断齿修复，小齿轮探伤检测、指导安装、指导矫正"/>
        <s v="水泥磨大齿圈离线校正、在线 翻面、小齿轮更换、减速机、 电机校正"/>
        <s v="破碎机转子耐磨堆焊；立磨磨盘、磨辊耐磨堆焊"/>
        <s v="1000T/D回转窑三档轮磨削；三档托轮更换（含刮瓦、安装及调整）；二档轮带裂纹修复；二三档轮带剥落掉块修复"/>
        <s v="1、回转窑热态检测2次（停机前1次，检修完工开机后1次）；_x000a_2、回转窑冷态检测2次（停机后1次，检修完工开机前1次）_x000a_3、回转窑调整3次（停机前1次，检修完工点火前1次，点火后1次）_x000a_4、4个托轮车削和2个轮带磨削；_x000a_5、回转窑滑移量调整2档；_x000a_6、大齿圈调整技术1项；_x000a_7、托轮瓦抽瓦检查8块；_x000a_8、齿圈密封罩更换1项；_x000a_9、窑头档托轮角度调整1项；_x000a_10、小齿轮翻面1项（小齿翻面取消，改为小齿传动调整）"/>
        <s v="2500T/D回转窑大齿圈双面磨损离线修复"/>
        <s v="托轮、轮带剥落掉块修复"/>
        <s v="2#线筒体裂纹修复，5#托轮裂纹及掉块修复"/>
        <s v="万吨线点火，担心会出问题，需要孙工在厂保稳"/>
        <s v="5米磨机滑履磨削、刮瓦2片（含安装）；磨机滑环裂纹修复约3米"/>
        <s v="回转窑动态检测及调整"/>
        <s v="2500T/D回转窑动态测量及动态调窑、静态垫托轮（共2条窑）2023.6 1线重新进行 动态测量及动态调窑技术指导、静态垫托轮技术指导"/>
        <s v="3#水泥窑轮带焊接、托轮焊接， 托轮、轮带车削磨削；新增：三档轮带侧面及液压挡轮磨削"/>
        <s v="重碱车间废液管线更换"/>
        <s v="托轮、轮带剥落掉块在线修复"/>
        <s v="一线托轮轮带包年修复"/>
        <s v="辊压机堆焊修复"/>
        <s v="前窑口筒体更换80cm；不锈钢冷风套、鱼形片更换；一档轮带向窑尾端移位5cm及垫板调整；一档靠楼梯托轮更换及2片瓦研刮调整；一档4#瓦研刮调整；三档2#、4#瓦研刮；液压挡轮、液压缸更换及调整；窑中心线、标高线找正，托轮组调整；轮带、托轮破损处焊修（包年维修）；立磨4#辊拆装总成"/>
        <s v="2个托轮离线修复：1.托轮一（直径1.2米）修复内容：1、探伤，2.止推盘被推了，做个止推环安装好（必须是过盈配合），3.轴磨损修复和油封磨损修复，4.剥落掉块和和裂纹修复。_x000a_托轮二（直径1.3米），修复内容：1.探伤，2.轴处理光洁度，密封磨损修复，3.剥落掉块修复。"/>
        <s v="托轮剥落掉块修复"/>
        <s v="循环经济部石灰工场2023年上半年年修2#石灰窑齿顶间隙调整；3#石灰窑回转窑大小齿圈更换1套、后轮带更换1套；10#11#石灰窑齿顶间隙调整2套；8#9#11#石灰窑托轮在线车削6个；10#11#石灰窑挡铁更换16块；10#石灰窑托轮在线车削4个，10#石灰窑轮带磨削2条"/>
        <s v="2500T/D回转窑筒体焊缝探伤检测，筒体厚度检测、托轮、轮带探伤检测"/>
        <s v="2022年三烧混合机在线修复_x000a_一、防护罩拆除（滚圈防护罩拆除、安装；托轮防护罩拆除、安装；大齿圈防护拆除、安装）_x000a_二、托轮基础修复（基础破除；M42托轮基础螺栓更换；基础二次灌浆）_x000a_三、托轮、挡轮、小齿轮调整（静态数据测量；托轮4个调整；挡轮2个调整；小齿轮1个调整）_x000a_四、滚圈修复（滚圈表面堆焊；滚圈表面车削；滚圈表面磨削；混合机动态测量；根据测量数据调整）_x000a_五、大齿圈打磨"/>
        <s v="（WHEG-2800步进高效冷却）机篦冷机更换防堵篦板、密封板"/>
        <s v="篦冷机更换防堵篦板（篦冷机更换防堵篦板200块;调整密封板（轨道）间隙3毫米，缺失部位钻孔攻丝;检查轨道侧面磨损、间隙；调垫托轮;检查更换损坏毛毡密封；修复机尾漏料处轨道密封板;更换边护板（26米）；浇注料拆除）"/>
        <s v="1#2.3档托轮剥落掉块修复，2#2.3档轮带剥落掉块修复，液压挡轮掉块修复"/>
        <s v=" 立磨磨盘、磨辊耐磨堆焊（型号：HRM3400）共5台，水泥磨磨辊耐磨堆焊（型号：FPP1700）共4台"/>
        <s v="回转窑轮带托轮剥落掉块修复，轮带贯穿性裂纹修复660*390MM"/>
        <m/>
      </sharedItems>
    </cacheField>
  </cacheFields>
</pivotCacheDefinition>
</file>

<file path=xl/pivotCache/pivotCacheRecords1.xml><?xml version="1.0" encoding="utf-8"?>
<pivotCacheRecords xmlns="http://schemas.openxmlformats.org/spreadsheetml/2006/main" xmlns:r="http://schemas.openxmlformats.org/officeDocument/2006/relationships" count="0"/>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5" minRefreshableVersion="3" createdVersion="5" compact="0" indent="0" compactData="0" showDrill="1" multipleFieldFilters="0">
  <location ref="A1:D42" firstHeaderRow="1" firstDataRow="1" firstDataCol="3"/>
  <pivotFields count="9">
    <pivotField compact="0" defaultSubtotal="0" outline="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51"/>
        <item x="48"/>
        <item x="49"/>
        <item x="50"/>
      </items>
    </pivotField>
    <pivotField axis="axisRow" compact="0" defaultSubtotal="0" outline="0" numFmtId="176" showAll="0">
      <items count="18">
        <item x="0"/>
        <item x="1"/>
        <item x="2"/>
        <item x="3"/>
        <item x="4"/>
        <item x="5"/>
        <item x="6"/>
        <item x="7"/>
        <item x="8"/>
        <item x="9"/>
        <item x="10"/>
        <item x="11"/>
        <item x="12"/>
        <item x="13"/>
        <item x="14"/>
        <item x="15"/>
        <item x="16"/>
        <item x="17"/>
      </items>
    </pivotField>
    <pivotField axis="axisRow" compact="0" defaultSubtotal="0" outline="0" showAll="0">
      <items count="35">
        <item x="8"/>
        <item x="7"/>
        <item x="12"/>
        <item x="22"/>
        <item x="2"/>
        <item x="14"/>
        <item x="9"/>
        <item x="24"/>
        <item x="10"/>
        <item x="27"/>
        <item x="28"/>
        <item x="18"/>
        <item x="1"/>
        <item x="16"/>
        <item x="17"/>
        <item x="19"/>
        <item x="0"/>
        <item x="20"/>
        <item x="13"/>
        <item x="4"/>
        <item x="21"/>
        <item x="26"/>
        <item x="5"/>
        <item x="3"/>
        <item x="6"/>
        <item x="15"/>
        <item x="11"/>
        <item x="25"/>
        <item x="23"/>
        <item x="29"/>
        <item x="30"/>
        <item x="31"/>
        <item x="32"/>
        <item x="34"/>
        <item x="33"/>
      </items>
    </pivotField>
    <pivotField compact="0" defaultSubtotal="0" outline="0" showAll="0">
      <items count="44">
        <item x="29"/>
        <item x="28"/>
        <item x="6"/>
        <item x="5"/>
        <item x="27"/>
        <item x="22"/>
        <item x="16"/>
        <item x="1"/>
        <item x="24"/>
        <item x="18"/>
        <item x="31"/>
        <item x="3"/>
        <item x="4"/>
        <item x="14"/>
        <item x="11"/>
        <item x="19"/>
        <item x="2"/>
        <item x="32"/>
        <item x="9"/>
        <item x="21"/>
        <item x="12"/>
        <item x="15"/>
        <item x="17"/>
        <item x="20"/>
        <item x="33"/>
        <item x="35"/>
        <item x="23"/>
        <item x="25"/>
        <item x="26"/>
        <item x="13"/>
        <item x="34"/>
        <item x="30"/>
        <item x="8"/>
        <item x="0"/>
        <item x="7"/>
        <item x="10"/>
        <item x="36"/>
        <item x="37"/>
        <item x="38"/>
        <item x="39"/>
        <item x="40"/>
        <item x="41"/>
        <item x="43"/>
        <item x="42"/>
      </items>
    </pivotField>
    <pivotField dataField="1" compact="0" defaultSubtotal="0" outline="0" numFmtId="179" showAll="0">
      <items count="48">
        <item x="10"/>
        <item x="9"/>
        <item x="12"/>
        <item x="14"/>
        <item x="17"/>
        <item x="13"/>
        <item x="2"/>
        <item x="5"/>
        <item x="31"/>
        <item x="6"/>
        <item x="30"/>
        <item x="7"/>
        <item x="19"/>
        <item x="36"/>
        <item x="21"/>
        <item x="33"/>
        <item x="22"/>
        <item x="8"/>
        <item x="25"/>
        <item x="26"/>
        <item x="11"/>
        <item x="16"/>
        <item x="18"/>
        <item x="20"/>
        <item x="32"/>
        <item x="0"/>
        <item x="27"/>
        <item x="23"/>
        <item x="29"/>
        <item x="3"/>
        <item x="24"/>
        <item x="4"/>
        <item x="34"/>
        <item x="15"/>
        <item x="1"/>
        <item x="28"/>
        <item x="35"/>
        <item x="37"/>
        <item x="38"/>
        <item x="39"/>
        <item x="40"/>
        <item x="41"/>
        <item x="42"/>
        <item x="43"/>
        <item x="47"/>
        <item x="44"/>
        <item x="45"/>
        <item x="46"/>
      </items>
    </pivotField>
    <pivotField compact="0" defaultSubtotal="0" outline="0" showAll="0">
      <items count="15">
        <item x="5"/>
        <item x="6"/>
        <item x="9"/>
        <item x="0"/>
        <item x="10"/>
        <item x="2"/>
        <item x="3"/>
        <item x="8"/>
        <item x="7"/>
        <item x="4"/>
        <item x="1"/>
        <item x="11"/>
        <item x="12"/>
        <item x="14"/>
        <item x="13"/>
      </items>
    </pivotField>
    <pivotField compact="0" defaultSubtotal="0" outline="0" showAll="0">
      <items count="6">
        <item x="3"/>
        <item x="4"/>
        <item x="5"/>
        <item x="0"/>
        <item x="2"/>
        <item x="1"/>
      </items>
    </pivotField>
    <pivotField axis="axisRow" compact="0" sortType="descending" defaultSubtotal="0" outline="0" showAll="0">
      <items count="19">
        <item x="12"/>
        <item m="1" x="15"/>
        <item m="1" x="17"/>
        <item x="10"/>
        <item x="11"/>
        <item x="6"/>
        <item x="1"/>
        <item x="0"/>
        <item m="1" x="16"/>
        <item x="9"/>
        <item x="5"/>
        <item m="1" x="14"/>
        <item x="3"/>
        <item x="7"/>
        <item x="2"/>
        <item m="1" x="18"/>
        <item x="4"/>
        <item x="8"/>
        <item x="13"/>
      </items>
      <autoSortScope>
        <pivotArea fieldPosition="0">
          <references count="1">
            <reference field="4294967294" count="1" selected="0">
              <x v="0"/>
            </reference>
          </references>
        </pivotArea>
      </autoSortScope>
    </pivotField>
    <pivotField compact="0" defaultSubtotal="0" outline="0" showAll="0">
      <items count="42">
        <item x="7"/>
        <item x="17"/>
        <item x="16"/>
        <item x="5"/>
        <item x="20"/>
        <item x="18"/>
        <item x="24"/>
        <item x="34"/>
        <item x="31"/>
        <item x="6"/>
        <item x="25"/>
        <item x="9"/>
        <item x="3"/>
        <item x="1"/>
        <item x="22"/>
        <item x="12"/>
        <item x="29"/>
        <item x="0"/>
        <item x="23"/>
        <item x="15"/>
        <item x="30"/>
        <item x="11"/>
        <item x="8"/>
        <item x="14"/>
        <item x="4"/>
        <item x="19"/>
        <item x="27"/>
        <item x="32"/>
        <item x="21"/>
        <item x="13"/>
        <item x="33"/>
        <item x="28"/>
        <item x="2"/>
        <item x="26"/>
        <item x="10"/>
        <item x="35"/>
        <item x="36"/>
        <item x="37"/>
        <item x="38"/>
        <item x="39"/>
        <item x="41"/>
        <item x="40"/>
      </items>
    </pivotField>
  </pivotFields>
  <rowFields count="3">
    <field x="7"/>
    <field x="1"/>
    <field x="2"/>
  </rowFields>
  <rowItems count="41">
    <i>
      <x v="9"/>
      <x v="10"/>
      <x v="18"/>
    </i>
    <i r="1">
      <x v="15"/>
      <x v="21"/>
    </i>
    <i>
      <x v="6"/>
      <x v="1"/>
      <x v="12"/>
    </i>
    <i r="1">
      <x v="11"/>
      <x v="13"/>
    </i>
    <i r="1">
      <x v="15"/>
      <x v="27"/>
    </i>
    <i r="1">
      <x v="16"/>
      <x v="12"/>
    </i>
    <i>
      <x v="4"/>
      <x v="12"/>
      <x v="15"/>
    </i>
    <i r="1">
      <x v="14"/>
      <x v="15"/>
    </i>
    <i r="2">
      <x v="28"/>
    </i>
    <i r="1">
      <x v="15"/>
      <x v="7"/>
    </i>
    <i>
      <x v="13"/>
      <x v="8"/>
      <x v="6"/>
    </i>
    <i r="1">
      <x v="9"/>
      <x v="2"/>
    </i>
    <i r="1">
      <x v="10"/>
      <x v="5"/>
    </i>
    <i r="1">
      <x v="11"/>
      <x v="14"/>
    </i>
    <i r="1">
      <x v="16"/>
      <x v="29"/>
    </i>
    <i r="2">
      <x v="30"/>
    </i>
    <i>
      <x v="5"/>
      <x v="5"/>
      <x v="24"/>
    </i>
    <i r="1">
      <x v="9"/>
      <x v="8"/>
    </i>
    <i r="1">
      <x v="16"/>
      <x v="32"/>
    </i>
    <i>
      <x v="16"/>
      <x v="3"/>
      <x v="19"/>
    </i>
    <i>
      <x/>
      <x v="13"/>
      <x v="20"/>
    </i>
    <i r="1">
      <x v="14"/>
      <x v="20"/>
    </i>
    <i>
      <x v="10"/>
      <x v="4"/>
      <x v="22"/>
    </i>
    <i r="1">
      <x v="7"/>
      <x v="22"/>
    </i>
    <i r="1">
      <x v="11"/>
      <x v="25"/>
    </i>
    <i>
      <x v="7"/>
      <x/>
      <x v="16"/>
    </i>
    <i r="1">
      <x v="7"/>
      <x/>
    </i>
    <i r="1">
      <x v="13"/>
      <x v="17"/>
    </i>
    <i r="1">
      <x v="16"/>
      <x v="31"/>
    </i>
    <i>
      <x v="17"/>
      <x v="9"/>
      <x v="26"/>
    </i>
    <i r="1">
      <x v="15"/>
      <x v="9"/>
    </i>
    <i r="2">
      <x v="10"/>
    </i>
    <i>
      <x v="12"/>
      <x v="2"/>
      <x v="23"/>
    </i>
    <i r="1">
      <x v="16"/>
      <x v="34"/>
    </i>
    <i>
      <x v="18"/>
      <x v="16"/>
      <x v="32"/>
    </i>
    <i>
      <x v="14"/>
      <x v="2"/>
      <x v="4"/>
    </i>
    <i r="1">
      <x v="6"/>
      <x v="1"/>
    </i>
    <i r="1">
      <x v="13"/>
      <x v="3"/>
    </i>
    <i r="1">
      <x v="17"/>
      <x v="33"/>
    </i>
    <i>
      <x v="3"/>
      <x v="12"/>
      <x v="11"/>
    </i>
    <i t="grand">
      <x/>
    </i>
  </rowItems>
  <colItems count="1">
    <i/>
  </colItems>
  <dataFields count="1">
    <dataField name="求和项:回款金额（元）" fld="4"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2"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F1:G16" firstHeaderRow="1" firstDataRow="1" firstDataCol="1"/>
  <pivotFields count="9">
    <pivotField compact="0"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51"/>
        <item x="48"/>
        <item x="49"/>
        <item x="50"/>
        <item t="default"/>
      </items>
    </pivotField>
    <pivotField compact="0" numFmtId="176" showAll="0">
      <items count="19">
        <item x="0"/>
        <item x="1"/>
        <item x="2"/>
        <item x="3"/>
        <item x="4"/>
        <item x="5"/>
        <item x="6"/>
        <item x="7"/>
        <item x="8"/>
        <item x="9"/>
        <item x="10"/>
        <item x="11"/>
        <item x="12"/>
        <item x="13"/>
        <item x="14"/>
        <item x="15"/>
        <item x="16"/>
        <item x="17"/>
        <item t="default"/>
      </items>
    </pivotField>
    <pivotField compact="0" showAll="0">
      <items count="36">
        <item x="8"/>
        <item x="7"/>
        <item x="12"/>
        <item x="22"/>
        <item x="2"/>
        <item x="14"/>
        <item x="9"/>
        <item x="24"/>
        <item x="10"/>
        <item x="27"/>
        <item x="28"/>
        <item x="18"/>
        <item x="1"/>
        <item x="16"/>
        <item x="17"/>
        <item x="19"/>
        <item x="0"/>
        <item x="20"/>
        <item x="13"/>
        <item x="4"/>
        <item x="21"/>
        <item x="26"/>
        <item x="5"/>
        <item x="3"/>
        <item x="6"/>
        <item x="15"/>
        <item x="11"/>
        <item x="25"/>
        <item x="23"/>
        <item x="29"/>
        <item x="30"/>
        <item x="31"/>
        <item x="32"/>
        <item x="34"/>
        <item x="33"/>
        <item t="default"/>
      </items>
    </pivotField>
    <pivotField compact="0" showAll="0">
      <items count="45">
        <item x="29"/>
        <item x="28"/>
        <item x="6"/>
        <item x="5"/>
        <item x="27"/>
        <item x="22"/>
        <item x="16"/>
        <item x="1"/>
        <item x="24"/>
        <item x="18"/>
        <item x="31"/>
        <item x="3"/>
        <item x="4"/>
        <item x="14"/>
        <item x="11"/>
        <item x="19"/>
        <item x="2"/>
        <item x="32"/>
        <item x="9"/>
        <item x="21"/>
        <item x="12"/>
        <item x="15"/>
        <item x="17"/>
        <item x="20"/>
        <item x="33"/>
        <item x="35"/>
        <item x="23"/>
        <item x="25"/>
        <item x="26"/>
        <item x="13"/>
        <item x="34"/>
        <item x="30"/>
        <item x="8"/>
        <item x="0"/>
        <item x="7"/>
        <item x="10"/>
        <item x="36"/>
        <item x="37"/>
        <item x="38"/>
        <item x="39"/>
        <item x="40"/>
        <item x="41"/>
        <item x="43"/>
        <item x="42"/>
        <item t="default"/>
      </items>
    </pivotField>
    <pivotField dataField="1" compact="0" numFmtId="179" showAll="0">
      <items count="49">
        <item x="10"/>
        <item x="9"/>
        <item x="12"/>
        <item x="14"/>
        <item x="17"/>
        <item x="13"/>
        <item x="2"/>
        <item x="5"/>
        <item x="31"/>
        <item x="6"/>
        <item x="30"/>
        <item x="7"/>
        <item x="19"/>
        <item x="36"/>
        <item x="21"/>
        <item x="33"/>
        <item x="22"/>
        <item x="8"/>
        <item x="25"/>
        <item x="26"/>
        <item x="11"/>
        <item x="16"/>
        <item x="18"/>
        <item x="20"/>
        <item x="32"/>
        <item x="0"/>
        <item x="27"/>
        <item x="23"/>
        <item x="29"/>
        <item x="3"/>
        <item x="24"/>
        <item x="4"/>
        <item x="34"/>
        <item x="15"/>
        <item x="1"/>
        <item x="28"/>
        <item x="35"/>
        <item x="37"/>
        <item x="38"/>
        <item x="39"/>
        <item x="40"/>
        <item x="41"/>
        <item x="42"/>
        <item x="43"/>
        <item x="47"/>
        <item x="44"/>
        <item x="45"/>
        <item x="46"/>
        <item t="default"/>
      </items>
    </pivotField>
    <pivotField compact="0" showAll="0">
      <items count="16">
        <item x="5"/>
        <item x="6"/>
        <item x="9"/>
        <item x="0"/>
        <item x="10"/>
        <item x="2"/>
        <item x="3"/>
        <item x="8"/>
        <item x="7"/>
        <item x="4"/>
        <item x="1"/>
        <item x="11"/>
        <item x="12"/>
        <item x="14"/>
        <item x="13"/>
        <item t="default"/>
      </items>
    </pivotField>
    <pivotField compact="0" showAll="0">
      <items count="7">
        <item x="3"/>
        <item x="4"/>
        <item x="5"/>
        <item x="0"/>
        <item x="2"/>
        <item x="1"/>
        <item t="default"/>
      </items>
    </pivotField>
    <pivotField axis="axisRow" compact="0" sortType="descending" showAll="0">
      <items count="20">
        <item x="12"/>
        <item m="1" x="15"/>
        <item m="1" x="17"/>
        <item x="10"/>
        <item x="11"/>
        <item x="6"/>
        <item x="1"/>
        <item x="0"/>
        <item m="1" x="16"/>
        <item x="9"/>
        <item x="5"/>
        <item m="1" x="14"/>
        <item x="3"/>
        <item x="7"/>
        <item x="2"/>
        <item m="1" x="18"/>
        <item x="4"/>
        <item x="8"/>
        <item x="13"/>
        <item t="default"/>
      </items>
      <autoSortScope>
        <pivotArea fieldPosition="0">
          <references count="1">
            <reference field="4294967294" count="1" selected="0">
              <x v="0"/>
            </reference>
          </references>
        </pivotArea>
      </autoSortScope>
    </pivotField>
    <pivotField compact="0" showAll="0">
      <items count="43">
        <item x="7"/>
        <item x="17"/>
        <item x="16"/>
        <item x="5"/>
        <item x="20"/>
        <item x="18"/>
        <item x="24"/>
        <item x="34"/>
        <item x="31"/>
        <item x="6"/>
        <item x="25"/>
        <item x="9"/>
        <item x="3"/>
        <item x="1"/>
        <item x="22"/>
        <item x="12"/>
        <item x="29"/>
        <item x="0"/>
        <item x="23"/>
        <item x="15"/>
        <item x="30"/>
        <item x="11"/>
        <item x="8"/>
        <item x="14"/>
        <item x="4"/>
        <item x="19"/>
        <item x="27"/>
        <item x="32"/>
        <item x="21"/>
        <item x="13"/>
        <item x="33"/>
        <item x="28"/>
        <item x="2"/>
        <item x="26"/>
        <item x="10"/>
        <item x="35"/>
        <item x="36"/>
        <item x="37"/>
        <item x="38"/>
        <item x="39"/>
        <item x="41"/>
        <item x="40"/>
        <item t="default"/>
      </items>
    </pivotField>
  </pivotFields>
  <rowFields count="1">
    <field x="7"/>
  </rowFields>
  <rowItems count="15">
    <i>
      <x v="9"/>
    </i>
    <i>
      <x v="6"/>
    </i>
    <i>
      <x v="4"/>
    </i>
    <i>
      <x v="13"/>
    </i>
    <i>
      <x v="5"/>
    </i>
    <i>
      <x v="16"/>
    </i>
    <i>
      <x/>
    </i>
    <i>
      <x v="10"/>
    </i>
    <i>
      <x v="7"/>
    </i>
    <i>
      <x v="17"/>
    </i>
    <i>
      <x v="12"/>
    </i>
    <i>
      <x v="18"/>
    </i>
    <i>
      <x v="14"/>
    </i>
    <i>
      <x v="3"/>
    </i>
    <i t="grand">
      <x/>
    </i>
  </rowItems>
  <colItems count="1">
    <i/>
  </colItems>
  <dataFields count="1">
    <dataField name="求和项:回款金额（元）" fld="4"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7"/>
  <sheetViews>
    <sheetView workbookViewId="0">
      <pane ySplit="2" topLeftCell="A8" activePane="bottomLeft" state="frozen"/>
      <selection/>
      <selection pane="bottomLeft" activeCell="K12" sqref="K12"/>
    </sheetView>
  </sheetViews>
  <sheetFormatPr defaultColWidth="9" defaultRowHeight="13.5"/>
  <cols>
    <col min="1" max="1" width="4.88333333333333" style="31" customWidth="1"/>
    <col min="2" max="2" width="10.3833333333333" style="105" customWidth="1"/>
    <col min="3" max="3" width="27.8833333333333" style="28" customWidth="1"/>
    <col min="4" max="4" width="17" style="106" customWidth="1"/>
    <col min="5" max="5" width="18.75" style="28" customWidth="1"/>
    <col min="6" max="6" width="16" style="28" customWidth="1"/>
    <col min="7" max="7" width="28" style="28" customWidth="1"/>
    <col min="8" max="8" width="11.8833333333333" style="106" customWidth="1"/>
    <col min="9" max="9" width="31.6333333333333" style="28" customWidth="1"/>
    <col min="10" max="11" width="9" style="28"/>
    <col min="12" max="12" width="16" style="28"/>
    <col min="13" max="16384" width="9" style="28"/>
  </cols>
  <sheetData>
    <row r="1" s="64" customFormat="1" ht="27" customHeight="1" spans="1:10">
      <c r="A1" s="19" t="s">
        <v>0</v>
      </c>
      <c r="B1" s="19"/>
      <c r="C1" s="19"/>
      <c r="D1" s="121"/>
      <c r="E1" s="19"/>
      <c r="F1" s="19"/>
      <c r="G1" s="19"/>
      <c r="H1" s="122"/>
    </row>
    <row r="2" s="65" customFormat="1" ht="20.25" customHeight="1" spans="1:10">
      <c r="A2" s="5" t="s">
        <v>1</v>
      </c>
      <c r="B2" s="5" t="s">
        <v>2</v>
      </c>
      <c r="C2" s="6" t="s">
        <v>3</v>
      </c>
      <c r="D2" s="6" t="s">
        <v>4</v>
      </c>
      <c r="E2" s="7" t="s">
        <v>5</v>
      </c>
      <c r="F2" s="8" t="s">
        <v>6</v>
      </c>
      <c r="G2" s="6" t="s">
        <v>7</v>
      </c>
      <c r="H2" s="6" t="s">
        <v>8</v>
      </c>
      <c r="I2" s="6" t="s">
        <v>9</v>
      </c>
      <c r="J2" s="65" t="s">
        <v>10</v>
      </c>
    </row>
    <row r="3" ht="17" customHeight="1" spans="1:10">
      <c r="A3" s="29">
        <v>1</v>
      </c>
      <c r="B3" s="21">
        <v>46027</v>
      </c>
      <c r="C3" s="42" t="s">
        <v>11</v>
      </c>
      <c r="D3" s="42" t="s">
        <v>12</v>
      </c>
      <c r="E3" s="123">
        <v>102103.2</v>
      </c>
      <c r="F3" s="42" t="s">
        <v>13</v>
      </c>
      <c r="G3" s="42"/>
      <c r="H3" s="124"/>
      <c r="I3" s="110"/>
    </row>
    <row r="4" ht="17" customHeight="1" spans="1:10">
      <c r="A4" s="29">
        <v>2</v>
      </c>
      <c r="B4" s="21">
        <v>46029</v>
      </c>
      <c r="C4" s="42" t="s">
        <v>14</v>
      </c>
      <c r="D4" s="42" t="s">
        <v>15</v>
      </c>
      <c r="E4" s="123">
        <v>30000</v>
      </c>
      <c r="F4" s="42" t="s">
        <v>16</v>
      </c>
      <c r="G4" s="42" t="s">
        <v>17</v>
      </c>
      <c r="H4" s="124"/>
      <c r="I4" s="110"/>
    </row>
    <row r="5" ht="17" customHeight="1" spans="1:10">
      <c r="A5" s="29">
        <v>3</v>
      </c>
      <c r="B5" s="21">
        <v>46030</v>
      </c>
      <c r="C5" s="42" t="s">
        <v>18</v>
      </c>
      <c r="D5" s="42" t="s">
        <v>19</v>
      </c>
      <c r="E5" s="123">
        <v>20725</v>
      </c>
      <c r="F5" s="42" t="s">
        <v>20</v>
      </c>
      <c r="G5" s="42"/>
      <c r="H5" s="124"/>
      <c r="I5" s="110" t="s">
        <v>21</v>
      </c>
    </row>
    <row r="6" ht="17" customHeight="1" spans="1:10">
      <c r="A6" s="29">
        <v>4</v>
      </c>
      <c r="B6" s="21">
        <v>46035</v>
      </c>
      <c r="C6" s="42" t="s">
        <v>22</v>
      </c>
      <c r="D6" s="42" t="s">
        <v>23</v>
      </c>
      <c r="E6" s="123">
        <v>9932.4</v>
      </c>
      <c r="F6" s="42" t="s">
        <v>13</v>
      </c>
      <c r="G6" s="42"/>
      <c r="H6" s="124"/>
      <c r="I6" s="110" t="s">
        <v>24</v>
      </c>
    </row>
    <row r="7" ht="17" customHeight="1" spans="1:10">
      <c r="A7" s="29">
        <v>5</v>
      </c>
      <c r="B7" s="21">
        <v>46035</v>
      </c>
      <c r="C7" s="42" t="s">
        <v>22</v>
      </c>
      <c r="D7" s="42" t="s">
        <v>23</v>
      </c>
      <c r="E7" s="123">
        <v>190125.53</v>
      </c>
      <c r="F7" s="42" t="s">
        <v>16</v>
      </c>
      <c r="G7" s="42"/>
      <c r="H7" s="124"/>
      <c r="I7" s="110" t="s">
        <v>24</v>
      </c>
    </row>
    <row r="8" ht="17" customHeight="1" spans="1:10">
      <c r="A8" s="29">
        <v>6</v>
      </c>
      <c r="B8" s="21">
        <v>46035</v>
      </c>
      <c r="C8" s="42" t="s">
        <v>22</v>
      </c>
      <c r="D8" s="42" t="s">
        <v>23</v>
      </c>
      <c r="E8" s="123">
        <v>200000</v>
      </c>
      <c r="F8" s="42" t="s">
        <v>16</v>
      </c>
      <c r="G8" s="42"/>
      <c r="H8" s="124"/>
      <c r="I8" s="110" t="s">
        <v>24</v>
      </c>
    </row>
    <row r="9" ht="17" customHeight="1" spans="1:10">
      <c r="A9" s="29">
        <v>7</v>
      </c>
      <c r="B9" s="21">
        <v>46035</v>
      </c>
      <c r="C9" s="42" t="s">
        <v>22</v>
      </c>
      <c r="D9" s="42" t="s">
        <v>23</v>
      </c>
      <c r="E9" s="123">
        <v>200000</v>
      </c>
      <c r="F9" s="42" t="s">
        <v>25</v>
      </c>
      <c r="G9" s="42"/>
      <c r="H9" s="124"/>
      <c r="I9" s="110" t="s">
        <v>24</v>
      </c>
    </row>
    <row r="10" s="28" customFormat="1" ht="17" customHeight="1" spans="1:10">
      <c r="A10" s="29">
        <v>8</v>
      </c>
      <c r="B10" s="21">
        <v>46035</v>
      </c>
      <c r="C10" s="42" t="s">
        <v>11</v>
      </c>
      <c r="D10" s="42" t="s">
        <v>26</v>
      </c>
      <c r="E10" s="123">
        <v>24120.5</v>
      </c>
      <c r="F10" s="42" t="s">
        <v>13</v>
      </c>
      <c r="G10" s="42"/>
      <c r="H10" s="124"/>
      <c r="I10" s="110" t="s">
        <v>27</v>
      </c>
    </row>
    <row r="11" ht="17" customHeight="1" spans="1:10">
      <c r="A11" s="29">
        <v>9</v>
      </c>
      <c r="B11" s="21">
        <v>46035</v>
      </c>
      <c r="C11" s="42" t="s">
        <v>28</v>
      </c>
      <c r="D11" s="42" t="s">
        <v>29</v>
      </c>
      <c r="E11" s="123">
        <v>90000</v>
      </c>
      <c r="F11" s="42" t="s">
        <v>16</v>
      </c>
      <c r="G11" s="42"/>
      <c r="H11" s="124"/>
      <c r="I11" s="110" t="s">
        <v>30</v>
      </c>
    </row>
    <row r="12" ht="17" customHeight="1" spans="1:10">
      <c r="A12" s="29">
        <v>10</v>
      </c>
      <c r="B12" s="21">
        <v>46035</v>
      </c>
      <c r="C12" s="42" t="s">
        <v>31</v>
      </c>
      <c r="D12" s="42" t="s">
        <v>32</v>
      </c>
      <c r="E12" s="123">
        <v>50000</v>
      </c>
      <c r="F12" s="42" t="s">
        <v>16</v>
      </c>
      <c r="G12" s="42"/>
      <c r="H12" s="124"/>
      <c r="I12" s="110" t="s">
        <v>33</v>
      </c>
    </row>
    <row r="13" ht="17" customHeight="1" spans="1:10">
      <c r="A13" s="29">
        <v>11</v>
      </c>
      <c r="B13" s="21">
        <v>46035</v>
      </c>
      <c r="C13" s="42" t="s">
        <v>34</v>
      </c>
      <c r="D13" s="42" t="s">
        <v>35</v>
      </c>
      <c r="E13" s="123">
        <v>110000</v>
      </c>
      <c r="F13" s="42" t="s">
        <v>16</v>
      </c>
      <c r="G13" s="42" t="s">
        <v>36</v>
      </c>
      <c r="H13" s="124"/>
      <c r="I13" s="110" t="s">
        <v>37</v>
      </c>
    </row>
    <row r="14" ht="17" customHeight="1" spans="1:10">
      <c r="A14" s="29">
        <v>12</v>
      </c>
      <c r="B14" s="21">
        <v>46035</v>
      </c>
      <c r="C14" s="42" t="s">
        <v>38</v>
      </c>
      <c r="D14" s="42" t="s">
        <v>39</v>
      </c>
      <c r="E14" s="123">
        <v>100000</v>
      </c>
      <c r="F14" s="42" t="s">
        <v>16</v>
      </c>
      <c r="G14" s="42" t="s">
        <v>36</v>
      </c>
      <c r="H14" s="124"/>
      <c r="I14" s="110" t="s">
        <v>40</v>
      </c>
    </row>
    <row r="15" ht="17" customHeight="1" spans="1:10">
      <c r="A15" s="29">
        <v>13</v>
      </c>
      <c r="B15" s="21">
        <v>46035</v>
      </c>
      <c r="C15" s="42" t="s">
        <v>38</v>
      </c>
      <c r="D15" s="42" t="s">
        <v>39</v>
      </c>
      <c r="E15" s="123">
        <v>4581</v>
      </c>
      <c r="F15" s="42" t="s">
        <v>16</v>
      </c>
      <c r="G15" s="42" t="s">
        <v>36</v>
      </c>
      <c r="H15" s="124"/>
      <c r="I15" s="110" t="s">
        <v>40</v>
      </c>
    </row>
    <row r="16" s="120" customFormat="1" ht="17" customHeight="1" spans="1:10">
      <c r="A16" s="29">
        <v>14</v>
      </c>
      <c r="B16" s="21">
        <v>46038</v>
      </c>
      <c r="C16" s="42" t="s">
        <v>41</v>
      </c>
      <c r="D16" s="42" t="s">
        <v>42</v>
      </c>
      <c r="E16" s="123">
        <v>5369.87</v>
      </c>
      <c r="F16" s="42" t="s">
        <v>43</v>
      </c>
      <c r="G16" s="42"/>
      <c r="H16" s="124"/>
      <c r="I16" s="110" t="s">
        <v>44</v>
      </c>
    </row>
    <row r="17" s="120" customFormat="1" ht="17" customHeight="1" spans="1:9">
      <c r="A17" s="29">
        <v>16</v>
      </c>
      <c r="B17" s="21">
        <v>46045</v>
      </c>
      <c r="C17" s="42" t="s">
        <v>45</v>
      </c>
      <c r="D17" s="42" t="s">
        <v>46</v>
      </c>
      <c r="E17" s="123">
        <v>22036</v>
      </c>
      <c r="F17" s="42" t="s">
        <v>47</v>
      </c>
      <c r="G17" s="42"/>
      <c r="H17" s="124"/>
      <c r="I17" s="110" t="s">
        <v>48</v>
      </c>
    </row>
    <row r="18" s="120" customFormat="1" ht="17" customHeight="1" spans="1:9">
      <c r="A18" s="29">
        <v>17</v>
      </c>
      <c r="B18" s="21">
        <v>46048</v>
      </c>
      <c r="C18" s="42" t="s">
        <v>49</v>
      </c>
      <c r="D18" s="42" t="s">
        <v>50</v>
      </c>
      <c r="E18" s="123">
        <v>104925.25</v>
      </c>
      <c r="F18" s="42" t="s">
        <v>16</v>
      </c>
      <c r="G18" s="42" t="s">
        <v>36</v>
      </c>
      <c r="H18" s="124"/>
      <c r="I18" s="110" t="s">
        <v>51</v>
      </c>
    </row>
    <row r="19" s="120" customFormat="1" ht="17" customHeight="1" spans="1:9">
      <c r="A19" s="29">
        <v>26</v>
      </c>
      <c r="B19" s="21">
        <v>46050</v>
      </c>
      <c r="C19" s="42" t="s">
        <v>52</v>
      </c>
      <c r="D19" s="42"/>
      <c r="E19" s="123">
        <v>65686.5</v>
      </c>
      <c r="F19" s="42"/>
      <c r="G19" s="42"/>
      <c r="H19" s="124"/>
      <c r="I19" s="110"/>
    </row>
    <row r="20" s="120" customFormat="1" ht="17" customHeight="1" spans="1:9">
      <c r="A20" s="29">
        <v>27</v>
      </c>
      <c r="B20" s="21">
        <v>46050</v>
      </c>
      <c r="C20" s="42" t="s">
        <v>53</v>
      </c>
      <c r="D20" s="42" t="s">
        <v>54</v>
      </c>
      <c r="E20" s="123">
        <v>380000</v>
      </c>
      <c r="F20" s="42" t="s">
        <v>13</v>
      </c>
      <c r="G20" s="42" t="s">
        <v>36</v>
      </c>
      <c r="H20" s="124"/>
      <c r="I20" s="110" t="s">
        <v>55</v>
      </c>
    </row>
    <row r="21" s="120" customFormat="1" ht="17" customHeight="1" spans="1:9">
      <c r="A21" s="29">
        <v>28</v>
      </c>
      <c r="B21" s="21">
        <v>46051</v>
      </c>
      <c r="C21" s="42" t="s">
        <v>56</v>
      </c>
      <c r="D21" s="42" t="s">
        <v>57</v>
      </c>
      <c r="E21" s="123">
        <v>596722.66</v>
      </c>
      <c r="F21" s="42"/>
      <c r="G21" s="42" t="s">
        <v>36</v>
      </c>
      <c r="H21" s="124"/>
      <c r="I21" s="110" t="s">
        <v>58</v>
      </c>
    </row>
    <row r="22" s="120" customFormat="1" ht="17" customHeight="1" spans="1:9">
      <c r="A22" s="29">
        <v>32</v>
      </c>
      <c r="B22" s="21">
        <v>46050</v>
      </c>
      <c r="C22" s="42" t="s">
        <v>14</v>
      </c>
      <c r="D22" s="42" t="s">
        <v>59</v>
      </c>
      <c r="E22" s="123">
        <v>244617.52</v>
      </c>
      <c r="F22" s="42"/>
      <c r="G22" s="42"/>
      <c r="H22" s="124"/>
      <c r="I22" s="110" t="s">
        <v>60</v>
      </c>
    </row>
    <row r="23" s="120" customFormat="1" ht="17" customHeight="1" spans="1:9">
      <c r="A23" s="29">
        <v>33</v>
      </c>
      <c r="B23" s="21">
        <v>46050</v>
      </c>
      <c r="C23" s="42" t="s">
        <v>14</v>
      </c>
      <c r="D23" s="42" t="s">
        <v>61</v>
      </c>
      <c r="E23" s="123">
        <v>85610</v>
      </c>
      <c r="F23" s="42"/>
      <c r="G23" s="42"/>
      <c r="H23" s="124"/>
      <c r="I23" s="110" t="s">
        <v>62</v>
      </c>
    </row>
    <row r="24" s="120" customFormat="1" ht="17" customHeight="1" spans="1:9">
      <c r="A24" s="29">
        <v>34</v>
      </c>
      <c r="B24" s="21">
        <v>46050</v>
      </c>
      <c r="C24" s="42" t="s">
        <v>14</v>
      </c>
      <c r="D24" s="42" t="s">
        <v>15</v>
      </c>
      <c r="E24" s="123">
        <v>100030.4</v>
      </c>
      <c r="F24" s="42"/>
      <c r="G24" s="42"/>
      <c r="H24" s="124"/>
      <c r="I24" s="110" t="s">
        <v>63</v>
      </c>
    </row>
    <row r="25" s="120" customFormat="1" ht="17" customHeight="1" spans="1:9">
      <c r="A25" s="29">
        <v>35</v>
      </c>
      <c r="B25" s="21">
        <v>46050</v>
      </c>
      <c r="C25" s="42" t="s">
        <v>14</v>
      </c>
      <c r="D25" s="42" t="s">
        <v>64</v>
      </c>
      <c r="E25" s="123">
        <v>160249.8</v>
      </c>
      <c r="F25" s="42"/>
      <c r="G25" s="42"/>
      <c r="H25" s="124"/>
      <c r="I25" s="110" t="s">
        <v>65</v>
      </c>
    </row>
    <row r="26" s="120" customFormat="1" ht="17" customHeight="1" spans="1:9">
      <c r="A26" s="29">
        <v>36</v>
      </c>
      <c r="B26" s="21">
        <v>46050</v>
      </c>
      <c r="C26" s="42" t="s">
        <v>14</v>
      </c>
      <c r="D26" s="42" t="s">
        <v>66</v>
      </c>
      <c r="E26" s="123">
        <v>130000</v>
      </c>
      <c r="F26" s="42"/>
      <c r="G26" s="42"/>
      <c r="H26" s="124"/>
      <c r="I26" s="110" t="s">
        <v>67</v>
      </c>
    </row>
    <row r="27" s="120" customFormat="1" ht="17" customHeight="1" spans="1:9">
      <c r="A27" s="29">
        <v>37</v>
      </c>
      <c r="B27" s="21">
        <v>46050</v>
      </c>
      <c r="C27" s="42" t="s">
        <v>14</v>
      </c>
      <c r="D27" s="42" t="s">
        <v>68</v>
      </c>
      <c r="E27" s="123">
        <v>100000</v>
      </c>
      <c r="F27" s="42"/>
      <c r="G27" s="42"/>
      <c r="H27" s="124"/>
      <c r="I27" s="110" t="s">
        <v>69</v>
      </c>
    </row>
    <row r="28" s="120" customFormat="1" ht="17" customHeight="1" spans="1:9">
      <c r="A28" s="29">
        <v>38</v>
      </c>
      <c r="B28" s="21">
        <v>46050</v>
      </c>
      <c r="C28" s="42" t="s">
        <v>14</v>
      </c>
      <c r="D28" s="42" t="s">
        <v>70</v>
      </c>
      <c r="E28" s="123">
        <v>55415.7</v>
      </c>
      <c r="F28" s="42"/>
      <c r="G28" s="42"/>
      <c r="H28" s="124"/>
      <c r="I28" s="110" t="s">
        <v>71</v>
      </c>
    </row>
    <row r="29" s="120" customFormat="1" ht="17" customHeight="1" spans="1:9">
      <c r="A29" s="29">
        <v>39</v>
      </c>
      <c r="B29" s="21">
        <v>46050</v>
      </c>
      <c r="C29" s="42" t="s">
        <v>14</v>
      </c>
      <c r="D29" s="42" t="s">
        <v>72</v>
      </c>
      <c r="E29" s="123">
        <v>30925.3</v>
      </c>
      <c r="F29" s="42"/>
      <c r="G29" s="42"/>
      <c r="H29" s="124"/>
      <c r="I29" s="110" t="s">
        <v>73</v>
      </c>
    </row>
    <row r="30" s="120" customFormat="1" ht="17" customHeight="1" spans="1:9">
      <c r="A30" s="29">
        <v>40</v>
      </c>
      <c r="B30" s="21">
        <v>46050</v>
      </c>
      <c r="C30" s="42" t="s">
        <v>14</v>
      </c>
      <c r="D30" s="42" t="s">
        <v>74</v>
      </c>
      <c r="E30" s="123">
        <v>28539.1</v>
      </c>
      <c r="F30" s="42"/>
      <c r="G30" s="42"/>
      <c r="H30" s="124"/>
      <c r="I30" s="110" t="s">
        <v>75</v>
      </c>
    </row>
    <row r="31" s="120" customFormat="1" ht="17" customHeight="1" spans="1:9">
      <c r="A31" s="29">
        <v>41</v>
      </c>
      <c r="B31" s="21">
        <v>46050</v>
      </c>
      <c r="C31" s="42" t="s">
        <v>14</v>
      </c>
      <c r="D31" s="42" t="s">
        <v>76</v>
      </c>
      <c r="E31" s="123">
        <v>22872.7</v>
      </c>
      <c r="F31" s="42"/>
      <c r="G31" s="42"/>
      <c r="H31" s="124"/>
      <c r="I31" s="110" t="s">
        <v>77</v>
      </c>
    </row>
    <row r="32" s="120" customFormat="1" ht="17" customHeight="1" spans="1:9">
      <c r="A32" s="29">
        <v>42</v>
      </c>
      <c r="B32" s="21">
        <v>46050</v>
      </c>
      <c r="C32" s="42" t="s">
        <v>14</v>
      </c>
      <c r="D32" s="42" t="s">
        <v>78</v>
      </c>
      <c r="E32" s="123">
        <v>96124.5</v>
      </c>
      <c r="F32" s="42"/>
      <c r="G32" s="42"/>
      <c r="H32" s="124"/>
      <c r="I32" s="110" t="s">
        <v>79</v>
      </c>
    </row>
    <row r="33" s="120" customFormat="1" ht="17" customHeight="1" spans="1:12">
      <c r="A33" s="29">
        <v>43</v>
      </c>
      <c r="B33" s="21">
        <v>46050</v>
      </c>
      <c r="C33" s="42" t="s">
        <v>14</v>
      </c>
      <c r="D33" s="42" t="s">
        <v>80</v>
      </c>
      <c r="E33" s="123">
        <v>21838.8</v>
      </c>
      <c r="F33" s="42"/>
      <c r="G33" s="42"/>
      <c r="H33" s="124"/>
      <c r="I33" s="110" t="s">
        <v>81</v>
      </c>
    </row>
    <row r="34" s="120" customFormat="1" ht="17" customHeight="1" spans="1:12">
      <c r="A34" s="29">
        <v>44</v>
      </c>
      <c r="B34" s="21">
        <v>46052</v>
      </c>
      <c r="C34" s="42" t="s">
        <v>82</v>
      </c>
      <c r="D34" s="42" t="s">
        <v>83</v>
      </c>
      <c r="E34" s="123">
        <v>50000</v>
      </c>
      <c r="F34" s="48" t="s">
        <v>16</v>
      </c>
      <c r="G34" s="48" t="s">
        <v>36</v>
      </c>
      <c r="H34" s="124"/>
      <c r="I34" s="48" t="s">
        <v>84</v>
      </c>
    </row>
    <row r="35" s="120" customFormat="1" ht="17" customHeight="1" spans="1:12">
      <c r="A35" s="29">
        <v>45</v>
      </c>
      <c r="B35" s="21">
        <v>46051</v>
      </c>
      <c r="C35" s="42" t="s">
        <v>85</v>
      </c>
      <c r="D35" s="42" t="s">
        <v>86</v>
      </c>
      <c r="E35" s="123">
        <v>50000</v>
      </c>
      <c r="F35" s="48" t="s">
        <v>16</v>
      </c>
      <c r="G35" s="48" t="s">
        <v>36</v>
      </c>
      <c r="H35" s="124"/>
      <c r="I35" s="48" t="s">
        <v>87</v>
      </c>
    </row>
    <row r="36" ht="17" customHeight="1" spans="1:12">
      <c r="A36" s="20">
        <v>46</v>
      </c>
      <c r="B36" s="21"/>
      <c r="C36" s="42"/>
      <c r="D36" s="42"/>
      <c r="E36" s="125"/>
      <c r="F36" s="42"/>
      <c r="G36" s="42"/>
      <c r="H36" s="124"/>
      <c r="I36" s="110"/>
      <c r="L36" s="107"/>
    </row>
    <row r="37" ht="17" customHeight="1" spans="1:12">
      <c r="A37" s="20">
        <v>47</v>
      </c>
      <c r="B37" s="21"/>
      <c r="C37" s="42"/>
      <c r="D37" s="42"/>
      <c r="E37" s="125"/>
      <c r="F37" s="42"/>
      <c r="G37" s="42"/>
      <c r="H37" s="124"/>
      <c r="I37" s="110"/>
      <c r="L37" s="107"/>
    </row>
    <row r="38" ht="17" customHeight="1" spans="1:12">
      <c r="A38" s="20">
        <v>48</v>
      </c>
      <c r="B38" s="21"/>
      <c r="C38" s="42"/>
      <c r="D38" s="42"/>
      <c r="E38" s="125"/>
      <c r="F38" s="42"/>
      <c r="G38" s="42"/>
      <c r="H38" s="124"/>
      <c r="I38" s="110"/>
    </row>
    <row r="39" ht="17" customHeight="1" spans="1:12">
      <c r="A39" s="20">
        <v>49</v>
      </c>
      <c r="B39" s="21"/>
      <c r="C39" s="42"/>
      <c r="D39" s="42"/>
      <c r="E39" s="126"/>
      <c r="F39" s="42"/>
      <c r="G39" s="42"/>
      <c r="H39" s="124"/>
      <c r="I39" s="110"/>
    </row>
    <row r="40" ht="17" customHeight="1" spans="1:12">
      <c r="A40" s="20">
        <v>50</v>
      </c>
      <c r="B40" s="21"/>
      <c r="C40" s="42"/>
      <c r="D40" s="42"/>
      <c r="E40" s="126"/>
      <c r="F40" s="42"/>
      <c r="G40" s="42"/>
      <c r="H40" s="124"/>
      <c r="I40" s="110"/>
    </row>
    <row r="41" ht="17" customHeight="1" spans="1:12">
      <c r="A41" s="20">
        <v>51</v>
      </c>
      <c r="B41" s="21"/>
      <c r="C41" s="42"/>
      <c r="D41" s="42"/>
      <c r="E41" s="126"/>
      <c r="F41" s="42"/>
      <c r="G41" s="42"/>
      <c r="H41" s="124"/>
      <c r="I41" s="110"/>
      <c r="L41" s="107"/>
    </row>
    <row r="42" ht="17" customHeight="1" spans="1:12">
      <c r="A42" s="20">
        <v>52</v>
      </c>
      <c r="B42" s="21"/>
      <c r="C42" s="42"/>
      <c r="D42" s="42"/>
      <c r="E42" s="46"/>
      <c r="F42" s="42"/>
      <c r="G42" s="42"/>
      <c r="H42" s="124"/>
      <c r="I42" s="110"/>
    </row>
    <row r="43" ht="17" customHeight="1" spans="1:12">
      <c r="A43" s="20">
        <v>53</v>
      </c>
      <c r="B43" s="21"/>
      <c r="C43" s="42"/>
      <c r="D43" s="42"/>
      <c r="E43" s="46"/>
      <c r="F43" s="42"/>
      <c r="G43" s="42"/>
      <c r="H43" s="124"/>
      <c r="I43" s="110"/>
    </row>
    <row r="44" ht="17" customHeight="1" spans="1:12">
      <c r="A44" s="20">
        <v>54</v>
      </c>
      <c r="B44" s="21"/>
      <c r="C44" s="127"/>
      <c r="D44" s="42"/>
      <c r="E44" s="46"/>
      <c r="F44" s="42"/>
      <c r="G44" s="42"/>
      <c r="H44" s="124"/>
      <c r="I44" s="110"/>
    </row>
    <row r="45" ht="17" customHeight="1" spans="1:12">
      <c r="A45" s="20">
        <v>55</v>
      </c>
      <c r="B45" s="21"/>
      <c r="C45" s="42"/>
      <c r="D45" s="42"/>
      <c r="E45" s="46"/>
      <c r="F45" s="42"/>
      <c r="G45" s="42"/>
      <c r="H45" s="124"/>
      <c r="I45" s="110"/>
    </row>
    <row r="46" ht="17" customHeight="1" spans="1:12">
      <c r="A46" s="20">
        <v>56</v>
      </c>
      <c r="B46" s="21"/>
      <c r="C46" s="42"/>
      <c r="D46" s="42"/>
      <c r="E46" s="46"/>
      <c r="F46" s="42"/>
      <c r="G46" s="42"/>
      <c r="H46" s="124"/>
      <c r="I46" s="110"/>
    </row>
    <row r="47" ht="17" customHeight="1" spans="1:12">
      <c r="A47" s="20">
        <v>57</v>
      </c>
      <c r="B47" s="21"/>
      <c r="C47" s="42"/>
      <c r="D47" s="42"/>
      <c r="E47" s="46"/>
      <c r="F47" s="42"/>
      <c r="G47" s="42"/>
      <c r="H47" s="124"/>
      <c r="I47" s="110"/>
    </row>
    <row r="48" ht="17" customHeight="1" spans="1:12">
      <c r="A48" s="20">
        <v>58</v>
      </c>
      <c r="B48" s="21"/>
      <c r="C48" s="42"/>
      <c r="D48" s="42"/>
      <c r="E48" s="46"/>
      <c r="F48" s="42"/>
      <c r="G48" s="42"/>
      <c r="H48" s="124"/>
      <c r="I48" s="110"/>
    </row>
    <row r="49" ht="17" customHeight="1" spans="1:9">
      <c r="A49" s="20">
        <v>59</v>
      </c>
      <c r="B49" s="21"/>
      <c r="C49" s="42"/>
      <c r="D49" s="42"/>
      <c r="E49" s="46"/>
      <c r="F49" s="42"/>
      <c r="G49" s="42"/>
      <c r="H49" s="124"/>
      <c r="I49" s="110"/>
    </row>
    <row r="50" ht="17" customHeight="1" spans="1:9">
      <c r="A50" s="20">
        <v>60</v>
      </c>
      <c r="B50" s="21"/>
      <c r="C50" s="42"/>
      <c r="D50" s="42"/>
      <c r="E50" s="46"/>
      <c r="F50" s="42"/>
      <c r="G50" s="42"/>
      <c r="H50" s="124"/>
      <c r="I50" s="110"/>
    </row>
    <row r="51" ht="17" customHeight="1" spans="1:9">
      <c r="A51" s="20">
        <v>61</v>
      </c>
      <c r="B51" s="21"/>
      <c r="C51" s="42"/>
      <c r="D51" s="42"/>
      <c r="E51" s="46"/>
      <c r="F51" s="42"/>
      <c r="G51" s="42"/>
      <c r="H51" s="124"/>
      <c r="I51" s="110"/>
    </row>
    <row r="52" ht="17" customHeight="1" spans="1:9">
      <c r="A52" s="20">
        <v>62</v>
      </c>
      <c r="B52" s="21"/>
      <c r="C52" s="42"/>
      <c r="D52" s="42"/>
      <c r="E52" s="46"/>
      <c r="F52" s="42"/>
      <c r="G52" s="42"/>
      <c r="H52" s="124"/>
      <c r="I52" s="110"/>
    </row>
    <row r="53" ht="17" customHeight="1" spans="1:9">
      <c r="A53" s="20">
        <v>63</v>
      </c>
      <c r="B53" s="21"/>
      <c r="C53" s="42"/>
      <c r="D53" s="42"/>
      <c r="E53" s="46"/>
      <c r="F53" s="42"/>
      <c r="G53" s="42"/>
      <c r="H53" s="124"/>
      <c r="I53" s="110"/>
    </row>
    <row r="54" ht="17" customHeight="1" spans="1:9">
      <c r="A54" s="20">
        <v>64</v>
      </c>
      <c r="B54" s="21"/>
      <c r="C54" s="128"/>
      <c r="D54" s="42"/>
      <c r="E54" s="46"/>
      <c r="F54" s="42"/>
      <c r="G54" s="42"/>
      <c r="H54" s="124"/>
      <c r="I54" s="110"/>
    </row>
    <row r="55" ht="17" customHeight="1" spans="1:9">
      <c r="A55" s="20">
        <v>65</v>
      </c>
      <c r="B55" s="21"/>
      <c r="C55" s="128"/>
      <c r="D55" s="42"/>
      <c r="E55" s="46"/>
      <c r="F55" s="42"/>
      <c r="G55" s="42"/>
      <c r="H55" s="124"/>
      <c r="I55" s="110"/>
    </row>
    <row r="56" ht="17" customHeight="1" spans="1:9">
      <c r="A56" s="20"/>
      <c r="B56" s="21"/>
      <c r="C56" s="42"/>
      <c r="D56" s="129"/>
      <c r="E56" s="130"/>
      <c r="F56" s="42"/>
      <c r="G56" s="48"/>
      <c r="H56" s="124"/>
      <c r="I56" s="110"/>
    </row>
    <row r="57" ht="17" customHeight="1" spans="1:9">
      <c r="A57" s="20"/>
      <c r="B57" s="36"/>
      <c r="C57" s="48"/>
      <c r="D57" s="118" t="s">
        <v>88</v>
      </c>
      <c r="E57" s="131">
        <f>SUM(E3:E56)</f>
        <v>3482551.73</v>
      </c>
      <c r="F57" s="48"/>
      <c r="G57" s="48"/>
      <c r="H57" s="124"/>
      <c r="I57" s="48"/>
    </row>
  </sheetData>
  <sheetProtection formatCells="0" formatColumns="0" formatRows="0" insertRows="0" insertColumns="0" insertHyperlinks="0" deleteColumns="0" deleteRows="0" sort="0" autoFilter="0" pivotTables="0"/>
  <autoFilter xmlns:etc="http://www.wps.cn/officeDocument/2017/etCustomData" ref="A2:L57" etc:filterBottomFollowUsedRange="0">
    <extLst/>
  </autoFilter>
  <mergeCells count="1">
    <mergeCell ref="A1:G1"/>
  </mergeCells>
  <conditionalFormatting sqref="D45">
    <cfRule type="duplicateValues" dxfId="0" priority="5"/>
  </conditionalFormatting>
  <conditionalFormatting sqref="D36:D41">
    <cfRule type="duplicateValues" dxfId="0" priority="6"/>
  </conditionalFormatting>
  <conditionalFormatting sqref="D47:D55">
    <cfRule type="duplicateValues" dxfId="0" priority="4"/>
  </conditionalFormatting>
  <conditionalFormatting sqref="D42:D44 D46 D56">
    <cfRule type="duplicateValues" dxfId="0" priority="96"/>
  </conditionalFormatting>
  <dataValidations count="1">
    <dataValidation allowBlank="1" showInputMessage="1" showErrorMessage="1" sqref="I18 D35 I35"/>
  </dataValidations>
  <pageMargins left="0.751388888888889" right="0.751388888888889" top="1" bottom="1" header="0.5" footer="0.5"/>
  <pageSetup paperSize="9" orientation="portrait" horizontalDpi="600"/>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W48"/>
  <sheetViews>
    <sheetView workbookViewId="0">
      <pane ySplit="2" topLeftCell="A18" activePane="bottomLeft" state="frozen"/>
      <selection/>
      <selection pane="bottomLeft" activeCell="E34" sqref="E34:E35"/>
    </sheetView>
  </sheetViews>
  <sheetFormatPr defaultColWidth="9" defaultRowHeight="13.5"/>
  <cols>
    <col min="1" max="1" width="4.88333333333333" style="31" customWidth="1"/>
    <col min="2" max="2" width="10.3833333333333" style="105" customWidth="1"/>
    <col min="3" max="3" width="27.3833333333333" style="28" customWidth="1"/>
    <col min="4" max="4" width="18.5083333333333" style="106" customWidth="1"/>
    <col min="5" max="5" width="18.75" style="107" customWidth="1"/>
    <col min="6" max="6" width="16" style="28" customWidth="1"/>
    <col min="7" max="7" width="21.25" style="28" customWidth="1"/>
    <col min="8" max="8" width="11.8833333333333" style="106" customWidth="1"/>
    <col min="9" max="9" width="31.6333333333333" style="28" customWidth="1"/>
    <col min="10" max="10" width="24.3833333333333" style="28" customWidth="1"/>
    <col min="11" max="11" width="18.25" style="28" customWidth="1"/>
    <col min="12" max="16384" width="9" style="28"/>
  </cols>
  <sheetData>
    <row r="1" s="64" customFormat="1" ht="27" customHeight="1" spans="1:16">
      <c r="A1" s="19" t="s">
        <v>89</v>
      </c>
      <c r="B1" s="19"/>
      <c r="C1" s="19"/>
      <c r="D1" s="19"/>
      <c r="E1" s="19"/>
      <c r="F1" s="19"/>
      <c r="G1" s="19"/>
      <c r="H1" s="19"/>
      <c r="I1" s="19"/>
    </row>
    <row r="2" s="65" customFormat="1" ht="20.25" customHeight="1" spans="1:16">
      <c r="A2" s="5" t="s">
        <v>1</v>
      </c>
      <c r="B2" s="5" t="s">
        <v>2</v>
      </c>
      <c r="C2" s="6" t="s">
        <v>3</v>
      </c>
      <c r="D2" s="6" t="s">
        <v>4</v>
      </c>
      <c r="E2" s="68" t="s">
        <v>5</v>
      </c>
      <c r="F2" s="8" t="s">
        <v>6</v>
      </c>
      <c r="G2" s="6" t="s">
        <v>7</v>
      </c>
      <c r="H2" s="6" t="s">
        <v>8</v>
      </c>
      <c r="I2" s="6" t="s">
        <v>9</v>
      </c>
      <c r="J2" s="65" t="s">
        <v>10</v>
      </c>
      <c r="K2" s="65" t="s">
        <v>7</v>
      </c>
    </row>
    <row r="3" ht="17" customHeight="1" spans="1:16">
      <c r="A3" s="20"/>
      <c r="B3" s="108">
        <v>46055</v>
      </c>
      <c r="C3" s="42" t="s">
        <v>90</v>
      </c>
      <c r="D3" s="42" t="s">
        <v>91</v>
      </c>
      <c r="E3" s="46">
        <v>22420</v>
      </c>
      <c r="F3" s="109" t="s">
        <v>16</v>
      </c>
      <c r="G3" s="109"/>
      <c r="H3" s="84"/>
      <c r="I3" s="110" t="s">
        <v>92</v>
      </c>
    </row>
    <row r="4" ht="17" customHeight="1" spans="1:16">
      <c r="A4" s="20"/>
      <c r="B4" s="108">
        <v>46055</v>
      </c>
      <c r="C4" s="42" t="s">
        <v>93</v>
      </c>
      <c r="D4" s="42" t="s">
        <v>94</v>
      </c>
      <c r="E4" s="46">
        <v>1864190</v>
      </c>
      <c r="F4" s="109" t="s">
        <v>16</v>
      </c>
      <c r="G4" s="109" t="s">
        <v>36</v>
      </c>
      <c r="H4" s="84"/>
      <c r="I4" s="110" t="s">
        <v>95</v>
      </c>
    </row>
    <row r="5" ht="17" customHeight="1" spans="1:16">
      <c r="A5" s="20"/>
      <c r="B5" s="108">
        <v>46057</v>
      </c>
      <c r="C5" s="42" t="s">
        <v>96</v>
      </c>
      <c r="D5" s="42" t="s">
        <v>97</v>
      </c>
      <c r="E5" s="46">
        <v>7310.4</v>
      </c>
      <c r="F5" s="109" t="s">
        <v>16</v>
      </c>
      <c r="G5" s="109" t="s">
        <v>98</v>
      </c>
      <c r="H5" s="84"/>
      <c r="I5" s="110"/>
    </row>
    <row r="6" ht="17" customHeight="1" spans="1:16">
      <c r="A6" s="20"/>
      <c r="B6" s="108">
        <v>46058</v>
      </c>
      <c r="C6" s="42" t="s">
        <v>99</v>
      </c>
      <c r="D6" s="42" t="s">
        <v>100</v>
      </c>
      <c r="E6" s="46">
        <v>87986.29</v>
      </c>
      <c r="F6" s="109" t="s">
        <v>16</v>
      </c>
      <c r="G6" s="109" t="s">
        <v>36</v>
      </c>
      <c r="H6" s="84"/>
      <c r="I6" s="110" t="s">
        <v>101</v>
      </c>
    </row>
    <row r="7" ht="17" customHeight="1" spans="1:16">
      <c r="A7" s="20"/>
      <c r="B7" s="108">
        <v>46058</v>
      </c>
      <c r="C7" s="42" t="s">
        <v>99</v>
      </c>
      <c r="D7" s="42" t="s">
        <v>102</v>
      </c>
      <c r="E7" s="46">
        <v>40500</v>
      </c>
      <c r="F7" s="109" t="s">
        <v>16</v>
      </c>
      <c r="G7" s="109" t="s">
        <v>36</v>
      </c>
      <c r="H7" s="84"/>
      <c r="I7" s="110" t="s">
        <v>103</v>
      </c>
    </row>
    <row r="8" ht="17" customHeight="1" spans="1:16">
      <c r="A8" s="20"/>
      <c r="B8" s="108">
        <v>46058</v>
      </c>
      <c r="C8" s="42" t="s">
        <v>99</v>
      </c>
      <c r="D8" s="42" t="s">
        <v>100</v>
      </c>
      <c r="E8" s="46">
        <v>18013.71</v>
      </c>
      <c r="F8" s="109" t="s">
        <v>16</v>
      </c>
      <c r="G8" s="109"/>
      <c r="H8" s="84"/>
      <c r="I8" s="110" t="s">
        <v>101</v>
      </c>
    </row>
    <row r="9" ht="17" customHeight="1" spans="1:16">
      <c r="A9" s="20"/>
      <c r="B9" s="108">
        <v>46063</v>
      </c>
      <c r="C9" s="42" t="s">
        <v>104</v>
      </c>
      <c r="D9" s="42" t="s">
        <v>105</v>
      </c>
      <c r="E9" s="46">
        <v>906584</v>
      </c>
      <c r="F9" s="109" t="s">
        <v>16</v>
      </c>
      <c r="G9" s="109" t="s">
        <v>36</v>
      </c>
      <c r="H9" s="84"/>
      <c r="I9" s="110" t="s">
        <v>106</v>
      </c>
    </row>
    <row r="10" ht="17" customHeight="1" spans="1:16">
      <c r="A10" s="20"/>
      <c r="B10" s="108">
        <v>46063</v>
      </c>
      <c r="C10" s="42" t="s">
        <v>104</v>
      </c>
      <c r="D10" s="42" t="s">
        <v>105</v>
      </c>
      <c r="E10" s="46">
        <v>9612.04</v>
      </c>
      <c r="F10" s="109" t="s">
        <v>16</v>
      </c>
      <c r="G10" s="109"/>
      <c r="H10" s="84"/>
      <c r="I10" s="110" t="s">
        <v>106</v>
      </c>
    </row>
    <row r="11" ht="17" customHeight="1" spans="1:16">
      <c r="A11" s="20"/>
      <c r="B11" s="108">
        <v>46063</v>
      </c>
      <c r="C11" s="42" t="s">
        <v>107</v>
      </c>
      <c r="D11" s="42" t="s">
        <v>108</v>
      </c>
      <c r="E11" s="46">
        <v>133340</v>
      </c>
      <c r="F11" s="109" t="s">
        <v>13</v>
      </c>
      <c r="G11" s="109"/>
      <c r="H11" s="84"/>
      <c r="I11" s="110" t="s">
        <v>109</v>
      </c>
    </row>
    <row r="12" ht="17" customHeight="1" spans="1:16">
      <c r="A12" s="20"/>
      <c r="B12" s="108">
        <v>46064</v>
      </c>
      <c r="C12" s="42" t="s">
        <v>93</v>
      </c>
      <c r="D12" s="42" t="s">
        <v>110</v>
      </c>
      <c r="E12" s="46">
        <v>715900</v>
      </c>
      <c r="F12" s="109" t="s">
        <v>16</v>
      </c>
      <c r="G12" s="109" t="s">
        <v>36</v>
      </c>
      <c r="H12" s="84"/>
      <c r="I12" s="110" t="s">
        <v>111</v>
      </c>
    </row>
    <row r="13" ht="17" customHeight="1" spans="1:16">
      <c r="A13" s="20"/>
      <c r="B13" s="108">
        <v>46064</v>
      </c>
      <c r="C13" s="42" t="s">
        <v>112</v>
      </c>
      <c r="D13" s="42"/>
      <c r="E13" s="46">
        <v>32544</v>
      </c>
      <c r="F13" s="109" t="s">
        <v>113</v>
      </c>
      <c r="G13" s="109" t="s">
        <v>36</v>
      </c>
      <c r="H13" s="84"/>
      <c r="I13" s="110"/>
    </row>
    <row r="14" ht="17" customHeight="1" spans="1:16">
      <c r="A14" s="20"/>
      <c r="B14" s="108">
        <v>46064</v>
      </c>
      <c r="C14" s="42" t="s">
        <v>112</v>
      </c>
      <c r="D14" s="42"/>
      <c r="E14" s="46">
        <v>37543.8</v>
      </c>
      <c r="F14" s="109" t="s">
        <v>113</v>
      </c>
      <c r="G14" s="109" t="s">
        <v>36</v>
      </c>
      <c r="H14" s="84"/>
      <c r="I14" s="110"/>
      <c r="P14" s="28" t="s">
        <v>114</v>
      </c>
    </row>
    <row r="15" s="103" customFormat="1" ht="17" customHeight="1" spans="1:16">
      <c r="A15" s="20"/>
      <c r="B15" s="108">
        <v>46064</v>
      </c>
      <c r="C15" s="42" t="s">
        <v>115</v>
      </c>
      <c r="D15" s="42" t="s">
        <v>116</v>
      </c>
      <c r="E15" s="46">
        <v>178000</v>
      </c>
      <c r="F15" s="109" t="s">
        <v>16</v>
      </c>
      <c r="G15" s="109" t="s">
        <v>36</v>
      </c>
      <c r="H15" s="84"/>
      <c r="I15" s="110" t="s">
        <v>117</v>
      </c>
    </row>
    <row r="16" s="103" customFormat="1" ht="17" customHeight="1" spans="1:16">
      <c r="A16" s="20"/>
      <c r="B16" s="108">
        <v>46064</v>
      </c>
      <c r="C16" s="42" t="s">
        <v>118</v>
      </c>
      <c r="D16" s="42" t="s">
        <v>119</v>
      </c>
      <c r="E16" s="46">
        <v>6841.29</v>
      </c>
      <c r="F16" s="109" t="s">
        <v>13</v>
      </c>
      <c r="G16" s="109" t="s">
        <v>98</v>
      </c>
      <c r="H16" s="84"/>
      <c r="I16" s="110"/>
    </row>
    <row r="17" s="103" customFormat="1" spans="1:9 16369:16377">
      <c r="A17" s="29"/>
      <c r="B17" s="21">
        <v>46065</v>
      </c>
      <c r="C17" s="42" t="s">
        <v>45</v>
      </c>
      <c r="D17" s="42" t="s">
        <v>120</v>
      </c>
      <c r="E17" s="111">
        <v>19256.6</v>
      </c>
      <c r="F17" s="42" t="s">
        <v>47</v>
      </c>
      <c r="G17" s="42"/>
      <c r="H17" s="84"/>
      <c r="I17" s="110" t="s">
        <v>121</v>
      </c>
    </row>
    <row r="18" s="103" customFormat="1" ht="18" customHeight="1" spans="1:9 16369:16377">
      <c r="A18" s="29"/>
      <c r="B18" s="21">
        <v>46065</v>
      </c>
      <c r="C18" s="42" t="s">
        <v>45</v>
      </c>
      <c r="D18" s="42" t="s">
        <v>122</v>
      </c>
      <c r="E18" s="111">
        <v>86634.1</v>
      </c>
      <c r="F18" s="42" t="s">
        <v>47</v>
      </c>
      <c r="G18" s="42"/>
      <c r="H18" s="84"/>
      <c r="I18" s="110" t="s">
        <v>123</v>
      </c>
    </row>
    <row r="19" s="103" customFormat="1" ht="24" spans="1:9 16369:16377">
      <c r="A19" s="29"/>
      <c r="B19" s="21">
        <v>46065</v>
      </c>
      <c r="C19" s="42" t="s">
        <v>45</v>
      </c>
      <c r="D19" s="42" t="s">
        <v>124</v>
      </c>
      <c r="E19" s="111">
        <v>4299.92</v>
      </c>
      <c r="F19" s="42" t="s">
        <v>47</v>
      </c>
      <c r="G19" s="42"/>
      <c r="H19" s="84"/>
      <c r="I19" s="110" t="s">
        <v>125</v>
      </c>
    </row>
    <row r="20" s="104" customFormat="1" spans="1:9 16369:16377">
      <c r="A20" s="112"/>
      <c r="B20" s="113">
        <v>46065</v>
      </c>
      <c r="C20" s="81" t="s">
        <v>93</v>
      </c>
      <c r="D20" s="81" t="s">
        <v>110</v>
      </c>
      <c r="E20" s="114">
        <v>147000</v>
      </c>
      <c r="F20" s="115" t="s">
        <v>16</v>
      </c>
      <c r="G20" s="115" t="s">
        <v>36</v>
      </c>
      <c r="H20" s="116"/>
      <c r="I20" s="117" t="s">
        <v>111</v>
      </c>
    </row>
    <row r="21" s="103" customFormat="1" spans="1:9 16369:16377">
      <c r="A21" s="29"/>
      <c r="B21" s="21">
        <v>46065</v>
      </c>
      <c r="C21" s="42" t="s">
        <v>115</v>
      </c>
      <c r="D21" s="42" t="s">
        <v>116</v>
      </c>
      <c r="E21" s="111">
        <v>22000</v>
      </c>
      <c r="F21" s="109" t="s">
        <v>16</v>
      </c>
      <c r="G21" s="109" t="s">
        <v>36</v>
      </c>
      <c r="H21" s="84"/>
      <c r="I21" s="110" t="s">
        <v>117</v>
      </c>
    </row>
    <row r="22" s="103" customFormat="1" spans="1:9 16369:16377">
      <c r="A22" s="29"/>
      <c r="B22" s="21">
        <v>46065</v>
      </c>
      <c r="C22" s="42" t="s">
        <v>115</v>
      </c>
      <c r="D22" s="42" t="s">
        <v>116</v>
      </c>
      <c r="E22" s="111">
        <v>100000</v>
      </c>
      <c r="F22" s="109" t="s">
        <v>16</v>
      </c>
      <c r="G22" s="109" t="s">
        <v>36</v>
      </c>
      <c r="H22" s="84"/>
      <c r="I22" s="110" t="s">
        <v>117</v>
      </c>
    </row>
    <row r="23" s="103" customFormat="1" spans="1:9 16369:16377">
      <c r="A23" s="29"/>
      <c r="B23" s="21">
        <v>46065</v>
      </c>
      <c r="C23" s="42" t="s">
        <v>115</v>
      </c>
      <c r="D23" s="42" t="s">
        <v>116</v>
      </c>
      <c r="E23" s="111">
        <v>100000</v>
      </c>
      <c r="F23" s="109" t="s">
        <v>16</v>
      </c>
      <c r="G23" s="109" t="s">
        <v>36</v>
      </c>
      <c r="H23" s="84"/>
      <c r="I23" s="110" t="s">
        <v>117</v>
      </c>
    </row>
    <row r="24" s="103" customFormat="1" spans="1:9 16369:16377">
      <c r="A24" s="29"/>
      <c r="B24" s="21">
        <v>46065</v>
      </c>
      <c r="C24" s="42" t="s">
        <v>115</v>
      </c>
      <c r="D24" s="42" t="s">
        <v>116</v>
      </c>
      <c r="E24" s="111">
        <v>100000</v>
      </c>
      <c r="F24" s="109" t="s">
        <v>16</v>
      </c>
      <c r="G24" s="109" t="s">
        <v>36</v>
      </c>
      <c r="H24" s="84"/>
      <c r="I24" s="110" t="s">
        <v>117</v>
      </c>
    </row>
    <row r="25" s="103" customFormat="1" ht="17" customHeight="1" spans="1:9 16369:16377">
      <c r="A25" s="29"/>
      <c r="B25" s="21">
        <v>46065</v>
      </c>
      <c r="C25" s="42" t="s">
        <v>126</v>
      </c>
      <c r="D25" s="42" t="s">
        <v>127</v>
      </c>
      <c r="E25" s="111">
        <v>15059.18</v>
      </c>
      <c r="F25" s="109" t="s">
        <v>16</v>
      </c>
      <c r="G25" s="109" t="s">
        <v>36</v>
      </c>
      <c r="H25" s="84"/>
      <c r="I25" s="110" t="s">
        <v>128</v>
      </c>
    </row>
    <row r="26" s="103" customFormat="1" spans="1:9 16369:16377">
      <c r="A26" s="29"/>
      <c r="B26" s="21">
        <v>46065</v>
      </c>
      <c r="C26" s="42" t="s">
        <v>129</v>
      </c>
      <c r="D26" s="42" t="s">
        <v>130</v>
      </c>
      <c r="E26" s="111">
        <v>20000</v>
      </c>
      <c r="F26" s="109" t="s">
        <v>16</v>
      </c>
      <c r="G26" s="42"/>
      <c r="H26" s="84"/>
      <c r="I26" s="110" t="s">
        <v>131</v>
      </c>
    </row>
    <row r="27" s="103" customFormat="1" spans="1:9 16369:16377">
      <c r="A27" s="29"/>
      <c r="B27" s="21">
        <v>46066</v>
      </c>
      <c r="C27" s="42" t="s">
        <v>132</v>
      </c>
      <c r="D27" s="42" t="s">
        <v>133</v>
      </c>
      <c r="E27" s="111">
        <v>10000</v>
      </c>
      <c r="F27" s="109" t="s">
        <v>16</v>
      </c>
      <c r="G27" s="42"/>
      <c r="H27" s="84"/>
      <c r="I27" s="110" t="s">
        <v>134</v>
      </c>
    </row>
    <row r="28" s="103" customFormat="1" spans="1:9 16369:16377">
      <c r="A28" s="29"/>
      <c r="B28" s="21">
        <v>46066</v>
      </c>
      <c r="C28" s="42" t="s">
        <v>104</v>
      </c>
      <c r="D28" s="42" t="s">
        <v>135</v>
      </c>
      <c r="E28" s="111">
        <v>80000</v>
      </c>
      <c r="F28" s="42" t="s">
        <v>16</v>
      </c>
      <c r="G28" s="42" t="s">
        <v>36</v>
      </c>
      <c r="H28" s="84"/>
      <c r="I28" s="110" t="s">
        <v>136</v>
      </c>
    </row>
    <row r="29" s="103" customFormat="1" spans="1:9 16369:16377">
      <c r="A29" s="29"/>
      <c r="B29" s="21">
        <v>46066</v>
      </c>
      <c r="C29" s="42" t="s">
        <v>104</v>
      </c>
      <c r="D29" s="42" t="s">
        <v>135</v>
      </c>
      <c r="E29" s="111">
        <v>15300</v>
      </c>
      <c r="F29" s="42" t="s">
        <v>16</v>
      </c>
      <c r="G29" s="42"/>
      <c r="H29" s="84"/>
      <c r="I29" s="110" t="s">
        <v>136</v>
      </c>
    </row>
    <row r="30" s="103" customFormat="1" spans="1:9 16369:16377">
      <c r="A30" s="29"/>
      <c r="B30" s="21">
        <v>46066</v>
      </c>
      <c r="C30" s="42" t="s">
        <v>137</v>
      </c>
      <c r="D30" s="42" t="s">
        <v>138</v>
      </c>
      <c r="E30" s="111">
        <v>26148.5</v>
      </c>
      <c r="F30" s="42" t="s">
        <v>16</v>
      </c>
      <c r="G30" s="42"/>
      <c r="H30" s="84"/>
      <c r="I30" s="110" t="s">
        <v>139</v>
      </c>
    </row>
    <row r="31" s="103" customFormat="1" spans="1:9 16369:16377">
      <c r="A31" s="29"/>
      <c r="B31" s="21">
        <v>46066</v>
      </c>
      <c r="C31" s="42" t="s">
        <v>137</v>
      </c>
      <c r="D31" s="42" t="s">
        <v>140</v>
      </c>
      <c r="E31" s="111">
        <v>33851.5</v>
      </c>
      <c r="F31" s="42" t="s">
        <v>16</v>
      </c>
      <c r="G31" s="42"/>
      <c r="H31" s="84"/>
      <c r="I31" s="110" t="s">
        <v>141</v>
      </c>
    </row>
    <row r="32" s="103" customFormat="1" ht="17" customHeight="1" spans="1:9 16369:16377">
      <c r="A32" s="20"/>
      <c r="B32" s="108">
        <v>46077</v>
      </c>
      <c r="C32" s="42" t="s">
        <v>142</v>
      </c>
      <c r="D32" s="42" t="s">
        <v>143</v>
      </c>
      <c r="E32" s="111">
        <v>20000</v>
      </c>
      <c r="F32" s="109" t="s">
        <v>16</v>
      </c>
      <c r="G32" s="109" t="s">
        <v>36</v>
      </c>
      <c r="H32" s="84"/>
      <c r="I32" s="110" t="s">
        <v>144</v>
      </c>
      <c r="XEO32" s="29"/>
      <c r="XEP32" s="21"/>
      <c r="XEQ32" s="42"/>
      <c r="XER32" s="42"/>
      <c r="XES32" s="111"/>
      <c r="XET32" s="109"/>
      <c r="XEU32" s="42"/>
      <c r="XEV32" s="84"/>
      <c r="XEW32" s="110"/>
    </row>
    <row r="33" s="103" customFormat="1" ht="17" customHeight="1" spans="1:9 16369:16377">
      <c r="A33" s="20"/>
      <c r="B33" s="108">
        <v>46068</v>
      </c>
      <c r="C33" s="42" t="s">
        <v>145</v>
      </c>
      <c r="D33" s="42" t="s">
        <v>146</v>
      </c>
      <c r="E33" s="111">
        <v>10000</v>
      </c>
      <c r="F33" s="109" t="s">
        <v>16</v>
      </c>
      <c r="G33" s="109"/>
      <c r="H33" s="84"/>
      <c r="I33" s="110" t="s">
        <v>147</v>
      </c>
      <c r="J33" s="103"/>
      <c r="XEO33" s="29"/>
      <c r="XEP33" s="21"/>
      <c r="XEQ33" s="42"/>
      <c r="XER33" s="42"/>
      <c r="XES33" s="111"/>
      <c r="XET33" s="109"/>
      <c r="XEU33" s="42"/>
      <c r="XEV33" s="84"/>
      <c r="XEW33" s="110"/>
    </row>
    <row r="34" s="103" customFormat="1" ht="17" customHeight="1" spans="1:9 16369:16377">
      <c r="A34" s="20"/>
      <c r="B34" s="108">
        <v>46081</v>
      </c>
      <c r="C34" s="42" t="s">
        <v>14</v>
      </c>
      <c r="D34" s="42" t="s">
        <v>64</v>
      </c>
      <c r="E34" s="111">
        <v>160249.8</v>
      </c>
      <c r="F34" s="109" t="s">
        <v>16</v>
      </c>
      <c r="G34" s="109" t="s">
        <v>36</v>
      </c>
      <c r="H34" s="84"/>
      <c r="I34" s="110" t="s">
        <v>65</v>
      </c>
      <c r="J34" s="103"/>
      <c r="K34" s="103"/>
      <c r="L34" s="103"/>
      <c r="M34" s="103"/>
      <c r="N34" s="103"/>
      <c r="XEO34" s="29"/>
      <c r="XEP34" s="21"/>
      <c r="XEQ34" s="42"/>
      <c r="XER34" s="42"/>
      <c r="XES34" s="111"/>
      <c r="XET34" s="109"/>
      <c r="XEU34" s="42"/>
      <c r="XEV34" s="84"/>
      <c r="XEW34" s="110"/>
    </row>
    <row r="35" s="103" customFormat="1" ht="17" customHeight="1" spans="1:9 16369:16377">
      <c r="A35" s="20"/>
      <c r="B35" s="108">
        <v>46081</v>
      </c>
      <c r="C35" s="42" t="s">
        <v>14</v>
      </c>
      <c r="D35" s="42" t="s">
        <v>66</v>
      </c>
      <c r="E35" s="111">
        <v>53207.2</v>
      </c>
      <c r="F35" s="109" t="s">
        <v>16</v>
      </c>
      <c r="G35" s="109" t="s">
        <v>36</v>
      </c>
      <c r="H35" s="84"/>
      <c r="I35" s="110" t="s">
        <v>67</v>
      </c>
      <c r="XEO35" s="29"/>
      <c r="XEP35" s="21"/>
      <c r="XEQ35" s="42"/>
      <c r="XER35" s="42"/>
      <c r="XES35" s="111"/>
      <c r="XET35" s="109"/>
      <c r="XEU35" s="42"/>
      <c r="XEV35" s="84"/>
      <c r="XEW35" s="110"/>
    </row>
    <row r="36" s="103" customFormat="1" ht="17" customHeight="1" spans="1:9 16369:16377">
      <c r="A36" s="20"/>
      <c r="B36" s="108">
        <v>46081</v>
      </c>
      <c r="C36" s="42" t="s">
        <v>14</v>
      </c>
      <c r="D36" s="42" t="s">
        <v>68</v>
      </c>
      <c r="E36" s="111">
        <v>106640.7</v>
      </c>
      <c r="F36" s="109" t="s">
        <v>16</v>
      </c>
      <c r="G36" s="109" t="s">
        <v>36</v>
      </c>
      <c r="H36" s="84"/>
      <c r="I36" s="110" t="s">
        <v>69</v>
      </c>
      <c r="XEO36" s="29"/>
      <c r="XEP36" s="21"/>
      <c r="XEQ36" s="42"/>
      <c r="XER36" s="42"/>
      <c r="XES36" s="111"/>
      <c r="XET36" s="109"/>
      <c r="XEU36" s="42"/>
      <c r="XEV36" s="84"/>
      <c r="XEW36" s="110"/>
    </row>
    <row r="37" s="103" customFormat="1" ht="17" customHeight="1" spans="1:9 16369:16377">
      <c r="A37" s="20"/>
      <c r="B37" s="108">
        <v>46081</v>
      </c>
      <c r="C37" s="42" t="s">
        <v>14</v>
      </c>
      <c r="D37" s="42" t="s">
        <v>148</v>
      </c>
      <c r="E37" s="111">
        <v>84914.6</v>
      </c>
      <c r="F37" s="109" t="s">
        <v>16</v>
      </c>
      <c r="G37" s="109" t="s">
        <v>36</v>
      </c>
      <c r="H37" s="84"/>
      <c r="I37" s="110" t="s">
        <v>149</v>
      </c>
      <c r="J37" s="103"/>
      <c r="XEO37" s="29"/>
      <c r="XEP37" s="21"/>
      <c r="XEQ37" s="42"/>
      <c r="XER37" s="42"/>
      <c r="XES37" s="111"/>
      <c r="XET37" s="109"/>
      <c r="XEU37" s="42"/>
      <c r="XEV37" s="84"/>
      <c r="XEW37" s="110"/>
    </row>
    <row r="38" s="103" customFormat="1" ht="17" customHeight="1" spans="1:9 16369:16377">
      <c r="A38" s="20"/>
      <c r="B38" s="108">
        <v>46081</v>
      </c>
      <c r="C38" s="42" t="s">
        <v>14</v>
      </c>
      <c r="D38" s="42" t="s">
        <v>78</v>
      </c>
      <c r="E38" s="111">
        <v>84122.1</v>
      </c>
      <c r="F38" s="109" t="s">
        <v>16</v>
      </c>
      <c r="G38" s="109" t="s">
        <v>36</v>
      </c>
      <c r="H38" s="84"/>
      <c r="I38" s="110" t="s">
        <v>79</v>
      </c>
      <c r="J38" s="103"/>
      <c r="K38" s="103"/>
      <c r="L38" s="103"/>
      <c r="M38" s="103"/>
      <c r="N38" s="103"/>
      <c r="XEO38" s="29"/>
      <c r="XEP38" s="21"/>
      <c r="XEQ38" s="42"/>
      <c r="XER38" s="42"/>
      <c r="XES38" s="111"/>
      <c r="XET38" s="109"/>
      <c r="XEU38" s="42"/>
      <c r="XEV38" s="84"/>
      <c r="XEW38" s="110"/>
    </row>
    <row r="39" s="103" customFormat="1" ht="17" customHeight="1" spans="1:9 16369:16377">
      <c r="A39" s="20"/>
      <c r="B39" s="108">
        <v>46081</v>
      </c>
      <c r="C39" s="42" t="s">
        <v>14</v>
      </c>
      <c r="D39" s="42" t="s">
        <v>150</v>
      </c>
      <c r="E39" s="111">
        <v>166859.4</v>
      </c>
      <c r="F39" s="109" t="s">
        <v>16</v>
      </c>
      <c r="G39" s="109" t="s">
        <v>36</v>
      </c>
      <c r="H39" s="84"/>
      <c r="I39" s="110" t="s">
        <v>151</v>
      </c>
      <c r="XEO39" s="29"/>
      <c r="XEP39" s="21"/>
      <c r="XEQ39" s="42"/>
      <c r="XER39" s="42"/>
      <c r="XES39" s="111"/>
      <c r="XET39" s="109"/>
      <c r="XEU39" s="42"/>
      <c r="XEV39" s="84"/>
      <c r="XEW39" s="110"/>
    </row>
    <row r="40" s="103" customFormat="1" ht="17" customHeight="1" spans="1:9 16369:16377">
      <c r="A40" s="20"/>
      <c r="B40" s="108"/>
      <c r="C40" s="42"/>
      <c r="D40" s="42"/>
      <c r="E40" s="111"/>
      <c r="F40" s="109"/>
      <c r="G40" s="109"/>
      <c r="H40" s="84"/>
      <c r="I40" s="110"/>
      <c r="XEO40" s="29"/>
      <c r="XEP40" s="21"/>
      <c r="XEQ40" s="42"/>
      <c r="XER40" s="42"/>
      <c r="XES40" s="111"/>
      <c r="XET40" s="109"/>
      <c r="XEU40" s="42"/>
      <c r="XEV40" s="84"/>
      <c r="XEW40" s="110"/>
    </row>
    <row r="41" s="103" customFormat="1" spans="1:9 16369:16377">
      <c r="A41" s="29"/>
      <c r="B41" s="21"/>
      <c r="C41" s="42"/>
      <c r="D41" s="42"/>
      <c r="E41" s="111"/>
      <c r="F41" s="42"/>
      <c r="G41" s="42"/>
      <c r="H41" s="84"/>
      <c r="I41" s="110"/>
    </row>
    <row r="42" s="103" customFormat="1" spans="1:9 16369:16377">
      <c r="A42" s="29"/>
      <c r="B42" s="21"/>
      <c r="C42" s="42"/>
      <c r="D42" s="42"/>
      <c r="E42" s="111"/>
      <c r="F42" s="42"/>
      <c r="G42" s="42"/>
      <c r="H42" s="84"/>
      <c r="I42" s="110"/>
    </row>
    <row r="43" s="103" customFormat="1" spans="1:9 16369:16377">
      <c r="A43" s="29"/>
      <c r="B43" s="21"/>
      <c r="C43" s="42"/>
      <c r="D43" s="42"/>
      <c r="E43" s="111"/>
      <c r="F43" s="42"/>
      <c r="G43" s="42"/>
      <c r="H43" s="84"/>
      <c r="I43" s="110"/>
    </row>
    <row r="44" s="103" customFormat="1" spans="1:9 16369:16377">
      <c r="A44" s="29"/>
      <c r="B44" s="21"/>
      <c r="C44" s="42"/>
      <c r="D44" s="42"/>
      <c r="E44" s="111"/>
      <c r="F44" s="42"/>
      <c r="G44" s="42"/>
      <c r="H44" s="84"/>
      <c r="I44" s="110"/>
    </row>
    <row r="45" s="103" customFormat="1" spans="1:9 16369:16377">
      <c r="A45" s="29">
        <v>43</v>
      </c>
      <c r="B45" s="21"/>
      <c r="C45" s="42"/>
      <c r="D45" s="42"/>
      <c r="E45" s="111"/>
      <c r="F45" s="42"/>
      <c r="G45" s="42"/>
      <c r="H45" s="84"/>
      <c r="I45" s="110"/>
    </row>
    <row r="46" ht="17" customHeight="1" spans="1:9 16369:16377">
      <c r="A46" s="29">
        <v>44</v>
      </c>
      <c r="B46" s="36"/>
      <c r="C46" s="48"/>
      <c r="D46" s="118" t="s">
        <v>88</v>
      </c>
      <c r="E46" s="119">
        <f>SUM(E3:E45)</f>
        <v>5526329.13</v>
      </c>
      <c r="F46" s="48"/>
      <c r="G46" s="48"/>
      <c r="H46" s="84"/>
      <c r="I46" s="48"/>
    </row>
    <row r="48" spans="1:9 16369:16377">
      <c r="G48" s="28">
        <f>+E46-'[2]2月'!$E$36</f>
        <v>131.709999999963</v>
      </c>
      <c r="H48" s="106" t="s">
        <v>152</v>
      </c>
    </row>
  </sheetData>
  <sheetProtection formatCells="0" formatColumns="0" formatRows="0" insertRows="0" insertColumns="0" insertHyperlinks="0" deleteColumns="0" deleteRows="0" sort="0" autoFilter="0" pivotTables="0"/>
  <autoFilter xmlns:etc="http://www.wps.cn/officeDocument/2017/etCustomData" ref="A2:P46" etc:filterBottomFollowUsedRange="0">
    <extLst/>
  </autoFilter>
  <mergeCells count="1">
    <mergeCell ref="A1:I1"/>
  </mergeCells>
  <dataValidations count="1">
    <dataValidation allowBlank="1" showInputMessage="1" showErrorMessage="1" sqref="I25 I32"/>
  </dataValidations>
  <pageMargins left="0.75" right="0.75" top="1" bottom="1" header="0.5" footer="0.5"/>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5"/>
  <sheetViews>
    <sheetView workbookViewId="0">
      <pane ySplit="2" topLeftCell="A9" activePane="bottomLeft" state="frozen"/>
      <selection/>
      <selection pane="bottomLeft" activeCell="C4" sqref="C4"/>
    </sheetView>
  </sheetViews>
  <sheetFormatPr defaultColWidth="9" defaultRowHeight="13.5"/>
  <cols>
    <col min="1" max="1" width="5" customWidth="1"/>
    <col min="2" max="2" width="10.875" customWidth="1"/>
    <col min="3" max="3" width="38.125" customWidth="1"/>
    <col min="4" max="4" width="17.25" customWidth="1"/>
    <col min="5" max="5" width="23.25" customWidth="1"/>
    <col min="6" max="6" width="13" customWidth="1"/>
    <col min="7" max="7" width="18.8666666666667" customWidth="1"/>
    <col min="9" max="9" width="65.375" style="94" customWidth="1"/>
    <col min="12" max="12" width="9.375"/>
  </cols>
  <sheetData>
    <row r="1" s="64" customFormat="1" ht="27" customHeight="1" spans="1:12">
      <c r="A1" s="19" t="s">
        <v>153</v>
      </c>
      <c r="B1" s="19"/>
      <c r="C1" s="19"/>
      <c r="D1" s="19"/>
      <c r="E1" s="19"/>
      <c r="F1" s="19"/>
      <c r="G1" s="19"/>
      <c r="H1" s="19"/>
      <c r="I1" s="95"/>
    </row>
    <row r="2" s="65" customFormat="1" ht="20.25" customHeight="1" spans="1:12">
      <c r="A2" s="5" t="s">
        <v>1</v>
      </c>
      <c r="B2" s="5" t="s">
        <v>2</v>
      </c>
      <c r="C2" s="6" t="s">
        <v>3</v>
      </c>
      <c r="D2" s="6" t="s">
        <v>4</v>
      </c>
      <c r="E2" s="68" t="s">
        <v>5</v>
      </c>
      <c r="F2" s="8" t="s">
        <v>6</v>
      </c>
      <c r="G2" s="6" t="s">
        <v>7</v>
      </c>
      <c r="H2" s="6" t="s">
        <v>8</v>
      </c>
      <c r="I2" s="96" t="s">
        <v>9</v>
      </c>
      <c r="J2" s="65" t="s">
        <v>10</v>
      </c>
    </row>
    <row r="3" s="66" customFormat="1" spans="1:12">
      <c r="A3" s="20"/>
      <c r="B3" s="36">
        <v>46083</v>
      </c>
      <c r="C3" s="48" t="s">
        <v>82</v>
      </c>
      <c r="D3" s="48" t="s">
        <v>83</v>
      </c>
      <c r="E3" s="20">
        <v>30000</v>
      </c>
      <c r="F3" s="48" t="s">
        <v>154</v>
      </c>
      <c r="G3" s="48" t="s">
        <v>36</v>
      </c>
      <c r="H3" s="48"/>
      <c r="I3" s="48" t="s">
        <v>84</v>
      </c>
      <c r="J3" s="48"/>
    </row>
    <row r="4" s="66" customFormat="1" spans="1:12">
      <c r="A4" s="20"/>
      <c r="B4" s="36">
        <v>46090</v>
      </c>
      <c r="C4" s="48" t="s">
        <v>155</v>
      </c>
      <c r="D4" s="48" t="s">
        <v>156</v>
      </c>
      <c r="E4" s="20">
        <v>18800</v>
      </c>
      <c r="F4" s="48" t="s">
        <v>16</v>
      </c>
      <c r="G4" s="48"/>
      <c r="H4" s="48"/>
      <c r="I4" s="48" t="s">
        <v>157</v>
      </c>
      <c r="J4" s="48"/>
    </row>
    <row r="5" s="66" customFormat="1" spans="1:12">
      <c r="A5" s="20"/>
      <c r="B5" s="36">
        <v>46090</v>
      </c>
      <c r="C5" s="48" t="s">
        <v>158</v>
      </c>
      <c r="D5" s="48" t="s">
        <v>159</v>
      </c>
      <c r="E5" s="20">
        <v>150000</v>
      </c>
      <c r="F5" s="48" t="s">
        <v>16</v>
      </c>
      <c r="G5" s="48" t="s">
        <v>36</v>
      </c>
      <c r="H5" s="48"/>
      <c r="I5" s="48" t="s">
        <v>160</v>
      </c>
      <c r="J5" s="48"/>
    </row>
    <row r="6" s="66" customFormat="1" spans="1:12">
      <c r="A6" s="20"/>
      <c r="B6" s="36">
        <v>46101</v>
      </c>
      <c r="C6" s="48" t="s">
        <v>115</v>
      </c>
      <c r="D6" s="48" t="s">
        <v>116</v>
      </c>
      <c r="E6" s="20">
        <v>2085.43</v>
      </c>
      <c r="F6" s="48" t="s">
        <v>16</v>
      </c>
      <c r="G6" s="48"/>
      <c r="H6" s="48"/>
      <c r="I6" s="48" t="s">
        <v>161</v>
      </c>
      <c r="J6" s="48"/>
    </row>
    <row r="7" s="66" customFormat="1" spans="1:12">
      <c r="A7" s="20"/>
      <c r="B7" s="36">
        <v>46104</v>
      </c>
      <c r="C7" s="48" t="s">
        <v>115</v>
      </c>
      <c r="D7" s="48" t="s">
        <v>116</v>
      </c>
      <c r="E7" s="20">
        <v>35050</v>
      </c>
      <c r="F7" s="48" t="s">
        <v>16</v>
      </c>
      <c r="G7" s="48" t="s">
        <v>36</v>
      </c>
      <c r="H7" s="48"/>
      <c r="I7" s="48" t="s">
        <v>161</v>
      </c>
      <c r="J7" s="48"/>
    </row>
    <row r="8" s="66" customFormat="1" spans="1:12">
      <c r="A8" s="20"/>
      <c r="B8" s="36">
        <v>46104</v>
      </c>
      <c r="C8" s="48" t="s">
        <v>115</v>
      </c>
      <c r="D8" s="48" t="s">
        <v>116</v>
      </c>
      <c r="E8" s="20">
        <v>46274.57</v>
      </c>
      <c r="F8" s="48" t="s">
        <v>16</v>
      </c>
      <c r="G8" s="48" t="s">
        <v>36</v>
      </c>
      <c r="H8" s="48"/>
      <c r="I8" s="48" t="s">
        <v>161</v>
      </c>
      <c r="J8" s="48"/>
      <c r="L8" s="66">
        <f>E7+E8</f>
        <v>81324.57</v>
      </c>
    </row>
    <row r="9" s="66" customFormat="1" spans="1:12">
      <c r="A9" s="20"/>
      <c r="B9" s="36">
        <v>46105</v>
      </c>
      <c r="C9" s="48" t="s">
        <v>18</v>
      </c>
      <c r="D9" s="48" t="s">
        <v>162</v>
      </c>
      <c r="E9" s="20">
        <v>7800</v>
      </c>
      <c r="F9" s="48" t="s">
        <v>20</v>
      </c>
      <c r="G9" s="48"/>
      <c r="H9" s="48"/>
      <c r="I9" s="48" t="s">
        <v>163</v>
      </c>
      <c r="J9" s="48"/>
    </row>
    <row r="10" s="66" customFormat="1" spans="1:12">
      <c r="A10" s="20"/>
      <c r="B10" s="36">
        <v>46105</v>
      </c>
      <c r="C10" s="48" t="s">
        <v>18</v>
      </c>
      <c r="D10" s="48" t="s">
        <v>164</v>
      </c>
      <c r="E10" s="20">
        <v>7930</v>
      </c>
      <c r="F10" s="48" t="s">
        <v>20</v>
      </c>
      <c r="G10" s="48"/>
      <c r="H10" s="48"/>
      <c r="I10" s="48" t="s">
        <v>165</v>
      </c>
      <c r="J10" s="48"/>
    </row>
    <row r="11" s="66" customFormat="1" spans="1:12">
      <c r="A11" s="20"/>
      <c r="B11" s="36">
        <v>46105</v>
      </c>
      <c r="C11" s="48" t="s">
        <v>18</v>
      </c>
      <c r="D11" s="48" t="s">
        <v>166</v>
      </c>
      <c r="E11" s="20">
        <v>2600</v>
      </c>
      <c r="F11" s="48" t="s">
        <v>20</v>
      </c>
      <c r="G11" s="48"/>
      <c r="H11" s="48"/>
      <c r="I11" s="48" t="s">
        <v>167</v>
      </c>
      <c r="J11" s="48"/>
    </row>
    <row r="12" s="66" customFormat="1" spans="1:12">
      <c r="A12" s="20"/>
      <c r="B12" s="36">
        <v>46106</v>
      </c>
      <c r="C12" s="48" t="s">
        <v>168</v>
      </c>
      <c r="D12" s="48" t="s">
        <v>169</v>
      </c>
      <c r="E12" s="20">
        <v>200000</v>
      </c>
      <c r="F12" s="91" t="s">
        <v>16</v>
      </c>
      <c r="G12" s="48"/>
      <c r="H12" s="48"/>
      <c r="I12" s="48" t="s">
        <v>170</v>
      </c>
    </row>
    <row r="13" s="66" customFormat="1" spans="1:12">
      <c r="A13" s="20"/>
      <c r="B13" s="36">
        <v>46106</v>
      </c>
      <c r="C13" s="48" t="s">
        <v>171</v>
      </c>
      <c r="D13" s="48" t="s">
        <v>172</v>
      </c>
      <c r="E13" s="20">
        <v>9232.41</v>
      </c>
      <c r="F13" s="91" t="s">
        <v>154</v>
      </c>
      <c r="G13" s="48"/>
      <c r="H13" s="48"/>
      <c r="I13" s="48" t="s">
        <v>173</v>
      </c>
    </row>
    <row r="14" s="66" customFormat="1" spans="1:12">
      <c r="A14" s="20"/>
      <c r="B14" s="36">
        <v>46106</v>
      </c>
      <c r="C14" s="48" t="s">
        <v>171</v>
      </c>
      <c r="D14" s="48" t="s">
        <v>172</v>
      </c>
      <c r="E14" s="20">
        <v>31600</v>
      </c>
      <c r="F14" s="91" t="s">
        <v>154</v>
      </c>
      <c r="G14" s="48" t="s">
        <v>36</v>
      </c>
      <c r="H14" s="48"/>
      <c r="I14" s="48" t="s">
        <v>173</v>
      </c>
    </row>
    <row r="15" s="66" customFormat="1" spans="1:12">
      <c r="A15" s="20"/>
      <c r="B15" s="36">
        <v>46106</v>
      </c>
      <c r="C15" s="48" t="s">
        <v>171</v>
      </c>
      <c r="D15" s="48" t="s">
        <v>172</v>
      </c>
      <c r="E15" s="20">
        <v>18567.59</v>
      </c>
      <c r="F15" s="91" t="s">
        <v>154</v>
      </c>
      <c r="G15" s="48" t="s">
        <v>36</v>
      </c>
      <c r="H15" s="48"/>
      <c r="I15" s="48" t="s">
        <v>173</v>
      </c>
    </row>
    <row r="16" s="66" customFormat="1" spans="1:12">
      <c r="A16" s="20"/>
      <c r="B16" s="36">
        <v>46108</v>
      </c>
      <c r="C16" s="48" t="s">
        <v>174</v>
      </c>
      <c r="D16" s="48" t="s">
        <v>175</v>
      </c>
      <c r="E16" s="20">
        <v>5500</v>
      </c>
      <c r="F16" s="91" t="s">
        <v>16</v>
      </c>
      <c r="G16" s="48"/>
      <c r="H16" s="48"/>
      <c r="I16" s="48" t="s">
        <v>176</v>
      </c>
      <c r="K16" s="97" t="s">
        <v>98</v>
      </c>
    </row>
    <row r="17" s="66" customFormat="1" spans="1:10">
      <c r="A17" s="20"/>
      <c r="B17" s="36">
        <v>46107</v>
      </c>
      <c r="C17" s="48" t="s">
        <v>18</v>
      </c>
      <c r="D17" s="48" t="s">
        <v>166</v>
      </c>
      <c r="E17" s="20">
        <v>16575</v>
      </c>
      <c r="F17" s="91" t="s">
        <v>20</v>
      </c>
      <c r="G17" s="48"/>
      <c r="H17" s="48"/>
      <c r="I17" s="48" t="s">
        <v>167</v>
      </c>
      <c r="J17" s="48"/>
    </row>
    <row r="18" s="66" customFormat="1" spans="1:10">
      <c r="A18" s="20"/>
      <c r="B18" s="36">
        <v>46111</v>
      </c>
      <c r="C18" s="48" t="s">
        <v>45</v>
      </c>
      <c r="D18" s="48" t="s">
        <v>177</v>
      </c>
      <c r="E18" s="20">
        <v>260000</v>
      </c>
      <c r="F18" s="48" t="s">
        <v>47</v>
      </c>
      <c r="G18" s="48"/>
      <c r="H18" s="48"/>
      <c r="I18" s="48" t="s">
        <v>178</v>
      </c>
      <c r="J18" s="48"/>
    </row>
    <row r="19" s="66" customFormat="1" spans="1:10">
      <c r="A19" s="20"/>
      <c r="B19" s="36">
        <v>46111</v>
      </c>
      <c r="C19" s="48" t="s">
        <v>45</v>
      </c>
      <c r="D19" s="48" t="s">
        <v>179</v>
      </c>
      <c r="E19" s="20">
        <v>165404.21</v>
      </c>
      <c r="F19" s="48" t="s">
        <v>47</v>
      </c>
      <c r="G19" s="48"/>
      <c r="H19" s="48"/>
      <c r="I19" s="48" t="s">
        <v>180</v>
      </c>
    </row>
    <row r="20" s="66" customFormat="1" spans="1:10">
      <c r="A20" s="20"/>
      <c r="B20" s="36">
        <v>46111</v>
      </c>
      <c r="C20" s="48" t="s">
        <v>45</v>
      </c>
      <c r="D20" s="48" t="s">
        <v>120</v>
      </c>
      <c r="E20" s="20">
        <v>20838.4</v>
      </c>
      <c r="F20" s="48" t="s">
        <v>16</v>
      </c>
      <c r="G20" s="48" t="s">
        <v>36</v>
      </c>
      <c r="H20" s="48"/>
      <c r="I20" s="48" t="s">
        <v>121</v>
      </c>
    </row>
    <row r="21" s="66" customFormat="1" spans="1:10">
      <c r="A21" s="20"/>
      <c r="B21" s="36">
        <v>46111</v>
      </c>
      <c r="C21" s="48" t="s">
        <v>45</v>
      </c>
      <c r="D21" s="48" t="s">
        <v>122</v>
      </c>
      <c r="E21" s="20">
        <v>25536.9</v>
      </c>
      <c r="F21" s="48" t="s">
        <v>16</v>
      </c>
      <c r="G21" s="48" t="s">
        <v>36</v>
      </c>
      <c r="H21" s="48"/>
      <c r="I21" s="48" t="s">
        <v>180</v>
      </c>
    </row>
    <row r="22" s="66" customFormat="1" spans="1:10">
      <c r="A22" s="20"/>
      <c r="B22" s="36">
        <v>46111</v>
      </c>
      <c r="C22" s="48" t="s">
        <v>45</v>
      </c>
      <c r="D22" s="48" t="s">
        <v>124</v>
      </c>
      <c r="E22" s="20">
        <v>4644.08</v>
      </c>
      <c r="F22" s="48" t="s">
        <v>16</v>
      </c>
      <c r="G22" s="48" t="s">
        <v>36</v>
      </c>
      <c r="H22" s="48"/>
      <c r="I22" s="48" t="s">
        <v>125</v>
      </c>
    </row>
    <row r="23" s="66" customFormat="1" spans="1:10">
      <c r="A23" s="20"/>
      <c r="B23" s="36">
        <v>46111</v>
      </c>
      <c r="C23" s="48" t="s">
        <v>14</v>
      </c>
      <c r="D23" s="48" t="s">
        <v>64</v>
      </c>
      <c r="E23" s="20">
        <v>160249.6</v>
      </c>
      <c r="F23" s="48" t="s">
        <v>16</v>
      </c>
      <c r="G23" s="48" t="s">
        <v>36</v>
      </c>
      <c r="H23" s="48"/>
      <c r="I23" s="48" t="s">
        <v>65</v>
      </c>
    </row>
    <row r="24" s="66" customFormat="1" spans="1:10">
      <c r="A24" s="20"/>
      <c r="B24" s="36">
        <v>46111</v>
      </c>
      <c r="C24" s="48" t="s">
        <v>14</v>
      </c>
      <c r="D24" s="48" t="s">
        <v>78</v>
      </c>
      <c r="E24" s="20">
        <v>84122.1</v>
      </c>
      <c r="F24" s="48" t="s">
        <v>16</v>
      </c>
      <c r="G24" s="48" t="s">
        <v>36</v>
      </c>
      <c r="H24" s="48"/>
      <c r="I24" s="48" t="s">
        <v>79</v>
      </c>
    </row>
    <row r="25" s="66" customFormat="1" spans="1:10">
      <c r="A25" s="20"/>
      <c r="B25" s="36">
        <v>46111</v>
      </c>
      <c r="C25" s="48" t="s">
        <v>14</v>
      </c>
      <c r="D25" s="48" t="s">
        <v>181</v>
      </c>
      <c r="E25" s="20">
        <v>25864.5</v>
      </c>
      <c r="F25" s="48" t="s">
        <v>16</v>
      </c>
      <c r="G25" s="48" t="s">
        <v>36</v>
      </c>
      <c r="H25" s="48"/>
      <c r="I25" s="48" t="s">
        <v>182</v>
      </c>
    </row>
    <row r="26" s="66" customFormat="1" spans="1:10">
      <c r="A26" s="20"/>
      <c r="B26" s="36">
        <v>46111</v>
      </c>
      <c r="C26" s="48" t="s">
        <v>14</v>
      </c>
      <c r="D26" s="48" t="s">
        <v>183</v>
      </c>
      <c r="E26" s="20">
        <v>22469.3</v>
      </c>
      <c r="F26" s="48"/>
      <c r="G26" s="48"/>
      <c r="H26" s="48"/>
      <c r="I26" s="48" t="s">
        <v>184</v>
      </c>
    </row>
    <row r="27" s="66" customFormat="1" customHeight="1" spans="1:10">
      <c r="A27" s="20"/>
      <c r="B27" s="98"/>
      <c r="C27" s="42"/>
      <c r="D27" s="70"/>
      <c r="E27" s="46"/>
      <c r="F27" s="42"/>
      <c r="G27" s="42"/>
      <c r="H27" s="70"/>
      <c r="I27" s="99"/>
    </row>
    <row r="28" s="66" customFormat="1" customHeight="1" spans="1:10">
      <c r="A28" s="20"/>
      <c r="B28" s="21"/>
      <c r="C28" s="42"/>
      <c r="D28" s="70"/>
      <c r="E28" s="46"/>
      <c r="F28" s="42"/>
      <c r="G28" s="42"/>
      <c r="H28" s="70"/>
      <c r="I28" s="99"/>
    </row>
    <row r="29" customHeight="1" spans="1:10">
      <c r="A29" s="15"/>
      <c r="B29" s="21"/>
      <c r="C29" s="42"/>
      <c r="D29" s="3"/>
      <c r="E29" s="46"/>
      <c r="F29" s="42"/>
      <c r="G29" s="42"/>
      <c r="H29" s="3"/>
      <c r="I29" s="100"/>
    </row>
    <row r="30" spans="1:10">
      <c r="A30" s="15"/>
      <c r="B30" s="21"/>
      <c r="C30" s="42"/>
      <c r="D30" s="3"/>
      <c r="E30" s="46"/>
      <c r="F30" s="42"/>
      <c r="G30" s="42"/>
      <c r="H30" s="3"/>
      <c r="I30" s="100"/>
    </row>
    <row r="31" spans="1:10">
      <c r="A31" s="15"/>
      <c r="B31" s="21"/>
      <c r="C31" s="42"/>
      <c r="D31" s="3"/>
      <c r="E31" s="46"/>
      <c r="F31" s="42"/>
      <c r="G31" s="42"/>
      <c r="H31" s="3"/>
      <c r="I31" s="100"/>
    </row>
    <row r="32" spans="1:10">
      <c r="A32" s="15"/>
      <c r="B32" s="21"/>
      <c r="C32" s="101"/>
      <c r="D32" s="3"/>
      <c r="E32" s="46"/>
      <c r="F32" s="42"/>
      <c r="G32" s="42"/>
      <c r="H32" s="84"/>
      <c r="I32" s="100"/>
    </row>
    <row r="33" spans="1:9">
      <c r="A33" s="15"/>
      <c r="B33" s="21"/>
      <c r="C33" s="101"/>
      <c r="D33" s="93"/>
      <c r="E33" s="46"/>
      <c r="F33" s="42"/>
      <c r="G33" s="42"/>
      <c r="H33" s="3"/>
      <c r="I33" s="100"/>
    </row>
    <row r="34" spans="1:9">
      <c r="A34" s="15"/>
      <c r="B34" s="21"/>
      <c r="C34" s="42"/>
      <c r="D34" s="42"/>
      <c r="E34" s="46"/>
      <c r="F34" s="42"/>
      <c r="G34" s="3"/>
      <c r="H34" s="3"/>
      <c r="I34" s="100"/>
    </row>
    <row r="35" spans="1:9">
      <c r="A35" s="15"/>
      <c r="B35" s="3"/>
      <c r="C35" s="3"/>
      <c r="D35" s="3"/>
      <c r="E35" s="3"/>
      <c r="F35" s="3"/>
      <c r="G35" s="3"/>
      <c r="H35" s="3"/>
      <c r="I35" s="100"/>
    </row>
    <row r="36" spans="1:9">
      <c r="A36" s="15"/>
      <c r="B36" s="3"/>
      <c r="C36" s="3"/>
      <c r="D36" s="3"/>
      <c r="E36" s="3"/>
      <c r="F36" s="3"/>
      <c r="G36" s="3"/>
      <c r="H36" s="3"/>
      <c r="I36" s="100"/>
    </row>
    <row r="37" spans="1:9">
      <c r="A37" s="15"/>
      <c r="B37" s="3"/>
      <c r="C37" s="3"/>
      <c r="D37" s="3"/>
      <c r="E37" s="3"/>
      <c r="F37" s="3"/>
      <c r="G37" s="3"/>
      <c r="H37" s="3"/>
      <c r="I37" s="100"/>
    </row>
    <row r="38" spans="1:9">
      <c r="A38" s="15"/>
      <c r="B38" s="3"/>
      <c r="C38" s="3"/>
      <c r="D38" s="3"/>
      <c r="E38" s="3"/>
      <c r="F38" s="3"/>
      <c r="G38" s="3"/>
      <c r="H38" s="3"/>
      <c r="I38" s="100"/>
    </row>
    <row r="39" spans="1:9">
      <c r="A39" s="15">
        <v>37</v>
      </c>
      <c r="B39" s="3"/>
      <c r="C39" s="3"/>
      <c r="D39" s="3"/>
      <c r="E39" s="3"/>
      <c r="F39" s="3"/>
      <c r="G39" s="3"/>
      <c r="H39" s="3"/>
      <c r="I39" s="100"/>
    </row>
    <row r="40" spans="1:9">
      <c r="A40" s="15">
        <v>38</v>
      </c>
      <c r="B40" s="3"/>
      <c r="C40" s="3"/>
      <c r="D40" s="3"/>
      <c r="E40" s="3"/>
      <c r="F40" s="3"/>
      <c r="G40" s="3"/>
      <c r="H40" s="3"/>
      <c r="I40" s="100"/>
    </row>
    <row r="41" s="67" customFormat="1" spans="1:9">
      <c r="A41" s="15">
        <v>39</v>
      </c>
      <c r="B41" s="75"/>
      <c r="C41" s="75"/>
      <c r="D41" s="75" t="s">
        <v>88</v>
      </c>
      <c r="E41" s="76">
        <f>SUM(E3:E40)</f>
        <v>1351144.09</v>
      </c>
      <c r="F41" s="75"/>
      <c r="G41" s="75"/>
      <c r="H41" s="75"/>
      <c r="I41" s="102"/>
    </row>
    <row r="45" spans="1:9">
      <c r="E45">
        <f>E41-E16-E20-E21-E22</f>
        <v>1294624.71</v>
      </c>
    </row>
  </sheetData>
  <sheetProtection formatCells="0" formatColumns="0" formatRows="0" insertRows="0" insertColumns="0" insertHyperlinks="0" deleteColumns="0" deleteRows="0" sort="0" autoFilter="0" pivotTables="0"/>
  <autoFilter xmlns:etc="http://www.wps.cn/officeDocument/2017/etCustomData" ref="A2:J41" etc:filterBottomFollowUsedRange="0">
    <extLst/>
  </autoFilter>
  <mergeCells count="1">
    <mergeCell ref="A1:I1"/>
  </mergeCells>
  <dataValidations count="1">
    <dataValidation allowBlank="1" showInputMessage="1" showErrorMessage="1" sqref="I10 I19 I21"/>
  </dataValidations>
  <pageMargins left="0.75" right="0.75" top="1" bottom="1" header="0.5" footer="0.5"/>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7"/>
  <sheetViews>
    <sheetView workbookViewId="0">
      <pane ySplit="2" topLeftCell="A42" activePane="bottomLeft" state="frozen"/>
      <selection/>
      <selection pane="bottomLeft" activeCell="G28" sqref="G28"/>
    </sheetView>
  </sheetViews>
  <sheetFormatPr defaultColWidth="9" defaultRowHeight="13.5"/>
  <cols>
    <col min="2" max="2" width="12.5083333333333" style="18" customWidth="1"/>
    <col min="3" max="3" width="32.25" customWidth="1"/>
    <col min="4" max="4" width="22.25" customWidth="1"/>
    <col min="5" max="5" width="17.7583333333333" customWidth="1"/>
    <col min="6" max="6" width="13" customWidth="1"/>
    <col min="7" max="7" width="18.8666666666667" customWidth="1"/>
    <col min="9" max="9" width="11.6166666666667" customWidth="1"/>
  </cols>
  <sheetData>
    <row r="1" s="64" customFormat="1" ht="27" customHeight="1" spans="1:11">
      <c r="A1" s="19" t="s">
        <v>185</v>
      </c>
      <c r="B1" s="19"/>
      <c r="C1" s="19"/>
      <c r="D1" s="19"/>
      <c r="E1" s="19"/>
      <c r="F1" s="19"/>
      <c r="G1" s="19"/>
      <c r="H1" s="19"/>
      <c r="I1" s="19"/>
    </row>
    <row r="2" s="65" customFormat="1" ht="20.25" customHeight="1" spans="1:11">
      <c r="A2" s="5" t="s">
        <v>1</v>
      </c>
      <c r="B2" s="5" t="s">
        <v>2</v>
      </c>
      <c r="C2" s="6" t="s">
        <v>3</v>
      </c>
      <c r="D2" s="6" t="s">
        <v>4</v>
      </c>
      <c r="E2" s="68" t="s">
        <v>5</v>
      </c>
      <c r="F2" s="8" t="s">
        <v>6</v>
      </c>
      <c r="G2" s="6" t="s">
        <v>7</v>
      </c>
      <c r="H2" s="6" t="s">
        <v>8</v>
      </c>
      <c r="I2" s="6" t="s">
        <v>9</v>
      </c>
      <c r="J2" s="65" t="s">
        <v>10</v>
      </c>
    </row>
    <row r="3" spans="1:11">
      <c r="A3" s="3"/>
      <c r="B3" s="92">
        <v>46119</v>
      </c>
      <c r="C3" s="21" t="s">
        <v>186</v>
      </c>
      <c r="D3" s="42" t="s">
        <v>187</v>
      </c>
      <c r="E3" s="42">
        <v>14760</v>
      </c>
      <c r="F3" s="46" t="s">
        <v>16</v>
      </c>
      <c r="G3" s="42"/>
      <c r="H3" s="42"/>
      <c r="I3" s="84" t="s">
        <v>188</v>
      </c>
      <c r="J3" s="3"/>
    </row>
    <row r="4" spans="1:11">
      <c r="A4" s="3"/>
      <c r="B4" s="92">
        <v>46119</v>
      </c>
      <c r="C4" s="21" t="s">
        <v>186</v>
      </c>
      <c r="D4" s="42" t="s">
        <v>189</v>
      </c>
      <c r="E4" s="42">
        <v>2500</v>
      </c>
      <c r="F4" s="46" t="s">
        <v>16</v>
      </c>
      <c r="G4" s="42"/>
      <c r="H4" s="42"/>
      <c r="I4" s="84" t="s">
        <v>190</v>
      </c>
      <c r="J4" s="3"/>
      <c r="K4" t="s">
        <v>191</v>
      </c>
    </row>
    <row r="5" customFormat="1" spans="1:11">
      <c r="A5" s="3"/>
      <c r="B5" s="92">
        <v>46119</v>
      </c>
      <c r="C5" s="21" t="s">
        <v>192</v>
      </c>
      <c r="D5" s="42" t="s">
        <v>193</v>
      </c>
      <c r="E5" s="42">
        <v>141510</v>
      </c>
      <c r="F5" s="46" t="s">
        <v>16</v>
      </c>
      <c r="G5" s="42" t="s">
        <v>36</v>
      </c>
      <c r="H5" s="42"/>
      <c r="I5" s="84" t="s">
        <v>194</v>
      </c>
      <c r="J5" s="3"/>
    </row>
    <row r="6" spans="1:11">
      <c r="A6" s="3"/>
      <c r="B6" s="92">
        <v>46121</v>
      </c>
      <c r="C6" s="21" t="s">
        <v>195</v>
      </c>
      <c r="D6" s="42" t="s">
        <v>196</v>
      </c>
      <c r="E6" s="42">
        <v>63000</v>
      </c>
      <c r="F6" s="46" t="s">
        <v>16</v>
      </c>
      <c r="G6" s="42"/>
      <c r="H6" s="42"/>
      <c r="I6" s="84" t="s">
        <v>197</v>
      </c>
      <c r="J6" s="3"/>
    </row>
    <row r="7" spans="1:11">
      <c r="A7" s="3"/>
      <c r="B7" s="92">
        <v>46121</v>
      </c>
      <c r="C7" s="21" t="s">
        <v>195</v>
      </c>
      <c r="D7" s="42" t="s">
        <v>198</v>
      </c>
      <c r="E7" s="42">
        <v>140500</v>
      </c>
      <c r="F7" s="46" t="s">
        <v>16</v>
      </c>
      <c r="G7" s="42"/>
      <c r="H7" s="42"/>
      <c r="I7" s="84" t="s">
        <v>199</v>
      </c>
      <c r="J7" s="3"/>
    </row>
    <row r="8" spans="1:11">
      <c r="A8" s="3"/>
      <c r="B8" s="92">
        <v>46128</v>
      </c>
      <c r="C8" s="21" t="s">
        <v>115</v>
      </c>
      <c r="D8" s="42" t="s">
        <v>116</v>
      </c>
      <c r="E8" s="42">
        <v>200000</v>
      </c>
      <c r="F8" s="46" t="s">
        <v>16</v>
      </c>
      <c r="G8" s="42" t="s">
        <v>36</v>
      </c>
      <c r="H8" s="42"/>
      <c r="I8" s="84" t="s">
        <v>161</v>
      </c>
      <c r="J8" s="3"/>
    </row>
    <row r="9" spans="1:11">
      <c r="A9" s="3"/>
      <c r="B9" s="92">
        <v>46135</v>
      </c>
      <c r="C9" s="21" t="s">
        <v>107</v>
      </c>
      <c r="D9" s="42" t="s">
        <v>200</v>
      </c>
      <c r="E9" s="42">
        <v>4246.1</v>
      </c>
      <c r="F9" s="46" t="s">
        <v>201</v>
      </c>
      <c r="G9" s="42"/>
      <c r="H9" s="42"/>
      <c r="I9" s="84"/>
      <c r="J9" s="3"/>
    </row>
    <row r="10" spans="1:11">
      <c r="A10" s="3"/>
      <c r="B10" s="92">
        <v>46136</v>
      </c>
      <c r="C10" s="21" t="s">
        <v>14</v>
      </c>
      <c r="D10" s="42" t="s">
        <v>202</v>
      </c>
      <c r="E10" s="42">
        <v>6954</v>
      </c>
      <c r="F10" s="46" t="s">
        <v>16</v>
      </c>
      <c r="G10" s="42" t="s">
        <v>36</v>
      </c>
      <c r="H10" s="42"/>
      <c r="I10" s="84" t="s">
        <v>203</v>
      </c>
      <c r="J10" s="3"/>
    </row>
    <row r="11" spans="1:11">
      <c r="A11" s="3"/>
      <c r="B11" s="92">
        <v>46136</v>
      </c>
      <c r="C11" s="21" t="s">
        <v>14</v>
      </c>
      <c r="D11" s="42" t="s">
        <v>202</v>
      </c>
      <c r="E11" s="42">
        <v>10779.93</v>
      </c>
      <c r="F11" s="46" t="s">
        <v>16</v>
      </c>
      <c r="G11" s="42" t="s">
        <v>36</v>
      </c>
      <c r="H11" s="42"/>
      <c r="I11" s="84" t="s">
        <v>203</v>
      </c>
      <c r="J11" s="3"/>
    </row>
    <row r="12" spans="1:11">
      <c r="A12" s="3"/>
      <c r="B12" s="92">
        <v>46136</v>
      </c>
      <c r="C12" s="21" t="s">
        <v>14</v>
      </c>
      <c r="D12" s="42" t="s">
        <v>202</v>
      </c>
      <c r="E12" s="42">
        <v>214.67</v>
      </c>
      <c r="F12" s="46" t="s">
        <v>16</v>
      </c>
      <c r="G12" s="42"/>
      <c r="H12" s="42"/>
      <c r="I12" s="84" t="s">
        <v>203</v>
      </c>
      <c r="J12" s="3"/>
    </row>
    <row r="13" spans="1:11">
      <c r="A13" s="15"/>
      <c r="B13" s="4">
        <v>46135</v>
      </c>
      <c r="C13" s="3" t="s">
        <v>204</v>
      </c>
      <c r="D13" s="3" t="s">
        <v>205</v>
      </c>
      <c r="E13" s="93">
        <v>424092.6</v>
      </c>
      <c r="F13" s="3" t="s">
        <v>16</v>
      </c>
      <c r="G13" s="3" t="s">
        <v>36</v>
      </c>
      <c r="H13" s="3"/>
      <c r="I13" s="3" t="s">
        <v>206</v>
      </c>
    </row>
    <row r="14" spans="1:11">
      <c r="A14" s="15"/>
      <c r="B14" s="4">
        <v>46139</v>
      </c>
      <c r="C14" s="3" t="s">
        <v>207</v>
      </c>
      <c r="D14" s="3" t="s">
        <v>208</v>
      </c>
      <c r="E14" s="93">
        <v>5424</v>
      </c>
      <c r="F14" s="3" t="s">
        <v>16</v>
      </c>
      <c r="G14" s="3"/>
      <c r="H14" s="3"/>
      <c r="I14" s="3" t="s">
        <v>209</v>
      </c>
    </row>
    <row r="15" spans="1:11">
      <c r="A15" s="15"/>
      <c r="B15" s="4">
        <v>46139</v>
      </c>
      <c r="C15" s="3" t="s">
        <v>210</v>
      </c>
      <c r="D15" s="3" t="s">
        <v>211</v>
      </c>
      <c r="E15" s="93">
        <v>216455</v>
      </c>
      <c r="F15" s="3" t="s">
        <v>16</v>
      </c>
      <c r="G15" s="3"/>
      <c r="H15" s="3"/>
      <c r="I15" s="3" t="s">
        <v>212</v>
      </c>
    </row>
    <row r="16" spans="1:11">
      <c r="A16" s="15"/>
      <c r="B16" s="4">
        <v>46140</v>
      </c>
      <c r="C16" s="3" t="s">
        <v>14</v>
      </c>
      <c r="D16" s="3" t="s">
        <v>213</v>
      </c>
      <c r="E16" s="3">
        <v>19.2</v>
      </c>
      <c r="F16" s="3" t="s">
        <v>16</v>
      </c>
      <c r="G16" s="3"/>
      <c r="H16" s="3"/>
      <c r="I16" s="3" t="s">
        <v>214</v>
      </c>
    </row>
    <row r="17" spans="1:9">
      <c r="A17" s="15"/>
      <c r="B17" s="4">
        <v>46141</v>
      </c>
      <c r="C17" s="3" t="s">
        <v>14</v>
      </c>
      <c r="D17" s="3" t="s">
        <v>213</v>
      </c>
      <c r="E17" s="3">
        <v>5950.8</v>
      </c>
      <c r="F17" s="3" t="s">
        <v>16</v>
      </c>
      <c r="G17" s="3" t="s">
        <v>36</v>
      </c>
      <c r="H17" s="3"/>
      <c r="I17" s="3" t="s">
        <v>214</v>
      </c>
    </row>
    <row r="18" spans="1:9">
      <c r="A18" s="15"/>
      <c r="B18" s="4">
        <v>46141</v>
      </c>
      <c r="C18" s="3" t="s">
        <v>215</v>
      </c>
      <c r="D18" s="3" t="s">
        <v>216</v>
      </c>
      <c r="E18" s="3">
        <v>60000</v>
      </c>
      <c r="F18" s="3" t="s">
        <v>13</v>
      </c>
      <c r="G18" s="3" t="s">
        <v>217</v>
      </c>
      <c r="H18" s="3"/>
      <c r="I18" s="3" t="s">
        <v>218</v>
      </c>
    </row>
    <row r="19" spans="1:9">
      <c r="A19" s="15"/>
      <c r="B19" s="4">
        <v>46141</v>
      </c>
      <c r="C19" s="3" t="s">
        <v>219</v>
      </c>
      <c r="D19" s="3" t="s">
        <v>220</v>
      </c>
      <c r="E19" s="3">
        <v>3900</v>
      </c>
      <c r="F19" s="3" t="s">
        <v>16</v>
      </c>
      <c r="G19" s="3"/>
      <c r="H19" s="3"/>
      <c r="I19" s="3" t="s">
        <v>221</v>
      </c>
    </row>
    <row r="20" spans="1:9">
      <c r="A20" s="15"/>
      <c r="B20" s="4">
        <v>46142</v>
      </c>
      <c r="C20" s="3" t="s">
        <v>222</v>
      </c>
      <c r="D20" s="3" t="s">
        <v>223</v>
      </c>
      <c r="E20" s="3">
        <v>28167</v>
      </c>
      <c r="F20" s="3" t="s">
        <v>16</v>
      </c>
      <c r="G20" s="3" t="s">
        <v>36</v>
      </c>
      <c r="H20" s="3"/>
      <c r="I20" s="3" t="s">
        <v>224</v>
      </c>
    </row>
    <row r="21" spans="1:9">
      <c r="A21" s="15"/>
      <c r="B21" s="4">
        <v>46142</v>
      </c>
      <c r="C21" s="3" t="s">
        <v>82</v>
      </c>
      <c r="D21" s="3" t="s">
        <v>83</v>
      </c>
      <c r="E21" s="3">
        <v>25200</v>
      </c>
      <c r="F21" s="3" t="s">
        <v>225</v>
      </c>
      <c r="G21" s="3" t="s">
        <v>36</v>
      </c>
      <c r="H21" s="3"/>
      <c r="I21" s="3" t="s">
        <v>84</v>
      </c>
    </row>
    <row r="22" spans="1:9">
      <c r="A22" s="15"/>
      <c r="B22" s="4"/>
      <c r="C22" s="3"/>
      <c r="D22" s="3"/>
      <c r="E22" s="3"/>
      <c r="F22" s="3"/>
      <c r="G22" s="3"/>
      <c r="H22" s="3"/>
      <c r="I22" s="3"/>
    </row>
    <row r="23" spans="1:9">
      <c r="A23" s="15"/>
      <c r="B23" s="4"/>
      <c r="C23" s="3"/>
      <c r="D23" s="3"/>
      <c r="E23" s="3"/>
      <c r="F23" s="3"/>
      <c r="G23" s="3"/>
      <c r="H23" s="3"/>
      <c r="I23" s="3"/>
    </row>
    <row r="24" spans="1:9">
      <c r="A24" s="15"/>
      <c r="B24" s="4"/>
      <c r="C24" s="3"/>
      <c r="D24" s="3"/>
      <c r="E24" s="3"/>
      <c r="F24" s="3"/>
      <c r="G24" s="3"/>
      <c r="H24" s="3"/>
      <c r="I24" s="3"/>
    </row>
    <row r="25" spans="1:9">
      <c r="A25" s="15"/>
      <c r="B25" s="4"/>
      <c r="C25" s="3"/>
      <c r="D25" s="3"/>
      <c r="E25" s="3"/>
      <c r="F25" s="3"/>
      <c r="G25" s="3"/>
      <c r="H25" s="3"/>
      <c r="I25" s="3"/>
    </row>
    <row r="26" spans="1:9">
      <c r="A26" s="15"/>
      <c r="B26" s="4"/>
      <c r="C26" s="3"/>
      <c r="D26" s="3"/>
      <c r="E26" s="3"/>
      <c r="F26" s="3"/>
      <c r="G26" s="3"/>
      <c r="H26" s="3"/>
      <c r="I26" s="3"/>
    </row>
    <row r="27" spans="1:9">
      <c r="A27" s="15"/>
      <c r="B27" s="4"/>
      <c r="C27" s="3"/>
      <c r="D27" s="3"/>
      <c r="E27" s="3"/>
      <c r="F27" s="3"/>
      <c r="G27" s="3"/>
      <c r="H27" s="3"/>
      <c r="I27" s="3"/>
    </row>
    <row r="28" spans="1:9">
      <c r="A28" s="15"/>
      <c r="B28" s="4"/>
      <c r="C28" s="3"/>
      <c r="D28" s="3"/>
      <c r="E28" s="3"/>
      <c r="F28" s="3"/>
      <c r="G28" s="3"/>
      <c r="H28" s="3"/>
      <c r="I28" s="3"/>
    </row>
    <row r="29" spans="1:9">
      <c r="A29" s="15"/>
      <c r="B29" s="4"/>
      <c r="C29" s="3"/>
      <c r="D29" s="3"/>
      <c r="E29" s="3"/>
      <c r="F29" s="3"/>
      <c r="G29" s="3"/>
      <c r="H29" s="3"/>
      <c r="I29" s="3"/>
    </row>
    <row r="30" spans="1:9">
      <c r="A30" s="15"/>
      <c r="B30" s="4"/>
      <c r="C30" s="3"/>
      <c r="D30" s="3"/>
      <c r="E30" s="3"/>
      <c r="F30" s="3"/>
      <c r="G30" s="3"/>
      <c r="H30" s="3"/>
      <c r="I30" s="3"/>
    </row>
    <row r="31" spans="1:9">
      <c r="A31" s="15"/>
      <c r="B31" s="4"/>
      <c r="C31" s="3"/>
      <c r="D31" s="3"/>
      <c r="E31" s="3"/>
      <c r="F31" s="3"/>
      <c r="G31" s="3"/>
      <c r="H31" s="3"/>
      <c r="I31" s="3"/>
    </row>
    <row r="32" spans="1:9">
      <c r="A32" s="15"/>
      <c r="B32" s="4"/>
      <c r="C32" s="3"/>
      <c r="D32" s="3"/>
      <c r="E32" s="3"/>
      <c r="F32" s="3"/>
      <c r="G32" s="3"/>
      <c r="H32" s="3"/>
      <c r="I32" s="3"/>
    </row>
    <row r="33" spans="1:9">
      <c r="A33" s="15"/>
      <c r="B33" s="4"/>
      <c r="C33" s="3"/>
      <c r="D33" s="3"/>
      <c r="E33" s="3"/>
      <c r="F33" s="3"/>
      <c r="G33" s="3"/>
      <c r="H33" s="3"/>
      <c r="I33" s="3"/>
    </row>
    <row r="34" spans="1:9">
      <c r="A34" s="15"/>
      <c r="B34" s="4"/>
      <c r="C34" s="3"/>
      <c r="D34" s="3"/>
      <c r="E34" s="3"/>
      <c r="F34" s="3"/>
      <c r="G34" s="3"/>
      <c r="H34" s="3"/>
      <c r="I34" s="3"/>
    </row>
    <row r="35" spans="1:9">
      <c r="A35" s="15"/>
      <c r="B35" s="4"/>
      <c r="C35" s="3"/>
      <c r="D35" s="3"/>
      <c r="E35" s="3"/>
      <c r="F35" s="3"/>
      <c r="G35" s="3"/>
      <c r="H35" s="3"/>
      <c r="I35" s="3"/>
    </row>
    <row r="36" spans="1:9">
      <c r="A36" s="15"/>
      <c r="B36" s="4"/>
      <c r="C36" s="3"/>
      <c r="D36" s="3"/>
      <c r="E36" s="3"/>
      <c r="F36" s="3"/>
      <c r="G36" s="3"/>
      <c r="H36" s="3"/>
      <c r="I36" s="3"/>
    </row>
    <row r="37" spans="1:9">
      <c r="A37" s="15"/>
      <c r="B37" s="4"/>
      <c r="C37" s="3"/>
      <c r="D37" s="3"/>
      <c r="E37" s="3"/>
      <c r="F37" s="3"/>
      <c r="G37" s="3"/>
      <c r="H37" s="3"/>
      <c r="I37" s="3"/>
    </row>
    <row r="38" spans="1:9">
      <c r="A38" s="15"/>
      <c r="B38" s="4"/>
      <c r="C38" s="3"/>
      <c r="D38" s="3"/>
      <c r="E38" s="3"/>
      <c r="F38" s="3"/>
      <c r="G38" s="3"/>
      <c r="H38" s="3"/>
      <c r="I38" s="3"/>
    </row>
    <row r="39" spans="1:9">
      <c r="A39" s="15"/>
      <c r="B39" s="4"/>
      <c r="C39" s="3"/>
      <c r="D39" s="3"/>
      <c r="E39" s="3"/>
      <c r="F39" s="3"/>
      <c r="G39" s="3"/>
      <c r="H39" s="3"/>
      <c r="I39" s="3"/>
    </row>
    <row r="40" spans="1:9">
      <c r="A40" s="15"/>
      <c r="B40" s="4"/>
      <c r="C40" s="3"/>
      <c r="D40" s="3"/>
      <c r="E40" s="3"/>
      <c r="F40" s="3"/>
      <c r="G40" s="3"/>
      <c r="H40" s="3"/>
      <c r="I40" s="3"/>
    </row>
    <row r="41" spans="1:9">
      <c r="A41" s="15"/>
      <c r="B41" s="4"/>
      <c r="C41" s="3"/>
      <c r="D41" s="3"/>
      <c r="E41" s="3"/>
      <c r="F41" s="3"/>
      <c r="G41" s="3"/>
      <c r="H41" s="3"/>
      <c r="I41" s="3"/>
    </row>
    <row r="42" spans="1:9">
      <c r="A42" s="15"/>
      <c r="B42" s="4"/>
      <c r="C42" s="3"/>
      <c r="D42" s="3"/>
      <c r="E42" s="3"/>
      <c r="F42" s="3"/>
      <c r="G42" s="3"/>
      <c r="H42" s="3"/>
      <c r="I42" s="3"/>
    </row>
    <row r="43" spans="1:9">
      <c r="A43" s="15"/>
      <c r="B43" s="4"/>
      <c r="C43" s="3"/>
      <c r="D43" s="3"/>
      <c r="E43" s="3"/>
      <c r="F43" s="3"/>
      <c r="G43" s="3"/>
      <c r="H43" s="3"/>
      <c r="I43" s="3"/>
    </row>
    <row r="44" spans="1:9">
      <c r="A44" s="15"/>
      <c r="B44" s="4"/>
      <c r="C44" s="3"/>
      <c r="D44" s="3"/>
      <c r="E44" s="3"/>
      <c r="F44" s="3"/>
      <c r="G44" s="3"/>
      <c r="H44" s="3"/>
      <c r="I44" s="3"/>
    </row>
    <row r="45" spans="1:9">
      <c r="A45" s="15"/>
      <c r="B45" s="4"/>
      <c r="C45" s="3"/>
      <c r="D45" s="3"/>
      <c r="E45" s="3"/>
      <c r="F45" s="3"/>
      <c r="G45" s="3"/>
      <c r="H45" s="3"/>
      <c r="I45" s="3"/>
    </row>
    <row r="46" spans="1:9">
      <c r="A46" s="15"/>
      <c r="B46" s="4"/>
      <c r="C46" s="3"/>
      <c r="D46" s="3"/>
      <c r="E46" s="3"/>
      <c r="F46" s="3"/>
      <c r="G46" s="3"/>
      <c r="H46" s="3"/>
      <c r="I46" s="3"/>
    </row>
    <row r="47" spans="1:9">
      <c r="A47" s="15"/>
      <c r="B47" s="4"/>
      <c r="C47" s="3"/>
      <c r="D47" s="3"/>
      <c r="E47" s="3"/>
      <c r="F47" s="3"/>
      <c r="G47" s="3"/>
      <c r="H47" s="3"/>
      <c r="I47" s="3"/>
    </row>
    <row r="48" spans="1:9">
      <c r="A48" s="15"/>
      <c r="B48" s="4"/>
      <c r="C48" s="3"/>
      <c r="D48" s="3"/>
      <c r="E48" s="3"/>
      <c r="F48" s="3"/>
      <c r="G48" s="3"/>
      <c r="H48" s="3"/>
      <c r="I48" s="3"/>
    </row>
    <row r="49" spans="1:10">
      <c r="A49" s="15"/>
      <c r="B49" s="4"/>
      <c r="C49" s="3"/>
      <c r="D49" s="3"/>
      <c r="E49" s="3"/>
      <c r="F49" s="3"/>
      <c r="G49" s="3"/>
      <c r="H49" s="3"/>
      <c r="I49" s="3"/>
      <c r="J49" s="3"/>
    </row>
    <row r="50" spans="1:10">
      <c r="A50" s="15"/>
      <c r="B50" s="4"/>
      <c r="C50" s="3"/>
      <c r="D50" s="3"/>
      <c r="E50" s="3"/>
      <c r="F50" s="3"/>
      <c r="G50" s="3"/>
      <c r="H50" s="3"/>
      <c r="I50" s="3"/>
      <c r="J50" s="3"/>
    </row>
    <row r="51" spans="1:10">
      <c r="A51" s="15"/>
      <c r="B51" s="4"/>
      <c r="C51" s="3"/>
      <c r="D51" s="3"/>
      <c r="E51" s="3"/>
      <c r="F51" s="3"/>
      <c r="G51" s="3"/>
      <c r="H51" s="3"/>
      <c r="I51" s="3"/>
      <c r="J51" s="3"/>
    </row>
    <row r="52" spans="1:10">
      <c r="A52" s="15"/>
      <c r="B52" s="4"/>
      <c r="C52" s="3"/>
      <c r="D52" s="3"/>
      <c r="E52" s="3"/>
      <c r="F52" s="3"/>
      <c r="G52" s="3"/>
      <c r="H52" s="3"/>
      <c r="I52" s="3"/>
      <c r="J52" s="3"/>
    </row>
    <row r="53" spans="1:10">
      <c r="A53" s="15"/>
      <c r="B53" s="4"/>
      <c r="C53" s="3"/>
      <c r="D53" s="3"/>
      <c r="E53" s="3"/>
      <c r="F53" s="3"/>
      <c r="G53" s="3"/>
      <c r="H53" s="3"/>
      <c r="I53" s="3"/>
      <c r="J53" s="3"/>
    </row>
    <row r="54" spans="1:10">
      <c r="A54" s="15"/>
      <c r="B54" s="4"/>
      <c r="C54" s="3"/>
      <c r="D54" s="3"/>
      <c r="E54" s="3"/>
      <c r="F54" s="3"/>
      <c r="G54" s="3"/>
      <c r="H54" s="3"/>
      <c r="I54" s="3"/>
    </row>
    <row r="55" spans="1:10">
      <c r="A55" s="15"/>
      <c r="B55" s="4"/>
      <c r="C55" s="3"/>
      <c r="D55" s="3"/>
      <c r="E55" s="3"/>
      <c r="F55" s="3"/>
      <c r="G55" s="3"/>
      <c r="H55" s="3"/>
      <c r="I55" s="3"/>
    </row>
    <row r="56" spans="1:10">
      <c r="A56" s="15"/>
      <c r="B56" s="4"/>
      <c r="C56" s="3"/>
      <c r="D56" s="3"/>
      <c r="E56" s="3"/>
      <c r="F56" s="3"/>
      <c r="G56" s="3"/>
      <c r="H56" s="3"/>
      <c r="I56" s="3"/>
    </row>
    <row r="57" spans="1:10">
      <c r="A57" s="15"/>
      <c r="B57" s="4"/>
      <c r="C57" s="3"/>
      <c r="D57" s="3"/>
      <c r="E57" s="3"/>
      <c r="F57" s="3"/>
      <c r="G57" s="3"/>
      <c r="H57" s="3"/>
      <c r="I57" s="3"/>
    </row>
    <row r="58" spans="1:10">
      <c r="A58" s="15"/>
      <c r="B58" s="4"/>
      <c r="C58" s="3"/>
      <c r="D58" s="3"/>
      <c r="E58" s="3"/>
      <c r="F58" s="3"/>
      <c r="G58" s="3"/>
      <c r="H58" s="3"/>
      <c r="I58" s="3"/>
    </row>
    <row r="59" spans="1:10">
      <c r="A59" s="15"/>
      <c r="B59" s="4"/>
      <c r="C59" s="3"/>
      <c r="D59" s="3"/>
      <c r="E59" s="3"/>
      <c r="F59" s="3"/>
      <c r="G59" s="3"/>
      <c r="H59" s="3"/>
      <c r="I59" s="3"/>
    </row>
    <row r="60" spans="1:10">
      <c r="A60" s="15"/>
      <c r="B60" s="4"/>
      <c r="C60" s="3"/>
      <c r="D60" s="3"/>
      <c r="E60" s="3"/>
      <c r="F60" s="3"/>
      <c r="G60" s="3"/>
      <c r="H60" s="3"/>
      <c r="I60" s="3"/>
    </row>
    <row r="61" spans="1:10">
      <c r="A61" s="15"/>
      <c r="B61" s="4"/>
      <c r="C61" s="3"/>
      <c r="D61" s="3"/>
      <c r="E61" s="3"/>
      <c r="F61" s="3"/>
      <c r="G61" s="3"/>
      <c r="H61" s="3"/>
      <c r="I61" s="3"/>
    </row>
    <row r="62" spans="1:10">
      <c r="A62" s="15"/>
      <c r="B62" s="4"/>
      <c r="C62" s="3"/>
      <c r="D62" s="3"/>
      <c r="E62" s="3"/>
      <c r="F62" s="3"/>
      <c r="G62" s="3"/>
      <c r="H62" s="3"/>
      <c r="I62" s="3"/>
    </row>
    <row r="63" spans="1:10">
      <c r="A63" s="15"/>
      <c r="B63" s="4"/>
      <c r="C63" s="3"/>
      <c r="D63" s="3"/>
      <c r="E63" s="3"/>
      <c r="F63" s="3"/>
      <c r="G63" s="3"/>
      <c r="H63" s="3"/>
      <c r="I63" s="3"/>
    </row>
    <row r="64" spans="1:10">
      <c r="A64" s="15"/>
      <c r="B64" s="4"/>
      <c r="C64" s="3"/>
      <c r="D64" s="3"/>
      <c r="E64" s="3"/>
      <c r="F64" s="3"/>
      <c r="G64" s="3"/>
      <c r="H64" s="3"/>
      <c r="I64" s="3"/>
    </row>
    <row r="65" spans="1:9">
      <c r="A65" s="15"/>
      <c r="B65" s="4"/>
      <c r="C65" s="3"/>
      <c r="D65" s="3"/>
      <c r="E65" s="3"/>
      <c r="F65" s="3"/>
      <c r="G65" s="3"/>
      <c r="H65" s="3"/>
      <c r="I65" s="3"/>
    </row>
    <row r="66" spans="1:9">
      <c r="A66" s="15">
        <v>32</v>
      </c>
      <c r="B66" s="4"/>
      <c r="C66" s="3"/>
      <c r="D66" s="3"/>
      <c r="E66" s="3"/>
      <c r="F66" s="3"/>
      <c r="G66" s="3"/>
      <c r="H66" s="3"/>
      <c r="I66" s="3"/>
    </row>
    <row r="67" s="67" customFormat="1" spans="1:9">
      <c r="A67" s="74">
        <v>33</v>
      </c>
      <c r="B67" s="86"/>
      <c r="C67" s="75"/>
      <c r="D67" s="75" t="s">
        <v>88</v>
      </c>
      <c r="E67" s="76">
        <f>SUM(E3:E66)</f>
        <v>1353673.3</v>
      </c>
      <c r="F67" s="75"/>
      <c r="G67" s="75"/>
      <c r="H67" s="75"/>
      <c r="I67" s="75"/>
    </row>
  </sheetData>
  <sheetProtection formatCells="0" formatColumns="0" formatRows="0" insertRows="0" insertColumns="0" insertHyperlinks="0" deleteColumns="0" deleteRows="0" sort="0" autoFilter="0" pivotTables="0"/>
  <autoFilter xmlns:etc="http://www.wps.cn/officeDocument/2017/etCustomData" ref="A2:J54" etc:filterBottomFollowUsedRange="0">
    <extLst/>
  </autoFilter>
  <mergeCells count="1">
    <mergeCell ref="A1:I1"/>
  </mergeCells>
  <dataValidations count="1">
    <dataValidation allowBlank="1" showInputMessage="1" showErrorMessage="1" sqref="I9:I12"/>
  </dataValidation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5"/>
  <sheetViews>
    <sheetView workbookViewId="0">
      <pane ySplit="2" topLeftCell="A21" activePane="bottomLeft" state="frozen"/>
      <selection/>
      <selection pane="bottomLeft" activeCell="G31" sqref="G31"/>
    </sheetView>
  </sheetViews>
  <sheetFormatPr defaultColWidth="9" defaultRowHeight="13.5"/>
  <cols>
    <col min="1" max="1" width="10.3416666666667"/>
    <col min="2" max="2" width="12.5083333333333" style="18" customWidth="1"/>
    <col min="3" max="3" width="32.25" customWidth="1"/>
    <col min="4" max="4" width="22.25" customWidth="1"/>
    <col min="5" max="5" width="17.5166666666667" customWidth="1"/>
    <col min="6" max="6" width="13" customWidth="1"/>
    <col min="7" max="7" width="18.8666666666667" customWidth="1"/>
    <col min="8" max="8" width="9.46666666666667"/>
    <col min="9" max="9" width="11.6166666666667" customWidth="1"/>
  </cols>
  <sheetData>
    <row r="1" s="64" customFormat="1" ht="27" customHeight="1" spans="1:10">
      <c r="A1" s="19" t="s">
        <v>226</v>
      </c>
      <c r="B1" s="19"/>
      <c r="C1" s="19"/>
      <c r="D1" s="19"/>
      <c r="E1" s="19"/>
      <c r="F1" s="19"/>
      <c r="G1" s="19"/>
      <c r="H1" s="19"/>
      <c r="I1" s="19"/>
    </row>
    <row r="2" s="65" customFormat="1" ht="20.25" customHeight="1" spans="1:10">
      <c r="A2" s="5">
        <v>5</v>
      </c>
      <c r="B2" s="5" t="s">
        <v>2</v>
      </c>
      <c r="C2" s="6" t="s">
        <v>3</v>
      </c>
      <c r="D2" s="6" t="s">
        <v>4</v>
      </c>
      <c r="E2" s="68" t="s">
        <v>5</v>
      </c>
      <c r="F2" s="8" t="s">
        <v>6</v>
      </c>
      <c r="G2" s="6" t="s">
        <v>7</v>
      </c>
      <c r="H2" s="6" t="s">
        <v>8</v>
      </c>
      <c r="I2" s="6" t="s">
        <v>9</v>
      </c>
      <c r="J2" s="6" t="s">
        <v>10</v>
      </c>
    </row>
    <row r="3" spans="1:10">
      <c r="A3" s="36"/>
      <c r="B3" s="36">
        <v>46155</v>
      </c>
      <c r="C3" s="48" t="s">
        <v>129</v>
      </c>
      <c r="D3" s="48" t="s">
        <v>130</v>
      </c>
      <c r="E3" s="20">
        <v>10000</v>
      </c>
      <c r="F3" s="48" t="s">
        <v>16</v>
      </c>
      <c r="G3" s="48"/>
      <c r="H3" s="48"/>
      <c r="I3" s="48" t="s">
        <v>131</v>
      </c>
      <c r="J3" s="3"/>
    </row>
    <row r="4" spans="1:10">
      <c r="A4" s="36"/>
      <c r="B4" s="36">
        <v>46161</v>
      </c>
      <c r="C4" s="48" t="s">
        <v>227</v>
      </c>
      <c r="D4" s="48" t="s">
        <v>228</v>
      </c>
      <c r="E4" s="20">
        <v>94050</v>
      </c>
      <c r="F4" s="48" t="s">
        <v>229</v>
      </c>
      <c r="G4" s="48"/>
      <c r="H4" s="48"/>
      <c r="I4" s="48" t="s">
        <v>230</v>
      </c>
      <c r="J4" s="3"/>
    </row>
    <row r="5" spans="1:10">
      <c r="A5" s="36"/>
      <c r="B5" s="36">
        <v>46161</v>
      </c>
      <c r="C5" s="48" t="s">
        <v>115</v>
      </c>
      <c r="D5" s="48" t="s">
        <v>116</v>
      </c>
      <c r="E5" s="20">
        <v>200000</v>
      </c>
      <c r="F5" s="48" t="s">
        <v>16</v>
      </c>
      <c r="G5" s="48" t="s">
        <v>36</v>
      </c>
      <c r="H5" s="48"/>
      <c r="I5" s="48" t="s">
        <v>161</v>
      </c>
      <c r="J5" s="3"/>
    </row>
    <row r="6" spans="1:10">
      <c r="A6" s="36"/>
      <c r="B6" s="36">
        <v>46162</v>
      </c>
      <c r="C6" s="48" t="s">
        <v>115</v>
      </c>
      <c r="D6" s="48" t="s">
        <v>231</v>
      </c>
      <c r="E6" s="20">
        <v>195</v>
      </c>
      <c r="F6" s="48" t="s">
        <v>16</v>
      </c>
      <c r="G6" s="48"/>
      <c r="H6" s="48"/>
      <c r="I6" s="48" t="s">
        <v>232</v>
      </c>
      <c r="J6" s="3"/>
    </row>
    <row r="7" spans="1:10">
      <c r="A7" s="36"/>
      <c r="B7" s="36">
        <v>46163</v>
      </c>
      <c r="C7" s="48" t="s">
        <v>115</v>
      </c>
      <c r="D7" s="48" t="s">
        <v>231</v>
      </c>
      <c r="E7" s="20">
        <v>69925</v>
      </c>
      <c r="F7" s="48" t="s">
        <v>16</v>
      </c>
      <c r="G7" s="48" t="s">
        <v>36</v>
      </c>
      <c r="H7" s="48"/>
      <c r="I7" s="48" t="s">
        <v>232</v>
      </c>
      <c r="J7" s="3"/>
    </row>
    <row r="8" spans="1:10">
      <c r="A8" s="36"/>
      <c r="B8" s="36">
        <v>46163</v>
      </c>
      <c r="C8" s="48" t="s">
        <v>115</v>
      </c>
      <c r="D8" s="48" t="s">
        <v>231</v>
      </c>
      <c r="E8" s="20">
        <v>23000</v>
      </c>
      <c r="F8" s="48" t="s">
        <v>16</v>
      </c>
      <c r="G8" s="48" t="s">
        <v>36</v>
      </c>
      <c r="H8" s="48"/>
      <c r="I8" s="48" t="s">
        <v>232</v>
      </c>
      <c r="J8" s="3"/>
    </row>
    <row r="9" spans="1:10">
      <c r="A9" s="36"/>
      <c r="B9" s="36">
        <v>46164</v>
      </c>
      <c r="C9" s="48" t="s">
        <v>233</v>
      </c>
      <c r="D9" s="48" t="s">
        <v>234</v>
      </c>
      <c r="E9" s="20">
        <v>110000</v>
      </c>
      <c r="F9" s="48" t="s">
        <v>16</v>
      </c>
      <c r="G9" s="48"/>
      <c r="H9" s="48"/>
      <c r="I9" s="48" t="s">
        <v>235</v>
      </c>
      <c r="J9" s="3"/>
    </row>
    <row r="10" spans="1:10">
      <c r="A10" s="36"/>
      <c r="B10" s="36">
        <v>46168</v>
      </c>
      <c r="C10" s="48" t="s">
        <v>11</v>
      </c>
      <c r="D10" s="48" t="s">
        <v>236</v>
      </c>
      <c r="E10" s="20">
        <v>137940</v>
      </c>
      <c r="F10" s="48" t="s">
        <v>13</v>
      </c>
      <c r="G10" s="48"/>
      <c r="H10" s="48"/>
      <c r="I10" s="48" t="s">
        <v>237</v>
      </c>
      <c r="J10" s="3"/>
    </row>
    <row r="11" spans="1:10">
      <c r="A11" s="36"/>
      <c r="B11" s="36">
        <v>46168</v>
      </c>
      <c r="C11" s="48" t="s">
        <v>11</v>
      </c>
      <c r="D11" s="48" t="s">
        <v>238</v>
      </c>
      <c r="E11" s="20">
        <v>44042</v>
      </c>
      <c r="F11" s="48" t="s">
        <v>13</v>
      </c>
      <c r="G11" s="48"/>
      <c r="H11" s="48"/>
      <c r="I11" s="48" t="s">
        <v>239</v>
      </c>
      <c r="J11" s="3"/>
    </row>
    <row r="12" spans="1:10">
      <c r="A12" s="36"/>
      <c r="B12" s="36">
        <v>46168</v>
      </c>
      <c r="C12" s="48" t="s">
        <v>240</v>
      </c>
      <c r="D12" s="48" t="s">
        <v>241</v>
      </c>
      <c r="E12" s="20">
        <v>13200</v>
      </c>
      <c r="F12" s="48" t="s">
        <v>16</v>
      </c>
      <c r="G12" s="48" t="s">
        <v>36</v>
      </c>
      <c r="H12" s="48"/>
      <c r="I12" s="48" t="s">
        <v>242</v>
      </c>
      <c r="J12" s="3"/>
    </row>
    <row r="13" spans="1:10">
      <c r="A13" s="15"/>
      <c r="B13" s="36">
        <v>46168</v>
      </c>
      <c r="C13" s="48" t="s">
        <v>243</v>
      </c>
      <c r="D13" s="48" t="s">
        <v>244</v>
      </c>
      <c r="E13" s="20">
        <v>12900</v>
      </c>
      <c r="F13" s="48" t="s">
        <v>16</v>
      </c>
      <c r="G13" s="48"/>
      <c r="H13" s="48" t="s">
        <v>245</v>
      </c>
      <c r="I13" s="48" t="s">
        <v>246</v>
      </c>
      <c r="J13" s="48"/>
    </row>
    <row r="14" spans="1:10">
      <c r="A14" s="15"/>
      <c r="B14" s="36">
        <v>46168</v>
      </c>
      <c r="C14" s="48" t="s">
        <v>243</v>
      </c>
      <c r="D14" s="48" t="s">
        <v>247</v>
      </c>
      <c r="E14" s="20">
        <v>30000</v>
      </c>
      <c r="F14" s="48" t="s">
        <v>16</v>
      </c>
      <c r="G14" s="48"/>
      <c r="H14" s="48" t="s">
        <v>245</v>
      </c>
      <c r="I14" s="48" t="s">
        <v>248</v>
      </c>
      <c r="J14" s="48"/>
    </row>
    <row r="15" spans="1:10">
      <c r="A15" s="15"/>
      <c r="B15" s="36">
        <v>46168</v>
      </c>
      <c r="C15" s="48" t="s">
        <v>243</v>
      </c>
      <c r="D15" s="48" t="s">
        <v>249</v>
      </c>
      <c r="E15" s="20">
        <v>8000</v>
      </c>
      <c r="F15" s="48" t="s">
        <v>16</v>
      </c>
      <c r="G15" s="48"/>
      <c r="H15" s="48" t="s">
        <v>245</v>
      </c>
      <c r="I15" s="48" t="s">
        <v>250</v>
      </c>
      <c r="J15" s="48"/>
    </row>
    <row r="16" spans="1:10">
      <c r="A16" s="15"/>
      <c r="B16" s="36">
        <v>46168</v>
      </c>
      <c r="C16" s="48" t="s">
        <v>243</v>
      </c>
      <c r="D16" s="48" t="s">
        <v>251</v>
      </c>
      <c r="E16" s="20">
        <v>5900</v>
      </c>
      <c r="F16" s="48" t="s">
        <v>16</v>
      </c>
      <c r="G16" s="48"/>
      <c r="H16" s="48" t="s">
        <v>245</v>
      </c>
      <c r="I16" s="48" t="s">
        <v>252</v>
      </c>
      <c r="J16" s="48"/>
    </row>
    <row r="17" spans="1:10">
      <c r="A17" s="15"/>
      <c r="B17" s="36">
        <v>46170</v>
      </c>
      <c r="C17" s="48" t="s">
        <v>104</v>
      </c>
      <c r="D17" s="48" t="s">
        <v>135</v>
      </c>
      <c r="E17" s="20">
        <v>483000</v>
      </c>
      <c r="F17" s="48" t="s">
        <v>16</v>
      </c>
      <c r="G17" s="91" t="s">
        <v>36</v>
      </c>
      <c r="H17" s="48"/>
      <c r="I17" s="48" t="s">
        <v>136</v>
      </c>
      <c r="J17" s="48"/>
    </row>
    <row r="18" spans="1:10">
      <c r="A18" s="15"/>
      <c r="B18" s="36">
        <v>46171</v>
      </c>
      <c r="C18" s="48" t="s">
        <v>104</v>
      </c>
      <c r="D18" s="48" t="s">
        <v>135</v>
      </c>
      <c r="E18" s="15">
        <v>200</v>
      </c>
      <c r="F18" s="48" t="s">
        <v>16</v>
      </c>
      <c r="G18" s="3"/>
      <c r="H18" s="3"/>
      <c r="I18" s="48" t="s">
        <v>136</v>
      </c>
      <c r="J18" s="3"/>
    </row>
    <row r="19" spans="1:10">
      <c r="A19" s="15"/>
      <c r="B19" s="4"/>
      <c r="C19" s="3"/>
      <c r="D19" s="3"/>
      <c r="E19" s="3"/>
      <c r="F19" s="3"/>
      <c r="G19" s="3"/>
      <c r="H19" s="3"/>
      <c r="I19" s="3"/>
      <c r="J19" s="3"/>
    </row>
    <row r="20" spans="1:10">
      <c r="A20" s="15"/>
      <c r="B20" s="4"/>
      <c r="C20" s="3"/>
      <c r="D20" s="3"/>
      <c r="E20" s="3"/>
      <c r="F20" s="3"/>
      <c r="G20" s="3"/>
      <c r="H20" s="3"/>
      <c r="I20" s="3"/>
      <c r="J20" s="3"/>
    </row>
    <row r="21" spans="1:10">
      <c r="A21" s="15"/>
      <c r="B21" s="4"/>
      <c r="C21" s="3"/>
      <c r="D21" s="3"/>
      <c r="E21" s="3"/>
      <c r="F21" s="3"/>
      <c r="G21" s="3"/>
      <c r="H21" s="3"/>
      <c r="I21" s="3"/>
      <c r="J21" s="3"/>
    </row>
    <row r="22" spans="1:10">
      <c r="A22" s="15"/>
      <c r="B22" s="4"/>
      <c r="C22" s="3"/>
      <c r="D22" s="3"/>
      <c r="E22" s="3"/>
      <c r="F22" s="3"/>
      <c r="G22" s="3"/>
      <c r="H22" s="3"/>
      <c r="I22" s="3"/>
      <c r="J22" s="3"/>
    </row>
    <row r="23" spans="1:10">
      <c r="A23" s="15"/>
      <c r="B23" s="4"/>
      <c r="C23" s="3"/>
      <c r="D23" s="3"/>
      <c r="E23" s="3"/>
      <c r="F23" s="3"/>
      <c r="G23" s="3"/>
      <c r="H23" s="3"/>
      <c r="I23" s="3"/>
      <c r="J23" s="3"/>
    </row>
    <row r="24" spans="1:10">
      <c r="A24" s="15"/>
      <c r="B24" s="4"/>
      <c r="C24" s="3"/>
      <c r="D24" s="3"/>
      <c r="E24" s="3"/>
      <c r="F24" s="3"/>
      <c r="G24" s="3"/>
      <c r="H24" s="3"/>
      <c r="I24" s="3"/>
      <c r="J24" s="3"/>
    </row>
    <row r="25" spans="1:10">
      <c r="A25" s="15"/>
      <c r="B25" s="4"/>
      <c r="C25" s="3"/>
      <c r="D25" s="3"/>
      <c r="E25" s="3"/>
      <c r="F25" s="3"/>
      <c r="G25" s="3"/>
      <c r="H25" s="3"/>
      <c r="I25" s="3"/>
      <c r="J25" s="3"/>
    </row>
    <row r="26" spans="1:10">
      <c r="A26" s="15"/>
      <c r="B26" s="4"/>
      <c r="C26" s="3"/>
      <c r="D26" s="3"/>
      <c r="E26" s="3"/>
      <c r="F26" s="3"/>
      <c r="G26" s="3"/>
      <c r="H26" s="3"/>
      <c r="I26" s="3"/>
      <c r="J26" s="3"/>
    </row>
    <row r="27" spans="1:10">
      <c r="A27" s="15"/>
      <c r="B27" s="4"/>
      <c r="C27" s="3"/>
      <c r="D27" s="3"/>
      <c r="E27" s="3"/>
      <c r="F27" s="3"/>
      <c r="G27" s="3"/>
      <c r="H27" s="3"/>
      <c r="I27" s="3"/>
      <c r="J27" s="3"/>
    </row>
    <row r="28" spans="1:10">
      <c r="A28" s="15"/>
      <c r="B28" s="4"/>
      <c r="C28" s="3"/>
      <c r="D28" s="3"/>
      <c r="E28" s="3"/>
      <c r="F28" s="3"/>
      <c r="G28" s="3"/>
      <c r="H28" s="3"/>
      <c r="I28" s="3"/>
      <c r="J28" s="3"/>
    </row>
    <row r="29" spans="1:10">
      <c r="A29" s="15"/>
      <c r="B29" s="4"/>
      <c r="C29" s="3"/>
      <c r="D29" s="3"/>
      <c r="E29" s="3"/>
      <c r="F29" s="3"/>
      <c r="G29" s="3"/>
      <c r="H29" s="3"/>
      <c r="I29" s="3"/>
      <c r="J29" s="3"/>
    </row>
    <row r="30" spans="1:10">
      <c r="A30" s="15"/>
      <c r="B30" s="4"/>
      <c r="C30" s="3"/>
      <c r="D30" s="3"/>
      <c r="E30" s="3"/>
      <c r="F30" s="3"/>
      <c r="G30" s="3"/>
      <c r="H30" s="3"/>
      <c r="I30" s="3"/>
      <c r="J30" s="3"/>
    </row>
    <row r="31" spans="1:10">
      <c r="A31" s="15"/>
      <c r="B31" s="4"/>
      <c r="C31" s="3"/>
      <c r="D31" s="3"/>
      <c r="E31" s="3"/>
      <c r="F31" s="3"/>
      <c r="G31" s="3"/>
      <c r="H31" s="3"/>
      <c r="I31" s="3"/>
      <c r="J31" s="3"/>
    </row>
    <row r="32" spans="1:10">
      <c r="A32" s="15"/>
      <c r="B32" s="4"/>
      <c r="C32" s="3"/>
      <c r="D32" s="3"/>
      <c r="E32" s="3"/>
      <c r="F32" s="3"/>
      <c r="G32" s="3"/>
      <c r="H32" s="3"/>
      <c r="I32" s="3"/>
      <c r="J32" s="3"/>
    </row>
    <row r="33" spans="1:10">
      <c r="A33" s="15"/>
      <c r="B33" s="4"/>
      <c r="C33" s="3"/>
      <c r="D33" s="3"/>
      <c r="E33" s="3"/>
      <c r="F33" s="3"/>
      <c r="G33" s="3"/>
      <c r="H33" s="3"/>
      <c r="I33" s="3"/>
      <c r="J33" s="3"/>
    </row>
    <row r="34" spans="1:10">
      <c r="A34" s="15"/>
      <c r="B34" s="4"/>
      <c r="C34" s="3"/>
      <c r="D34" s="3"/>
      <c r="E34" s="3"/>
      <c r="F34" s="3"/>
      <c r="G34" s="3"/>
      <c r="H34" s="3"/>
      <c r="I34" s="3"/>
      <c r="J34" s="3"/>
    </row>
    <row r="35" spans="1:10">
      <c r="A35" s="15"/>
      <c r="B35" s="4"/>
      <c r="C35" s="3"/>
      <c r="D35" s="3"/>
      <c r="E35" s="3"/>
      <c r="F35" s="3"/>
      <c r="G35" s="3"/>
      <c r="H35" s="3"/>
      <c r="I35" s="3"/>
      <c r="J35" s="3"/>
    </row>
    <row r="36" spans="1:10">
      <c r="A36" s="15"/>
      <c r="B36" s="4"/>
      <c r="C36" s="3"/>
      <c r="D36" s="3"/>
      <c r="E36" s="3"/>
      <c r="F36" s="3"/>
      <c r="G36" s="3"/>
      <c r="H36" s="3"/>
      <c r="I36" s="3"/>
      <c r="J36" s="3"/>
    </row>
    <row r="37" spans="1:10">
      <c r="A37" s="15"/>
      <c r="B37" s="4"/>
      <c r="C37" s="3"/>
      <c r="D37" s="3"/>
      <c r="E37" s="3"/>
      <c r="F37" s="3"/>
      <c r="G37" s="3"/>
      <c r="H37" s="3"/>
      <c r="I37" s="3"/>
      <c r="J37" s="3"/>
    </row>
    <row r="38" spans="1:10">
      <c r="A38" s="15"/>
      <c r="B38" s="4"/>
      <c r="C38" s="3"/>
      <c r="D38" s="3"/>
      <c r="E38" s="3"/>
      <c r="F38" s="3"/>
      <c r="G38" s="3"/>
      <c r="H38" s="3"/>
      <c r="I38" s="3"/>
      <c r="J38" s="3"/>
    </row>
    <row r="39" spans="1:10">
      <c r="A39" s="15"/>
      <c r="B39" s="4"/>
      <c r="C39" s="3"/>
      <c r="D39" s="3"/>
      <c r="E39" s="3"/>
      <c r="F39" s="3"/>
      <c r="G39" s="3"/>
      <c r="H39" s="3"/>
      <c r="I39" s="3"/>
      <c r="J39" s="3"/>
    </row>
    <row r="40" spans="1:10">
      <c r="A40" s="15"/>
      <c r="B40" s="4"/>
      <c r="C40" s="3"/>
      <c r="D40" s="3"/>
      <c r="E40" s="3"/>
      <c r="F40" s="3"/>
      <c r="G40" s="3"/>
      <c r="H40" s="3"/>
      <c r="I40" s="3"/>
      <c r="J40" s="3"/>
    </row>
    <row r="41" spans="1:10">
      <c r="A41" s="15"/>
      <c r="B41" s="4"/>
      <c r="C41" s="3"/>
      <c r="D41" s="3"/>
      <c r="E41" s="3"/>
      <c r="F41" s="3"/>
      <c r="G41" s="3"/>
      <c r="H41" s="3"/>
      <c r="I41" s="3"/>
      <c r="J41" s="3"/>
    </row>
    <row r="42" spans="1:10">
      <c r="A42" s="15"/>
      <c r="B42" s="4"/>
      <c r="C42" s="3"/>
      <c r="D42" s="3"/>
      <c r="E42" s="3"/>
      <c r="F42" s="3"/>
      <c r="G42" s="3"/>
      <c r="H42" s="3"/>
      <c r="I42" s="3"/>
      <c r="J42" s="3"/>
    </row>
    <row r="43" spans="1:10">
      <c r="A43" s="15"/>
      <c r="B43" s="4"/>
      <c r="C43" s="3"/>
      <c r="D43" s="3"/>
      <c r="E43" s="3"/>
      <c r="F43" s="3"/>
      <c r="G43" s="3"/>
      <c r="H43" s="3"/>
      <c r="I43" s="3"/>
      <c r="J43" s="3"/>
    </row>
    <row r="44" spans="1:10">
      <c r="A44" s="15"/>
      <c r="B44" s="4"/>
      <c r="C44" s="3"/>
      <c r="D44" s="3"/>
      <c r="E44" s="3"/>
      <c r="F44" s="3"/>
      <c r="G44" s="3"/>
      <c r="H44" s="3"/>
      <c r="I44" s="3"/>
      <c r="J44" s="3"/>
    </row>
    <row r="45" spans="1:10">
      <c r="A45" s="15"/>
      <c r="B45" s="4"/>
      <c r="C45" s="3"/>
      <c r="D45" s="3"/>
      <c r="E45" s="3"/>
      <c r="F45" s="3"/>
      <c r="G45" s="3"/>
      <c r="H45" s="3"/>
      <c r="I45" s="3"/>
      <c r="J45" s="3"/>
    </row>
    <row r="46" spans="1:10">
      <c r="A46" s="15">
        <v>47</v>
      </c>
      <c r="B46" s="4"/>
      <c r="C46" s="3"/>
      <c r="D46" s="3"/>
      <c r="E46" s="3"/>
      <c r="F46" s="3"/>
      <c r="G46" s="3"/>
      <c r="H46" s="3"/>
      <c r="I46" s="3"/>
      <c r="J46" s="3"/>
    </row>
    <row r="47" spans="1:10">
      <c r="A47" s="15">
        <v>48</v>
      </c>
      <c r="B47" s="4"/>
      <c r="C47" s="3"/>
      <c r="D47" s="3"/>
      <c r="E47" s="3"/>
      <c r="F47" s="3"/>
      <c r="G47" s="3"/>
      <c r="H47" s="3"/>
      <c r="I47" s="3"/>
      <c r="J47" s="3"/>
    </row>
    <row r="48" spans="1:10">
      <c r="A48" s="15">
        <v>49</v>
      </c>
      <c r="B48" s="4"/>
      <c r="C48" s="3"/>
      <c r="D48" s="3"/>
      <c r="E48" s="3"/>
      <c r="F48" s="3"/>
      <c r="G48" s="3"/>
      <c r="H48" s="3"/>
      <c r="I48" s="3"/>
      <c r="J48" s="3"/>
    </row>
    <row r="49" s="67" customFormat="1" spans="1:10">
      <c r="A49" s="74"/>
      <c r="B49" s="86"/>
      <c r="C49" s="75"/>
      <c r="D49" s="75" t="s">
        <v>88</v>
      </c>
      <c r="E49" s="76">
        <f>SUM(E3:E48)</f>
        <v>1242352</v>
      </c>
      <c r="F49" s="75"/>
      <c r="G49" s="75"/>
      <c r="H49" s="75"/>
      <c r="I49" s="75"/>
      <c r="J49" s="75"/>
    </row>
    <row r="64" spans="1:10">
      <c r="H64">
        <v>13253.09</v>
      </c>
    </row>
    <row r="65" spans="8:8">
      <c r="H65">
        <v>1722.91</v>
      </c>
    </row>
  </sheetData>
  <sheetProtection formatCells="0" formatColumns="0" formatRows="0" insertRows="0" insertColumns="0" insertHyperlinks="0" deleteColumns="0" deleteRows="0" sort="0" autoFilter="0" pivotTables="0"/>
  <mergeCells count="1">
    <mergeCell ref="A1:I1"/>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6"/>
  <sheetViews>
    <sheetView tabSelected="1" workbookViewId="0">
      <pane ySplit="2" topLeftCell="A11" activePane="bottomLeft" state="frozen"/>
      <selection/>
      <selection pane="bottomLeft" activeCell="D29" sqref="D29"/>
    </sheetView>
  </sheetViews>
  <sheetFormatPr defaultColWidth="9" defaultRowHeight="13.5"/>
  <cols>
    <col min="2" max="2" width="12.5083333333333" style="18" customWidth="1"/>
    <col min="3" max="3" width="32.25" customWidth="1"/>
    <col min="4" max="4" width="22.25" customWidth="1"/>
    <col min="5" max="5" width="18.875" customWidth="1"/>
    <col min="6" max="6" width="13" customWidth="1"/>
    <col min="7" max="7" width="18.8666666666667" customWidth="1"/>
    <col min="9" max="9" width="11.6166666666667" customWidth="1"/>
  </cols>
  <sheetData>
    <row r="1" s="64" customFormat="1" ht="27" customHeight="1" spans="1:10">
      <c r="A1" s="19" t="s">
        <v>253</v>
      </c>
      <c r="B1" s="19"/>
      <c r="C1" s="19"/>
      <c r="D1" s="19"/>
      <c r="E1" s="19"/>
      <c r="F1" s="19"/>
      <c r="G1" s="19"/>
      <c r="H1" s="19"/>
      <c r="I1" s="19"/>
    </row>
    <row r="2" s="65" customFormat="1" ht="20.25" customHeight="1" spans="1:10">
      <c r="A2" s="5" t="s">
        <v>1</v>
      </c>
      <c r="B2" s="5" t="s">
        <v>2</v>
      </c>
      <c r="C2" s="6" t="s">
        <v>3</v>
      </c>
      <c r="D2" s="6" t="s">
        <v>4</v>
      </c>
      <c r="E2" s="68" t="s">
        <v>5</v>
      </c>
      <c r="F2" s="8" t="s">
        <v>6</v>
      </c>
      <c r="G2" s="6" t="s">
        <v>7</v>
      </c>
      <c r="H2" s="6" t="s">
        <v>8</v>
      </c>
      <c r="I2" s="6" t="s">
        <v>9</v>
      </c>
      <c r="J2" s="65" t="s">
        <v>10</v>
      </c>
    </row>
    <row r="3" ht="21" customHeight="1" spans="1:10">
      <c r="A3" s="15"/>
      <c r="B3" s="21">
        <v>46177</v>
      </c>
      <c r="C3" s="42" t="s">
        <v>254</v>
      </c>
      <c r="D3" s="42" t="s">
        <v>255</v>
      </c>
      <c r="E3" s="46">
        <v>21470</v>
      </c>
      <c r="F3" s="42" t="s">
        <v>13</v>
      </c>
      <c r="G3" s="42"/>
      <c r="H3" s="84"/>
      <c r="I3" s="3" t="s">
        <v>256</v>
      </c>
    </row>
    <row r="4" ht="21" customHeight="1" spans="1:10">
      <c r="A4" s="15"/>
      <c r="B4" s="21">
        <v>46184</v>
      </c>
      <c r="C4" s="42" t="s">
        <v>107</v>
      </c>
      <c r="D4" s="42" t="s">
        <v>257</v>
      </c>
      <c r="E4" s="46">
        <v>3250</v>
      </c>
      <c r="F4" s="42" t="s">
        <v>13</v>
      </c>
      <c r="G4" s="3"/>
      <c r="H4" s="3"/>
      <c r="I4" s="3" t="s">
        <v>258</v>
      </c>
    </row>
    <row r="5" ht="21" customHeight="1" spans="1:10">
      <c r="A5" s="15"/>
      <c r="B5" s="21">
        <v>46184</v>
      </c>
      <c r="C5" s="42" t="s">
        <v>259</v>
      </c>
      <c r="D5" s="42" t="s">
        <v>260</v>
      </c>
      <c r="E5" s="46">
        <v>24000</v>
      </c>
      <c r="F5" s="42" t="s">
        <v>16</v>
      </c>
      <c r="G5" s="3"/>
      <c r="H5" s="3"/>
      <c r="I5" s="3" t="s">
        <v>261</v>
      </c>
    </row>
    <row r="6" ht="21" customHeight="1" spans="1:10">
      <c r="A6" s="15"/>
      <c r="B6" s="21">
        <v>46184</v>
      </c>
      <c r="C6" s="42" t="s">
        <v>259</v>
      </c>
      <c r="D6" s="42" t="s">
        <v>262</v>
      </c>
      <c r="E6" s="46">
        <v>25600</v>
      </c>
      <c r="F6" s="42" t="s">
        <v>16</v>
      </c>
      <c r="G6" s="3"/>
      <c r="H6" s="3"/>
      <c r="I6" s="3" t="s">
        <v>263</v>
      </c>
    </row>
    <row r="7" ht="21" customHeight="1" spans="1:10">
      <c r="A7" s="15"/>
      <c r="B7" s="21">
        <v>46184</v>
      </c>
      <c r="C7" s="42" t="s">
        <v>259</v>
      </c>
      <c r="D7" s="42" t="s">
        <v>264</v>
      </c>
      <c r="E7" s="46">
        <v>55800</v>
      </c>
      <c r="F7" s="42" t="s">
        <v>16</v>
      </c>
      <c r="G7" s="3"/>
      <c r="H7" s="3"/>
      <c r="I7" s="3" t="s">
        <v>265</v>
      </c>
    </row>
    <row r="8" ht="21" customHeight="1" spans="1:10">
      <c r="A8" s="15"/>
      <c r="B8" s="21">
        <v>46184</v>
      </c>
      <c r="C8" s="42" t="s">
        <v>259</v>
      </c>
      <c r="D8" s="42" t="s">
        <v>264</v>
      </c>
      <c r="E8" s="46">
        <v>69750</v>
      </c>
      <c r="F8" s="42" t="s">
        <v>16</v>
      </c>
      <c r="G8" s="3"/>
      <c r="H8" s="3"/>
      <c r="I8" s="3" t="s">
        <v>265</v>
      </c>
    </row>
    <row r="9" ht="21" customHeight="1" spans="1:10">
      <c r="A9" s="15"/>
      <c r="B9" s="21">
        <v>46191</v>
      </c>
      <c r="C9" s="42" t="s">
        <v>28</v>
      </c>
      <c r="D9" s="42" t="s">
        <v>266</v>
      </c>
      <c r="E9" s="46">
        <v>21800</v>
      </c>
      <c r="F9" s="42" t="s">
        <v>16</v>
      </c>
      <c r="G9" s="3" t="s">
        <v>36</v>
      </c>
      <c r="H9" s="3"/>
      <c r="I9" s="3" t="s">
        <v>267</v>
      </c>
    </row>
    <row r="10" ht="21" customHeight="1" spans="1:10">
      <c r="A10" s="15"/>
      <c r="B10" s="21">
        <v>46191</v>
      </c>
      <c r="C10" s="42" t="s">
        <v>268</v>
      </c>
      <c r="D10" s="42" t="s">
        <v>269</v>
      </c>
      <c r="E10" s="46">
        <v>24000</v>
      </c>
      <c r="F10" s="42" t="s">
        <v>229</v>
      </c>
      <c r="G10" s="3"/>
      <c r="H10" s="3"/>
      <c r="I10" s="3" t="s">
        <v>270</v>
      </c>
    </row>
    <row r="11" ht="21" customHeight="1" spans="1:10">
      <c r="A11" s="15"/>
      <c r="B11" s="21">
        <v>46198</v>
      </c>
      <c r="C11" s="42" t="s">
        <v>104</v>
      </c>
      <c r="D11" s="42" t="s">
        <v>135</v>
      </c>
      <c r="E11" s="46">
        <v>270676</v>
      </c>
      <c r="F11" s="42" t="s">
        <v>16</v>
      </c>
      <c r="G11" s="3" t="s">
        <v>36</v>
      </c>
      <c r="H11" s="3"/>
      <c r="I11" s="3" t="s">
        <v>136</v>
      </c>
    </row>
    <row r="12" ht="21" customHeight="1" spans="1:10">
      <c r="A12" s="15"/>
      <c r="B12" s="21">
        <v>46198</v>
      </c>
      <c r="C12" s="42" t="s">
        <v>104</v>
      </c>
      <c r="D12" s="42" t="s">
        <v>135</v>
      </c>
      <c r="E12" s="46">
        <v>208084.39</v>
      </c>
      <c r="F12" s="42" t="s">
        <v>16</v>
      </c>
      <c r="G12" s="3" t="s">
        <v>36</v>
      </c>
      <c r="H12" s="3"/>
      <c r="I12" s="3" t="s">
        <v>136</v>
      </c>
    </row>
    <row r="13" ht="21" customHeight="1" spans="1:10">
      <c r="A13" s="15"/>
      <c r="B13" s="21">
        <v>46198</v>
      </c>
      <c r="C13" s="42" t="s">
        <v>104</v>
      </c>
      <c r="D13" s="42" t="s">
        <v>135</v>
      </c>
      <c r="E13" s="46">
        <v>100000</v>
      </c>
      <c r="F13" s="42" t="s">
        <v>16</v>
      </c>
      <c r="G13" s="3" t="s">
        <v>36</v>
      </c>
      <c r="H13" s="3"/>
      <c r="I13" s="3" t="s">
        <v>136</v>
      </c>
    </row>
    <row r="14" ht="21" customHeight="1" spans="1:10">
      <c r="A14" s="15"/>
      <c r="B14" s="21">
        <v>46198</v>
      </c>
      <c r="C14" s="42" t="s">
        <v>104</v>
      </c>
      <c r="D14" s="42" t="s">
        <v>135</v>
      </c>
      <c r="E14" s="46">
        <v>239.61</v>
      </c>
      <c r="F14" s="42" t="s">
        <v>16</v>
      </c>
      <c r="G14" s="3"/>
      <c r="H14" s="3"/>
      <c r="I14" s="3" t="s">
        <v>136</v>
      </c>
    </row>
    <row r="15" ht="21" customHeight="1" spans="1:10">
      <c r="A15" s="15"/>
      <c r="B15" s="21">
        <v>46198</v>
      </c>
      <c r="C15" s="42" t="s">
        <v>115</v>
      </c>
      <c r="D15" s="42" t="s">
        <v>116</v>
      </c>
      <c r="E15" s="46">
        <v>170000</v>
      </c>
      <c r="F15" s="42" t="s">
        <v>16</v>
      </c>
      <c r="G15" s="3" t="s">
        <v>36</v>
      </c>
      <c r="H15" s="3"/>
      <c r="I15" s="3" t="s">
        <v>117</v>
      </c>
    </row>
    <row r="16" ht="21" customHeight="1" spans="1:10">
      <c r="A16" s="15"/>
      <c r="B16" s="21">
        <v>46199</v>
      </c>
      <c r="C16" s="42" t="s">
        <v>142</v>
      </c>
      <c r="D16" s="42" t="s">
        <v>143</v>
      </c>
      <c r="E16" s="46">
        <v>28000</v>
      </c>
      <c r="F16" s="42" t="s">
        <v>16</v>
      </c>
      <c r="G16" s="3"/>
      <c r="H16" s="3"/>
      <c r="I16" s="3" t="s">
        <v>144</v>
      </c>
    </row>
    <row r="17" ht="21" customHeight="1" spans="1:9">
      <c r="A17" s="15"/>
      <c r="B17" s="21">
        <v>46202</v>
      </c>
      <c r="C17" s="42" t="s">
        <v>271</v>
      </c>
      <c r="D17" s="42" t="s">
        <v>272</v>
      </c>
      <c r="E17" s="46">
        <v>194678.2</v>
      </c>
      <c r="F17" s="42" t="s">
        <v>16</v>
      </c>
      <c r="G17" s="3" t="s">
        <v>36</v>
      </c>
      <c r="H17" s="3"/>
      <c r="I17" s="3" t="s">
        <v>273</v>
      </c>
    </row>
    <row r="18" ht="21" customHeight="1" spans="1:9">
      <c r="A18" s="15"/>
      <c r="B18" s="21">
        <v>46203</v>
      </c>
      <c r="C18" s="42" t="s">
        <v>274</v>
      </c>
      <c r="D18" s="42" t="s">
        <v>275</v>
      </c>
      <c r="E18" s="46">
        <v>10244</v>
      </c>
      <c r="F18" s="42" t="s">
        <v>276</v>
      </c>
      <c r="G18" s="3"/>
      <c r="H18" s="3"/>
      <c r="I18" s="3" t="s">
        <v>277</v>
      </c>
    </row>
    <row r="19" spans="1:9">
      <c r="A19" s="15"/>
      <c r="B19" s="87"/>
      <c r="C19" s="88"/>
      <c r="D19" s="88"/>
      <c r="E19" s="89"/>
      <c r="F19" s="90"/>
      <c r="G19" s="88"/>
      <c r="H19" s="88"/>
      <c r="I19" s="88"/>
    </row>
    <row r="20" spans="1:9">
      <c r="A20" s="15"/>
      <c r="B20" s="4"/>
      <c r="C20" s="3"/>
      <c r="D20" s="3"/>
      <c r="E20" s="3"/>
      <c r="F20" s="3"/>
      <c r="G20" s="3"/>
      <c r="H20" s="3"/>
      <c r="I20" s="3"/>
    </row>
    <row r="21" spans="1:9">
      <c r="A21" s="15"/>
      <c r="B21" s="4"/>
      <c r="C21" s="3"/>
      <c r="D21" s="3"/>
      <c r="E21" s="3"/>
      <c r="F21" s="3"/>
      <c r="G21" s="3"/>
      <c r="H21" s="3"/>
      <c r="I21" s="3"/>
    </row>
    <row r="22" spans="1:9">
      <c r="A22" s="15"/>
      <c r="B22" s="4"/>
      <c r="C22" s="3"/>
      <c r="D22" s="3"/>
      <c r="E22" s="3"/>
      <c r="F22" s="3"/>
      <c r="G22" s="3"/>
      <c r="H22" s="3"/>
      <c r="I22" s="3"/>
    </row>
    <row r="23" spans="1:9">
      <c r="A23" s="15"/>
      <c r="B23" s="4"/>
      <c r="C23" s="3"/>
      <c r="D23" s="3"/>
      <c r="E23" s="3"/>
      <c r="F23" s="3"/>
      <c r="G23" s="3"/>
      <c r="H23" s="3"/>
      <c r="I23" s="3"/>
    </row>
    <row r="24" spans="1:9">
      <c r="A24" s="15"/>
      <c r="B24" s="4"/>
      <c r="C24" s="3"/>
      <c r="D24" s="3"/>
      <c r="E24" s="3"/>
      <c r="F24" s="3"/>
      <c r="G24" s="3"/>
      <c r="H24" s="3"/>
      <c r="I24" s="3"/>
    </row>
    <row r="25" spans="1:9">
      <c r="A25" s="15"/>
      <c r="B25" s="4"/>
      <c r="C25" s="3"/>
      <c r="D25" s="3"/>
      <c r="E25" s="3"/>
      <c r="F25" s="3"/>
      <c r="G25" s="3"/>
      <c r="H25" s="3"/>
      <c r="I25" s="3"/>
    </row>
    <row r="26" spans="1:9">
      <c r="A26" s="15"/>
      <c r="B26" s="4"/>
      <c r="C26" s="3"/>
      <c r="D26" s="3"/>
      <c r="E26" s="3"/>
      <c r="F26" s="3"/>
      <c r="G26" s="3"/>
      <c r="H26" s="3"/>
      <c r="I26" s="3"/>
    </row>
    <row r="27" spans="1:9">
      <c r="A27" s="15"/>
      <c r="B27" s="4"/>
      <c r="C27" s="3"/>
      <c r="D27" s="3"/>
      <c r="E27" s="3"/>
      <c r="F27" s="3"/>
      <c r="G27" s="3"/>
      <c r="H27" s="3"/>
      <c r="I27" s="3"/>
    </row>
    <row r="28" spans="1:9">
      <c r="A28" s="15"/>
      <c r="B28" s="4"/>
      <c r="C28" s="3"/>
      <c r="D28" s="3"/>
      <c r="E28" s="3"/>
      <c r="F28" s="3"/>
      <c r="G28" s="3"/>
      <c r="H28" s="3"/>
      <c r="I28" s="3"/>
    </row>
    <row r="29" spans="1:9">
      <c r="A29" s="15"/>
      <c r="B29" s="4"/>
      <c r="C29" s="3"/>
      <c r="D29" s="3"/>
      <c r="E29" s="3"/>
      <c r="F29" s="3"/>
      <c r="G29" s="3"/>
      <c r="H29" s="3"/>
      <c r="I29" s="3"/>
    </row>
    <row r="30" spans="1:9">
      <c r="A30" s="15"/>
      <c r="B30" s="4"/>
      <c r="C30" s="3"/>
      <c r="D30" s="3"/>
      <c r="E30" s="3"/>
      <c r="F30" s="3"/>
      <c r="G30" s="3"/>
      <c r="H30" s="3"/>
      <c r="I30" s="3"/>
    </row>
    <row r="31" spans="1:9">
      <c r="A31" s="15"/>
      <c r="B31" s="4"/>
      <c r="C31" s="3"/>
      <c r="D31" s="3"/>
      <c r="E31" s="3"/>
      <c r="F31" s="3"/>
      <c r="G31" s="3"/>
      <c r="H31" s="3"/>
      <c r="I31" s="3"/>
    </row>
    <row r="32" spans="1:9">
      <c r="A32" s="15"/>
      <c r="B32" s="4"/>
      <c r="C32" s="3"/>
      <c r="D32" s="3"/>
      <c r="E32" s="3"/>
      <c r="F32" s="3"/>
      <c r="G32" s="3"/>
      <c r="H32" s="3"/>
      <c r="I32" s="3"/>
    </row>
    <row r="33" spans="1:9">
      <c r="A33" s="15"/>
      <c r="B33" s="4"/>
      <c r="C33" s="3"/>
      <c r="D33" s="3"/>
      <c r="E33" s="3"/>
      <c r="F33" s="3"/>
      <c r="G33" s="3"/>
      <c r="H33" s="3"/>
      <c r="I33" s="3"/>
    </row>
    <row r="34" spans="1:9">
      <c r="A34" s="15"/>
      <c r="B34" s="4"/>
      <c r="C34" s="3"/>
      <c r="D34" s="3"/>
      <c r="E34" s="3"/>
      <c r="F34" s="3"/>
      <c r="G34" s="3"/>
      <c r="H34" s="3"/>
      <c r="I34" s="3"/>
    </row>
    <row r="35" spans="1:9">
      <c r="A35" s="15">
        <v>32</v>
      </c>
      <c r="B35" s="4"/>
      <c r="C35" s="3"/>
      <c r="D35" s="3"/>
      <c r="E35" s="3"/>
      <c r="F35" s="3"/>
      <c r="G35" s="3"/>
      <c r="H35" s="3"/>
      <c r="I35" s="3"/>
    </row>
    <row r="36" s="67" customFormat="1" spans="1:9">
      <c r="A36" s="74">
        <v>33</v>
      </c>
      <c r="B36" s="86"/>
      <c r="C36" s="75"/>
      <c r="D36" s="75" t="s">
        <v>88</v>
      </c>
      <c r="E36" s="76">
        <f>SUM(E3:E35)</f>
        <v>1227592.2</v>
      </c>
      <c r="F36" s="75"/>
      <c r="G36" s="75"/>
      <c r="H36" s="75"/>
      <c r="I36" s="75"/>
    </row>
  </sheetData>
  <sheetProtection formatCells="0" formatColumns="0" formatRows="0" insertRows="0" insertColumns="0" insertHyperlinks="0" deleteColumns="0" deleteRows="0" sort="0" autoFilter="0" pivotTables="0"/>
  <mergeCells count="1">
    <mergeCell ref="A1:I1"/>
  </mergeCells>
  <dataValidations count="1">
    <dataValidation allowBlank="1" showInputMessage="1" showErrorMessage="1" sqref="I9"/>
  </dataValidation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9"/>
  <sheetViews>
    <sheetView workbookViewId="0">
      <pane ySplit="2" topLeftCell="A24" activePane="bottomLeft" state="frozen"/>
      <selection/>
      <selection pane="bottomLeft" activeCell="A3" sqref="A3:G43"/>
    </sheetView>
  </sheetViews>
  <sheetFormatPr defaultColWidth="9" defaultRowHeight="13.5"/>
  <cols>
    <col min="2" max="2" width="12.5083333333333" style="18" customWidth="1"/>
    <col min="3" max="3" width="43.425"/>
    <col min="4" max="4" width="25.2916666666667"/>
    <col min="5" max="5" width="17.9916666666667" customWidth="1"/>
    <col min="6" max="6" width="13" customWidth="1"/>
    <col min="7" max="7" width="18.8666666666667" customWidth="1"/>
    <col min="9" max="9" width="11.6166666666667" customWidth="1"/>
  </cols>
  <sheetData>
    <row r="1" s="64" customFormat="1" ht="27" customHeight="1" spans="1:10">
      <c r="A1" s="19" t="s">
        <v>278</v>
      </c>
      <c r="B1" s="19"/>
      <c r="C1" s="19"/>
      <c r="D1" s="19"/>
      <c r="E1" s="19"/>
      <c r="F1" s="19"/>
      <c r="G1" s="19"/>
      <c r="H1" s="19"/>
      <c r="I1" s="19"/>
    </row>
    <row r="2" s="65" customFormat="1" ht="20.25" customHeight="1" spans="1:10">
      <c r="A2" s="5" t="s">
        <v>1</v>
      </c>
      <c r="B2" s="5" t="s">
        <v>2</v>
      </c>
      <c r="C2" s="6" t="s">
        <v>3</v>
      </c>
      <c r="D2" s="6" t="s">
        <v>4</v>
      </c>
      <c r="E2" s="68" t="s">
        <v>5</v>
      </c>
      <c r="F2" s="8" t="s">
        <v>6</v>
      </c>
      <c r="G2" s="6" t="s">
        <v>7</v>
      </c>
      <c r="H2" s="6" t="s">
        <v>8</v>
      </c>
      <c r="I2" s="6" t="s">
        <v>9</v>
      </c>
      <c r="J2" s="65" t="s">
        <v>10</v>
      </c>
    </row>
    <row r="3" spans="1:10">
      <c r="A3" s="15"/>
      <c r="B3" s="21"/>
      <c r="C3" s="42"/>
      <c r="D3" s="42"/>
      <c r="E3" s="46"/>
      <c r="F3" s="42"/>
      <c r="G3" s="42"/>
      <c r="H3" s="84" t="s">
        <v>279</v>
      </c>
      <c r="I3" s="3" t="s">
        <v>280</v>
      </c>
    </row>
    <row r="4" spans="1:10">
      <c r="A4" s="15"/>
      <c r="B4" s="21"/>
      <c r="C4" s="42"/>
      <c r="D4" s="42"/>
      <c r="E4" s="46"/>
      <c r="F4" s="42"/>
      <c r="G4" s="3"/>
      <c r="H4" s="3" t="s">
        <v>281</v>
      </c>
      <c r="I4" s="3" t="s">
        <v>282</v>
      </c>
      <c r="J4" t="s">
        <v>191</v>
      </c>
    </row>
    <row r="5" spans="1:10">
      <c r="A5" s="15"/>
      <c r="B5" s="21"/>
      <c r="C5" s="42"/>
      <c r="D5" s="42"/>
      <c r="E5" s="46"/>
      <c r="F5" s="42"/>
      <c r="G5" s="3"/>
      <c r="H5" s="3" t="s">
        <v>279</v>
      </c>
      <c r="I5" s="3" t="s">
        <v>283</v>
      </c>
    </row>
    <row r="6" spans="1:10">
      <c r="A6" s="15"/>
      <c r="B6" s="21"/>
      <c r="C6" s="42"/>
      <c r="D6" s="3"/>
      <c r="E6" s="85"/>
      <c r="F6" s="42"/>
      <c r="G6" s="42"/>
      <c r="H6" s="3" t="s">
        <v>279</v>
      </c>
      <c r="I6" s="3" t="s">
        <v>147</v>
      </c>
    </row>
    <row r="7" spans="1:10">
      <c r="A7" s="15"/>
      <c r="B7" s="4"/>
      <c r="C7" s="3"/>
      <c r="D7" s="3"/>
      <c r="E7" s="3"/>
      <c r="F7" s="3"/>
      <c r="G7" s="3"/>
      <c r="H7" s="3" t="s">
        <v>281</v>
      </c>
      <c r="I7" s="3" t="s">
        <v>284</v>
      </c>
    </row>
    <row r="8" spans="1:10">
      <c r="A8" s="15"/>
      <c r="B8" s="4"/>
      <c r="C8" s="3"/>
      <c r="D8" s="3"/>
      <c r="E8" s="3"/>
      <c r="F8" s="3"/>
      <c r="G8" s="3"/>
      <c r="H8" s="3" t="s">
        <v>285</v>
      </c>
      <c r="I8" s="3" t="s">
        <v>286</v>
      </c>
    </row>
    <row r="9" spans="1:10">
      <c r="A9" s="15"/>
      <c r="B9" s="4"/>
      <c r="C9" s="3"/>
      <c r="D9" s="3"/>
      <c r="E9" s="3"/>
      <c r="F9" s="3"/>
      <c r="G9" s="3"/>
      <c r="H9" s="3" t="s">
        <v>287</v>
      </c>
      <c r="I9" s="3" t="s">
        <v>288</v>
      </c>
    </row>
    <row r="10" spans="1:10">
      <c r="A10" s="15"/>
      <c r="B10" s="4"/>
      <c r="C10" s="3"/>
      <c r="D10" s="3"/>
      <c r="E10" s="3"/>
      <c r="F10" s="3"/>
      <c r="G10" s="3"/>
      <c r="H10" s="3" t="s">
        <v>285</v>
      </c>
      <c r="I10" s="3" t="s">
        <v>289</v>
      </c>
    </row>
    <row r="11" spans="1:10">
      <c r="A11" s="15"/>
      <c r="B11" s="4"/>
      <c r="C11" s="3"/>
      <c r="D11" s="3"/>
      <c r="E11" s="3"/>
      <c r="F11" s="3"/>
      <c r="G11" s="3"/>
      <c r="H11" s="3" t="s">
        <v>285</v>
      </c>
      <c r="I11" s="3" t="s">
        <v>290</v>
      </c>
    </row>
    <row r="12" spans="1:10">
      <c r="A12" s="15"/>
      <c r="B12" s="4"/>
      <c r="C12" s="3"/>
      <c r="D12" s="3"/>
      <c r="E12" s="3"/>
      <c r="F12" s="3"/>
      <c r="G12" s="3"/>
      <c r="H12" s="3" t="s">
        <v>291</v>
      </c>
      <c r="I12" s="3" t="s">
        <v>292</v>
      </c>
    </row>
    <row r="13" spans="1:10">
      <c r="A13" s="15"/>
      <c r="B13" s="4"/>
      <c r="C13" s="3"/>
      <c r="D13" s="3"/>
      <c r="E13" s="3"/>
      <c r="F13" s="3"/>
      <c r="G13" s="3"/>
      <c r="H13" s="3" t="s">
        <v>293</v>
      </c>
      <c r="I13" s="3" t="s">
        <v>294</v>
      </c>
    </row>
    <row r="14" spans="1:10">
      <c r="A14" s="15"/>
      <c r="B14" s="4"/>
      <c r="C14" s="3"/>
      <c r="D14" s="3"/>
      <c r="E14" s="3"/>
      <c r="F14" s="3"/>
      <c r="G14" s="3"/>
      <c r="H14" s="3" t="s">
        <v>285</v>
      </c>
      <c r="I14" s="3" t="s">
        <v>295</v>
      </c>
    </row>
    <row r="15" spans="1:10">
      <c r="A15" s="15"/>
      <c r="B15" s="4"/>
      <c r="C15" s="3"/>
      <c r="D15" s="3"/>
      <c r="E15" s="3"/>
      <c r="F15" s="3"/>
      <c r="G15" s="3"/>
      <c r="H15" s="3" t="s">
        <v>285</v>
      </c>
      <c r="I15" s="3" t="s">
        <v>296</v>
      </c>
    </row>
    <row r="16" spans="1:10">
      <c r="A16" s="15"/>
      <c r="B16" s="4"/>
      <c r="C16" s="3"/>
      <c r="D16" s="3"/>
      <c r="E16" s="3"/>
      <c r="F16" s="3"/>
      <c r="G16" s="3"/>
      <c r="H16" s="3" t="s">
        <v>291</v>
      </c>
      <c r="I16" s="3" t="s">
        <v>292</v>
      </c>
    </row>
    <row r="17" spans="1:9">
      <c r="A17" s="15"/>
      <c r="B17" s="4"/>
      <c r="C17" s="3"/>
      <c r="D17" s="3"/>
      <c r="E17" s="3"/>
      <c r="F17" s="3"/>
      <c r="G17" s="3"/>
      <c r="H17" s="3" t="s">
        <v>285</v>
      </c>
      <c r="I17" s="3" t="s">
        <v>297</v>
      </c>
    </row>
    <row r="18" spans="1:9">
      <c r="A18" s="15"/>
      <c r="B18" s="4"/>
      <c r="C18" s="3"/>
      <c r="D18" s="3"/>
      <c r="E18" s="3"/>
      <c r="F18" s="3"/>
      <c r="G18" s="3"/>
      <c r="H18" s="3" t="s">
        <v>285</v>
      </c>
      <c r="I18" s="3" t="s">
        <v>298</v>
      </c>
    </row>
    <row r="19" spans="1:9">
      <c r="A19" s="15"/>
      <c r="B19" s="4"/>
      <c r="C19" s="3"/>
      <c r="D19" s="3"/>
      <c r="E19" s="3"/>
      <c r="F19" s="3"/>
      <c r="G19" s="3"/>
      <c r="H19" s="3" t="s">
        <v>285</v>
      </c>
      <c r="I19" s="3" t="s">
        <v>299</v>
      </c>
    </row>
    <row r="20" spans="1:9">
      <c r="A20" s="15"/>
      <c r="B20" s="4"/>
      <c r="C20" s="3"/>
      <c r="D20" s="3"/>
      <c r="E20" s="3"/>
      <c r="F20" s="3"/>
      <c r="G20" s="3"/>
      <c r="H20" s="3" t="s">
        <v>285</v>
      </c>
      <c r="I20" s="3" t="s">
        <v>300</v>
      </c>
    </row>
    <row r="21" spans="1:9">
      <c r="A21" s="15"/>
      <c r="B21" s="4"/>
      <c r="C21" s="3"/>
      <c r="D21" s="3"/>
      <c r="E21" s="3"/>
      <c r="F21" s="3"/>
      <c r="G21" s="3"/>
      <c r="H21" s="3" t="s">
        <v>285</v>
      </c>
      <c r="I21" s="3" t="s">
        <v>301</v>
      </c>
    </row>
    <row r="22" spans="1:9">
      <c r="A22" s="15"/>
      <c r="B22" s="4"/>
      <c r="C22" s="3"/>
      <c r="D22" s="3"/>
      <c r="E22" s="3"/>
      <c r="F22" s="3"/>
      <c r="G22" s="3"/>
      <c r="H22" s="3" t="s">
        <v>285</v>
      </c>
      <c r="I22" s="3" t="s">
        <v>302</v>
      </c>
    </row>
    <row r="23" spans="1:9">
      <c r="A23" s="15"/>
      <c r="B23" s="4"/>
      <c r="C23" s="3"/>
      <c r="D23" s="3"/>
      <c r="E23" s="3"/>
      <c r="F23" s="3"/>
      <c r="G23" s="3"/>
      <c r="H23" s="3" t="s">
        <v>279</v>
      </c>
      <c r="I23" s="3" t="s">
        <v>303</v>
      </c>
    </row>
    <row r="24" spans="1:9">
      <c r="A24" s="15"/>
      <c r="B24" s="4"/>
      <c r="C24" s="3"/>
      <c r="D24" s="3"/>
      <c r="E24" s="3"/>
      <c r="F24" s="3"/>
      <c r="G24" s="3"/>
      <c r="H24" s="3" t="s">
        <v>279</v>
      </c>
      <c r="I24" s="3" t="s">
        <v>304</v>
      </c>
    </row>
    <row r="25" spans="1:9">
      <c r="A25" s="15"/>
      <c r="B25" s="4"/>
      <c r="C25" s="3"/>
      <c r="D25" s="3"/>
      <c r="E25" s="3"/>
      <c r="F25" s="3"/>
      <c r="G25" s="3"/>
      <c r="H25" s="3" t="s">
        <v>279</v>
      </c>
      <c r="I25" s="3" t="s">
        <v>305</v>
      </c>
    </row>
    <row r="26" spans="1:9">
      <c r="A26" s="15"/>
      <c r="B26" s="4"/>
      <c r="C26" s="3"/>
      <c r="D26" s="3"/>
      <c r="E26" s="3"/>
      <c r="F26" s="3"/>
      <c r="G26" s="3"/>
      <c r="H26" s="3" t="s">
        <v>279</v>
      </c>
      <c r="I26" s="3" t="s">
        <v>306</v>
      </c>
    </row>
    <row r="27" spans="1:9">
      <c r="A27" s="15"/>
      <c r="B27" s="4"/>
      <c r="C27" s="3"/>
      <c r="D27" s="3"/>
      <c r="E27" s="3"/>
      <c r="F27" s="3"/>
      <c r="G27" s="3"/>
      <c r="H27" s="3" t="s">
        <v>307</v>
      </c>
      <c r="I27" s="3" t="s">
        <v>308</v>
      </c>
    </row>
    <row r="28" spans="1:9">
      <c r="A28" s="15"/>
      <c r="B28" s="4"/>
      <c r="C28" s="3"/>
      <c r="D28" s="3"/>
      <c r="E28" s="3"/>
      <c r="F28" s="3"/>
      <c r="G28" s="3"/>
      <c r="H28" s="3" t="s">
        <v>291</v>
      </c>
      <c r="I28" s="3" t="s">
        <v>309</v>
      </c>
    </row>
    <row r="29" spans="1:9">
      <c r="A29" s="15"/>
      <c r="B29" s="4"/>
      <c r="C29" s="3"/>
      <c r="D29" s="3"/>
      <c r="E29" s="3"/>
      <c r="F29" s="3"/>
      <c r="G29" s="3"/>
      <c r="H29" s="3" t="s">
        <v>281</v>
      </c>
      <c r="I29" s="3" t="s">
        <v>310</v>
      </c>
    </row>
    <row r="30" spans="1:9">
      <c r="A30" s="15"/>
      <c r="B30" s="4"/>
      <c r="C30" s="3"/>
      <c r="D30" s="3"/>
      <c r="E30" s="3"/>
      <c r="F30" s="3"/>
      <c r="G30" s="3"/>
      <c r="H30" s="3" t="s">
        <v>311</v>
      </c>
      <c r="I30" s="3" t="s">
        <v>312</v>
      </c>
    </row>
    <row r="31" spans="1:9">
      <c r="A31" s="15"/>
      <c r="B31" s="4"/>
      <c r="C31" s="3"/>
      <c r="D31" s="3"/>
      <c r="E31" s="3"/>
      <c r="F31" s="3"/>
      <c r="G31" s="3"/>
      <c r="H31" s="3" t="s">
        <v>313</v>
      </c>
      <c r="I31" s="3" t="s">
        <v>206</v>
      </c>
    </row>
    <row r="32" spans="1:9">
      <c r="A32" s="15"/>
      <c r="B32" s="4"/>
      <c r="C32" s="3"/>
      <c r="D32" s="3"/>
      <c r="E32" s="3"/>
      <c r="F32" s="3"/>
      <c r="G32" s="3"/>
      <c r="H32" s="3" t="s">
        <v>313</v>
      </c>
      <c r="I32" s="3" t="s">
        <v>206</v>
      </c>
    </row>
    <row r="33" spans="1:9">
      <c r="A33" s="15"/>
      <c r="B33" s="4"/>
      <c r="C33" s="3"/>
      <c r="D33" s="3"/>
      <c r="E33" s="3"/>
      <c r="F33" s="3"/>
      <c r="G33" s="3"/>
      <c r="H33" s="3" t="s">
        <v>279</v>
      </c>
      <c r="I33" s="3" t="s">
        <v>314</v>
      </c>
    </row>
    <row r="34" spans="1:9">
      <c r="A34" s="15"/>
      <c r="B34" s="4"/>
      <c r="C34" s="3"/>
      <c r="D34" s="3"/>
      <c r="E34" s="3"/>
      <c r="F34" s="3"/>
      <c r="G34" s="3"/>
      <c r="H34" s="3"/>
      <c r="I34" s="3"/>
    </row>
    <row r="35" spans="1:9">
      <c r="A35" s="15"/>
      <c r="B35" s="4"/>
      <c r="C35" s="3"/>
      <c r="D35" s="3"/>
      <c r="E35" s="3"/>
      <c r="F35" s="3"/>
      <c r="G35" s="3"/>
      <c r="H35" s="3"/>
      <c r="I35" s="3"/>
    </row>
    <row r="36" spans="1:9">
      <c r="A36" s="15"/>
      <c r="B36" s="4"/>
      <c r="C36" s="3"/>
      <c r="D36" s="3"/>
      <c r="E36" s="3"/>
      <c r="F36" s="3"/>
      <c r="G36" s="3"/>
      <c r="H36" s="3"/>
      <c r="I36" s="3"/>
    </row>
    <row r="37" spans="1:9">
      <c r="A37" s="15"/>
      <c r="B37" s="4"/>
      <c r="C37" s="3"/>
      <c r="D37" s="3"/>
      <c r="E37" s="3"/>
      <c r="F37" s="3"/>
      <c r="G37" s="3"/>
      <c r="H37" s="3"/>
      <c r="I37" s="3"/>
    </row>
    <row r="38" spans="1:9">
      <c r="A38" s="15"/>
      <c r="B38" s="4"/>
      <c r="C38" s="3"/>
      <c r="D38" s="3"/>
      <c r="E38" s="3"/>
      <c r="F38" s="3"/>
      <c r="G38" s="3"/>
      <c r="H38" s="3"/>
      <c r="I38" s="3"/>
    </row>
    <row r="39" spans="1:9">
      <c r="A39" s="15"/>
      <c r="B39" s="4"/>
      <c r="C39" s="3"/>
      <c r="D39" s="3"/>
      <c r="E39" s="3"/>
      <c r="F39" s="3"/>
      <c r="G39" s="3"/>
      <c r="H39" s="3"/>
      <c r="I39" s="3"/>
    </row>
    <row r="40" spans="1:9">
      <c r="A40" s="15"/>
      <c r="B40" s="4"/>
      <c r="C40" s="3"/>
      <c r="D40" s="3"/>
      <c r="E40" s="3"/>
      <c r="F40" s="3"/>
      <c r="G40" s="3"/>
      <c r="H40" s="3"/>
      <c r="I40" s="3"/>
    </row>
    <row r="41" spans="1:9">
      <c r="A41" s="15"/>
      <c r="B41" s="4"/>
      <c r="C41" s="3"/>
      <c r="D41" s="3"/>
      <c r="E41" s="3"/>
      <c r="F41" s="3"/>
      <c r="G41" s="3"/>
      <c r="H41" s="3"/>
      <c r="I41" s="3"/>
    </row>
    <row r="42" spans="1:9">
      <c r="A42" s="15"/>
      <c r="B42" s="4"/>
      <c r="C42" s="3"/>
      <c r="D42" s="3"/>
      <c r="E42" s="3"/>
      <c r="F42" s="3"/>
      <c r="G42" s="3"/>
      <c r="H42" s="3"/>
      <c r="I42" s="3"/>
    </row>
    <row r="43" spans="1:9">
      <c r="A43" s="15"/>
      <c r="B43" s="4"/>
      <c r="C43" s="3"/>
      <c r="D43" s="3"/>
      <c r="E43" s="3"/>
      <c r="F43" s="3"/>
      <c r="G43" s="3"/>
      <c r="H43" s="3"/>
      <c r="I43" s="3"/>
    </row>
    <row r="44" s="67" customFormat="1" spans="1:9">
      <c r="A44" s="74">
        <v>33</v>
      </c>
      <c r="B44" s="86"/>
      <c r="C44" s="75"/>
      <c r="D44" s="75" t="s">
        <v>88</v>
      </c>
      <c r="E44" s="76">
        <f>SUM(E3:E43)</f>
        <v>0</v>
      </c>
      <c r="F44" s="75"/>
      <c r="G44" s="75"/>
      <c r="H44" s="75"/>
      <c r="I44" s="75"/>
    </row>
    <row r="47" spans="1:9">
      <c r="B47"/>
    </row>
    <row r="48" spans="1:9">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sheetData>
  <sheetProtection formatCells="0" formatColumns="0" formatRows="0" insertRows="0" insertColumns="0" insertHyperlinks="0" deleteColumns="0" deleteRows="0" sort="0" autoFilter="0" pivotTables="0"/>
  <mergeCells count="1">
    <mergeCell ref="A1:I1"/>
  </mergeCell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4"/>
  <sheetViews>
    <sheetView workbookViewId="0">
      <pane ySplit="2" topLeftCell="A49" activePane="bottomLeft" state="frozen"/>
      <selection/>
      <selection pane="bottomLeft" activeCell="A3" sqref="A3:I69"/>
    </sheetView>
  </sheetViews>
  <sheetFormatPr defaultColWidth="9" defaultRowHeight="13.5"/>
  <cols>
    <col min="2" max="2" width="12.5083333333333" customWidth="1"/>
    <col min="3" max="3" width="39.625" customWidth="1"/>
    <col min="4" max="4" width="22.25" customWidth="1"/>
    <col min="5" max="5" width="17.375" customWidth="1"/>
    <col min="6" max="6" width="13" customWidth="1"/>
    <col min="7" max="7" width="18.8666666666667" customWidth="1"/>
    <col min="9" max="9" width="38.9833333333333" customWidth="1"/>
    <col min="10" max="10" width="10.375"/>
    <col min="11" max="11" width="9.375"/>
  </cols>
  <sheetData>
    <row r="1" s="64" customFormat="1" ht="27" customHeight="1" spans="1:10">
      <c r="A1" s="19" t="s">
        <v>315</v>
      </c>
      <c r="B1" s="19"/>
      <c r="C1" s="19"/>
      <c r="D1" s="19"/>
      <c r="E1" s="19"/>
      <c r="F1" s="19"/>
      <c r="G1" s="19"/>
      <c r="H1" s="19"/>
      <c r="I1" s="19"/>
    </row>
    <row r="2" s="65" customFormat="1" ht="20.25" customHeight="1" spans="1:10">
      <c r="A2" s="5" t="s">
        <v>1</v>
      </c>
      <c r="B2" s="5" t="s">
        <v>2</v>
      </c>
      <c r="C2" s="6" t="s">
        <v>3</v>
      </c>
      <c r="D2" s="6" t="s">
        <v>4</v>
      </c>
      <c r="E2" s="68" t="s">
        <v>5</v>
      </c>
      <c r="F2" s="8" t="s">
        <v>6</v>
      </c>
      <c r="G2" s="6" t="s">
        <v>7</v>
      </c>
      <c r="H2" s="6" t="s">
        <v>8</v>
      </c>
      <c r="I2" s="83" t="s">
        <v>9</v>
      </c>
      <c r="J2" s="65" t="s">
        <v>10</v>
      </c>
    </row>
    <row r="3" ht="24" customHeight="1" spans="1:10">
      <c r="A3" s="15"/>
      <c r="B3" s="21"/>
      <c r="C3" s="42"/>
      <c r="D3" s="42"/>
      <c r="E3" s="46"/>
      <c r="F3" s="42"/>
      <c r="G3" s="42"/>
      <c r="H3" s="70"/>
      <c r="I3" s="69"/>
    </row>
    <row r="4" ht="24" customHeight="1" spans="1:10">
      <c r="A4" s="15"/>
      <c r="B4" s="21"/>
      <c r="C4" s="42"/>
      <c r="D4" s="42"/>
      <c r="E4" s="46"/>
      <c r="F4" s="42"/>
      <c r="G4" s="3"/>
      <c r="H4" s="70"/>
      <c r="I4" s="69"/>
      <c r="J4" t="s">
        <v>191</v>
      </c>
    </row>
    <row r="5" ht="24" customHeight="1" spans="1:10">
      <c r="A5" s="15"/>
      <c r="B5" s="21"/>
      <c r="C5" s="42"/>
      <c r="D5" s="42"/>
      <c r="E5" s="46"/>
      <c r="F5" s="42"/>
      <c r="G5" s="3"/>
      <c r="H5" s="70"/>
      <c r="I5" s="69"/>
    </row>
    <row r="6" ht="24" customHeight="1" spans="1:10">
      <c r="A6" s="15"/>
      <c r="B6" s="21"/>
      <c r="C6" s="42"/>
      <c r="D6" s="3"/>
      <c r="E6" s="46"/>
      <c r="F6" s="42"/>
      <c r="G6" s="42"/>
      <c r="H6" s="70"/>
      <c r="I6" s="69"/>
    </row>
    <row r="7" ht="24" customHeight="1" spans="1:10">
      <c r="A7" s="15"/>
      <c r="B7" s="21"/>
      <c r="C7" s="3"/>
      <c r="D7" s="3"/>
      <c r="E7" s="46"/>
      <c r="F7" s="3"/>
      <c r="G7" s="3"/>
      <c r="H7" s="70"/>
      <c r="I7" s="69"/>
    </row>
    <row r="8" ht="24" customHeight="1" spans="1:10">
      <c r="A8" s="15"/>
      <c r="B8" s="21"/>
      <c r="C8" s="42"/>
      <c r="D8" s="3"/>
      <c r="E8" s="46"/>
      <c r="F8" s="42"/>
      <c r="G8" s="42"/>
      <c r="H8" s="70"/>
      <c r="I8" s="69"/>
    </row>
    <row r="9" ht="24" customHeight="1" spans="1:10">
      <c r="A9" s="15"/>
      <c r="B9" s="21"/>
      <c r="C9" s="42"/>
      <c r="D9" s="3"/>
      <c r="E9" s="46"/>
      <c r="F9" s="42"/>
      <c r="G9" s="42"/>
      <c r="H9" s="70"/>
      <c r="I9" s="69"/>
    </row>
    <row r="10" ht="24" customHeight="1" spans="1:10">
      <c r="A10" s="15"/>
      <c r="B10" s="21"/>
      <c r="C10" s="42"/>
      <c r="D10" s="3"/>
      <c r="E10" s="46"/>
      <c r="F10" s="42"/>
      <c r="G10" s="42"/>
      <c r="H10" s="70"/>
      <c r="I10" s="69"/>
    </row>
    <row r="11" ht="24" customHeight="1" spans="1:10">
      <c r="A11" s="15"/>
      <c r="B11" s="21"/>
      <c r="C11" s="42"/>
      <c r="D11" s="3"/>
      <c r="E11" s="46"/>
      <c r="F11" s="42"/>
      <c r="G11" s="42"/>
      <c r="H11" s="70"/>
      <c r="I11" s="69"/>
    </row>
    <row r="12" ht="24" customHeight="1" spans="1:10">
      <c r="A12" s="15"/>
      <c r="B12" s="21"/>
      <c r="C12" s="42"/>
      <c r="D12" s="3"/>
      <c r="E12" s="46"/>
      <c r="F12" s="42"/>
      <c r="G12" s="42"/>
      <c r="H12" s="70"/>
      <c r="I12" s="69"/>
    </row>
    <row r="13" ht="24" customHeight="1" spans="1:10">
      <c r="A13" s="15"/>
      <c r="B13" s="21"/>
      <c r="C13" s="42"/>
      <c r="D13" s="3"/>
      <c r="E13" s="46"/>
      <c r="F13" s="42"/>
      <c r="G13" s="42"/>
      <c r="H13" s="70"/>
      <c r="I13" s="69"/>
    </row>
    <row r="14" ht="24" customHeight="1" spans="1:10">
      <c r="A14" s="15"/>
      <c r="B14" s="21"/>
      <c r="C14" s="42"/>
      <c r="D14" s="3"/>
      <c r="E14" s="46"/>
      <c r="F14" s="42"/>
      <c r="G14" s="42"/>
      <c r="H14" s="70"/>
      <c r="I14" s="69"/>
    </row>
    <row r="15" ht="24" customHeight="1" spans="1:10">
      <c r="A15" s="15"/>
      <c r="B15" s="21"/>
      <c r="C15" s="42"/>
      <c r="D15" s="3"/>
      <c r="E15" s="46"/>
      <c r="F15" s="42"/>
      <c r="G15" s="42"/>
      <c r="H15" s="70"/>
      <c r="I15" s="69"/>
    </row>
    <row r="16" ht="24" customHeight="1" spans="1:10">
      <c r="A16" s="15"/>
      <c r="B16" s="21"/>
      <c r="C16" s="42"/>
      <c r="D16" s="3"/>
      <c r="E16" s="46"/>
      <c r="F16" s="42"/>
      <c r="G16" s="42"/>
      <c r="H16" s="70"/>
      <c r="I16" s="69"/>
    </row>
    <row r="17" ht="24" customHeight="1" spans="1:11">
      <c r="A17" s="15"/>
      <c r="B17" s="21"/>
      <c r="C17" s="42"/>
      <c r="D17" s="3"/>
      <c r="E17" s="46"/>
      <c r="F17" s="42"/>
      <c r="G17" s="42"/>
      <c r="H17" s="70"/>
      <c r="I17" s="69"/>
    </row>
    <row r="18" ht="24" customHeight="1" spans="1:11">
      <c r="A18" s="15"/>
      <c r="B18" s="21"/>
      <c r="C18" s="42"/>
      <c r="D18" s="3"/>
      <c r="E18" s="46"/>
      <c r="F18" s="42"/>
      <c r="G18" s="42"/>
      <c r="H18" s="70"/>
      <c r="I18" s="69"/>
    </row>
    <row r="19" ht="24" customHeight="1" spans="1:11">
      <c r="A19" s="15"/>
      <c r="B19" s="21"/>
      <c r="C19" s="42"/>
      <c r="D19" s="3"/>
      <c r="E19" s="46"/>
      <c r="F19" s="42"/>
      <c r="G19" s="42"/>
      <c r="H19" s="70"/>
      <c r="I19" s="69"/>
    </row>
    <row r="20" ht="24" customHeight="1" spans="1:11">
      <c r="A20" s="15"/>
      <c r="B20" s="21"/>
      <c r="C20" s="42"/>
      <c r="D20" s="3"/>
      <c r="E20" s="46"/>
      <c r="F20" s="42"/>
      <c r="G20" s="42"/>
      <c r="H20" s="70"/>
      <c r="I20" s="69"/>
    </row>
    <row r="21" ht="24" customHeight="1" spans="1:11">
      <c r="A21" s="15"/>
      <c r="B21" s="21"/>
      <c r="C21" s="42"/>
      <c r="D21" s="3"/>
      <c r="E21" s="46"/>
      <c r="F21" s="42"/>
      <c r="G21" s="42"/>
      <c r="H21" s="70"/>
      <c r="I21" s="69"/>
      <c r="K21" t="s">
        <v>316</v>
      </c>
    </row>
    <row r="22" ht="24" customHeight="1" spans="1:11">
      <c r="A22" s="15"/>
      <c r="B22" s="21"/>
      <c r="C22" s="42"/>
      <c r="D22" s="3"/>
      <c r="E22" s="46"/>
      <c r="F22" s="42"/>
      <c r="G22" s="42"/>
      <c r="H22" s="70"/>
      <c r="I22" s="69"/>
    </row>
    <row r="23" ht="24" customHeight="1" spans="1:11">
      <c r="A23" s="15"/>
      <c r="B23" s="21"/>
      <c r="C23" s="42"/>
      <c r="D23" s="3"/>
      <c r="E23" s="46"/>
      <c r="F23" s="42"/>
      <c r="G23" s="42"/>
      <c r="H23" s="3"/>
      <c r="I23" s="69"/>
    </row>
    <row r="24" ht="24" customHeight="1" spans="1:11">
      <c r="A24" s="15"/>
      <c r="B24" s="21"/>
      <c r="C24" s="42"/>
      <c r="D24" s="3"/>
      <c r="E24" s="46"/>
      <c r="F24" s="42"/>
      <c r="G24" s="42"/>
      <c r="H24" s="70"/>
      <c r="I24" s="69"/>
    </row>
    <row r="25" ht="24" customHeight="1" spans="1:11">
      <c r="A25" s="15"/>
      <c r="B25" s="21"/>
      <c r="C25" s="3"/>
      <c r="D25" s="3"/>
      <c r="E25" s="46"/>
      <c r="F25" s="42"/>
      <c r="G25" s="42"/>
      <c r="H25" s="70"/>
      <c r="I25" s="69"/>
    </row>
    <row r="26" ht="24" customHeight="1" spans="1:11">
      <c r="A26" s="15"/>
      <c r="B26" s="21"/>
      <c r="C26" s="3"/>
      <c r="D26" s="3"/>
      <c r="E26" s="46"/>
      <c r="F26" s="3"/>
      <c r="G26" s="3"/>
      <c r="H26" s="3"/>
      <c r="I26" s="69"/>
    </row>
    <row r="27" ht="24" customHeight="1" spans="1:11">
      <c r="A27" s="15"/>
      <c r="B27" s="21"/>
      <c r="C27" s="3"/>
      <c r="D27" s="3"/>
      <c r="E27" s="46"/>
      <c r="F27" s="3"/>
      <c r="G27" s="3"/>
      <c r="H27" s="3"/>
      <c r="I27" s="69"/>
    </row>
    <row r="28" ht="24" customHeight="1" spans="1:11">
      <c r="A28" s="15"/>
      <c r="B28" s="21"/>
      <c r="C28" s="3"/>
      <c r="D28" s="3"/>
      <c r="E28" s="46"/>
      <c r="F28" s="3"/>
      <c r="G28" s="3"/>
      <c r="H28" s="3"/>
      <c r="I28" s="69"/>
    </row>
    <row r="29" ht="24" customHeight="1" spans="1:11">
      <c r="A29" s="15"/>
      <c r="B29" s="21"/>
      <c r="C29" s="3"/>
      <c r="D29" s="3"/>
      <c r="E29" s="46"/>
      <c r="F29" s="3"/>
      <c r="G29" s="3"/>
      <c r="H29" s="3"/>
      <c r="I29" s="69"/>
    </row>
    <row r="30" ht="24" customHeight="1" spans="1:11">
      <c r="A30" s="15"/>
      <c r="B30" s="21"/>
      <c r="C30" s="42"/>
      <c r="D30" s="3"/>
      <c r="E30" s="46"/>
      <c r="F30" s="42"/>
      <c r="G30" s="42"/>
      <c r="H30" s="3"/>
      <c r="I30" s="69"/>
    </row>
    <row r="31" ht="24" customHeight="1" spans="1:11">
      <c r="A31" s="15"/>
      <c r="B31" s="21"/>
      <c r="C31" s="42"/>
      <c r="D31" s="3"/>
      <c r="E31" s="46"/>
      <c r="F31" s="42"/>
      <c r="G31" s="42"/>
      <c r="H31" s="3"/>
      <c r="I31" s="69"/>
    </row>
    <row r="32" ht="24" customHeight="1" spans="1:11">
      <c r="A32" s="15"/>
      <c r="B32" s="21"/>
      <c r="C32" s="42"/>
      <c r="D32" s="3"/>
      <c r="E32" s="46"/>
      <c r="F32" s="42"/>
      <c r="G32" s="42"/>
      <c r="H32" s="3"/>
      <c r="I32" s="69"/>
    </row>
    <row r="33" ht="24" customHeight="1" spans="1:9">
      <c r="A33" s="15"/>
      <c r="B33" s="21"/>
      <c r="C33" s="42"/>
      <c r="D33" s="3"/>
      <c r="E33" s="46"/>
      <c r="F33" s="42"/>
      <c r="G33" s="42"/>
      <c r="H33" s="3"/>
      <c r="I33" s="69"/>
    </row>
    <row r="34" ht="24" customHeight="1" spans="1:9">
      <c r="A34" s="15"/>
      <c r="B34" s="21"/>
      <c r="C34" s="42"/>
      <c r="D34" s="3"/>
      <c r="E34" s="46"/>
      <c r="F34" s="42"/>
      <c r="G34" s="42"/>
      <c r="H34" s="3"/>
      <c r="I34" s="69"/>
    </row>
    <row r="35" ht="24" customHeight="1" spans="1:9">
      <c r="A35" s="15"/>
      <c r="B35" s="21"/>
      <c r="C35" s="42"/>
      <c r="D35" s="3"/>
      <c r="E35" s="46"/>
      <c r="F35" s="42"/>
      <c r="G35" s="42"/>
      <c r="H35" s="3"/>
      <c r="I35" s="69"/>
    </row>
    <row r="36" ht="24" customHeight="1" spans="1:9">
      <c r="A36" s="15"/>
      <c r="B36" s="21"/>
      <c r="C36" s="42"/>
      <c r="D36" s="3"/>
      <c r="E36" s="46"/>
      <c r="F36" s="42"/>
      <c r="G36" s="42"/>
      <c r="H36" s="3"/>
      <c r="I36" s="69"/>
    </row>
    <row r="37" ht="24" customHeight="1" spans="1:9">
      <c r="A37" s="15"/>
      <c r="B37" s="21"/>
      <c r="C37" s="42"/>
      <c r="D37" s="3"/>
      <c r="E37" s="46"/>
      <c r="F37" s="42"/>
      <c r="G37" s="42"/>
      <c r="H37" s="3"/>
      <c r="I37" s="69"/>
    </row>
    <row r="38" ht="24" customHeight="1" spans="1:9">
      <c r="A38" s="15"/>
      <c r="B38" s="21"/>
      <c r="C38" s="42"/>
      <c r="D38" s="3"/>
      <c r="E38" s="46"/>
      <c r="F38" s="42"/>
      <c r="G38" s="42"/>
      <c r="H38" s="3"/>
      <c r="I38" s="69"/>
    </row>
    <row r="39" ht="24" customHeight="1" spans="1:9">
      <c r="A39" s="15"/>
      <c r="B39" s="21"/>
      <c r="C39" s="42"/>
      <c r="D39" s="3"/>
      <c r="E39" s="46"/>
      <c r="F39" s="42"/>
      <c r="G39" s="42"/>
      <c r="H39" s="3"/>
      <c r="I39" s="69"/>
    </row>
    <row r="40" ht="24" customHeight="1" spans="1:9">
      <c r="A40" s="15"/>
      <c r="B40" s="21"/>
      <c r="C40" s="42"/>
      <c r="D40" s="3"/>
      <c r="E40" s="46"/>
      <c r="F40" s="42"/>
      <c r="G40" s="42"/>
      <c r="H40" s="3"/>
      <c r="I40" s="69"/>
    </row>
    <row r="41" ht="24" customHeight="1" spans="1:9">
      <c r="A41" s="15"/>
      <c r="B41" s="21"/>
      <c r="C41" s="42"/>
      <c r="D41" s="3"/>
      <c r="E41" s="46"/>
      <c r="F41" s="42"/>
      <c r="G41" s="42"/>
      <c r="H41" s="3"/>
      <c r="I41" s="69"/>
    </row>
    <row r="42" ht="24" customHeight="1" spans="1:9">
      <c r="A42" s="15"/>
      <c r="B42" s="21"/>
      <c r="C42" s="42"/>
      <c r="D42" s="3"/>
      <c r="E42" s="46"/>
      <c r="F42" s="42"/>
      <c r="G42" s="42"/>
      <c r="H42" s="3"/>
      <c r="I42" s="69"/>
    </row>
    <row r="43" ht="24" customHeight="1" spans="1:9">
      <c r="A43" s="15"/>
      <c r="B43" s="21"/>
      <c r="C43" s="42"/>
      <c r="D43" s="3"/>
      <c r="E43" s="46"/>
      <c r="F43" s="42"/>
      <c r="G43" s="42"/>
      <c r="H43" s="3"/>
      <c r="I43" s="69"/>
    </row>
    <row r="44" ht="24" customHeight="1" spans="1:9">
      <c r="A44" s="15"/>
      <c r="B44" s="21"/>
      <c r="C44" s="42"/>
      <c r="D44" s="3"/>
      <c r="E44" s="46"/>
      <c r="F44" s="42"/>
      <c r="G44" s="42"/>
      <c r="H44" s="3"/>
      <c r="I44" s="69"/>
    </row>
    <row r="45" s="66" customFormat="1" ht="24" customHeight="1" spans="1:9">
      <c r="A45" s="20"/>
      <c r="B45" s="21"/>
      <c r="C45" s="42"/>
      <c r="D45" s="70"/>
      <c r="E45" s="46"/>
      <c r="F45" s="42"/>
      <c r="G45" s="42"/>
      <c r="H45" s="70"/>
      <c r="I45" s="71"/>
    </row>
    <row r="46" s="66" customFormat="1" ht="24" customHeight="1" spans="1:9">
      <c r="A46" s="20"/>
      <c r="B46" s="21"/>
      <c r="C46" s="42"/>
      <c r="D46" s="70"/>
      <c r="E46" s="46"/>
      <c r="F46" s="42"/>
      <c r="G46" s="42"/>
      <c r="H46" s="70"/>
      <c r="I46" s="71"/>
    </row>
    <row r="47" ht="24" customHeight="1" spans="1:9">
      <c r="A47" s="20"/>
      <c r="B47" s="21"/>
      <c r="C47" s="42"/>
      <c r="D47" s="3"/>
      <c r="E47" s="46"/>
      <c r="F47" s="42"/>
      <c r="G47" s="42"/>
      <c r="H47" s="3"/>
      <c r="I47" s="69"/>
    </row>
    <row r="48" ht="24" customHeight="1" spans="1:9">
      <c r="A48" s="20"/>
      <c r="B48" s="21"/>
      <c r="C48" s="42"/>
      <c r="D48" s="3"/>
      <c r="E48" s="46"/>
      <c r="F48" s="42"/>
      <c r="G48" s="42"/>
      <c r="H48" s="3"/>
      <c r="I48" s="69"/>
    </row>
    <row r="49" ht="24" customHeight="1" spans="1:9">
      <c r="A49" s="20"/>
      <c r="B49" s="21"/>
      <c r="C49" s="42"/>
      <c r="D49" s="3"/>
      <c r="E49" s="46"/>
      <c r="F49" s="42"/>
      <c r="G49" s="42"/>
      <c r="H49" s="3"/>
      <c r="I49" s="69"/>
    </row>
    <row r="50" ht="24" customHeight="1" spans="1:9">
      <c r="A50" s="15"/>
      <c r="B50" s="21"/>
      <c r="C50" s="42"/>
      <c r="D50" s="3"/>
      <c r="E50" s="46"/>
      <c r="F50" s="42"/>
      <c r="G50" s="42"/>
      <c r="H50" s="3"/>
      <c r="I50" s="69"/>
    </row>
    <row r="51" ht="24" customHeight="1" spans="1:9">
      <c r="A51" s="15"/>
      <c r="B51" s="21"/>
      <c r="C51" s="42"/>
      <c r="D51" s="3"/>
      <c r="E51" s="46"/>
      <c r="F51" s="42"/>
      <c r="G51" s="42"/>
      <c r="H51" s="3"/>
      <c r="I51" s="69"/>
    </row>
    <row r="52" ht="24" customHeight="1" spans="1:9">
      <c r="A52" s="15"/>
      <c r="B52" s="21"/>
      <c r="C52" s="42"/>
      <c r="D52" s="3"/>
      <c r="E52" s="46"/>
      <c r="F52" s="42"/>
      <c r="G52" s="42"/>
      <c r="H52" s="3"/>
      <c r="I52" s="69"/>
    </row>
    <row r="53" ht="24" customHeight="1" spans="1:9">
      <c r="A53" s="15"/>
      <c r="B53" s="21"/>
      <c r="C53" s="42"/>
      <c r="D53" s="3"/>
      <c r="E53" s="46"/>
      <c r="F53" s="42"/>
      <c r="G53" s="42"/>
      <c r="H53" s="3"/>
      <c r="I53" s="69"/>
    </row>
    <row r="54" ht="24" customHeight="1" spans="1:9">
      <c r="A54" s="15"/>
      <c r="B54" s="21"/>
      <c r="C54" s="42"/>
      <c r="D54" s="3"/>
      <c r="E54" s="46"/>
      <c r="F54" s="42"/>
      <c r="G54" s="42"/>
      <c r="H54" s="3"/>
      <c r="I54" s="69"/>
    </row>
    <row r="55" ht="24" customHeight="1" spans="1:9">
      <c r="A55" s="15"/>
      <c r="B55" s="21"/>
      <c r="C55" s="42"/>
      <c r="D55" s="3"/>
      <c r="E55" s="46"/>
      <c r="F55" s="42"/>
      <c r="G55" s="42"/>
      <c r="H55" s="3"/>
      <c r="I55" s="69"/>
    </row>
    <row r="56" ht="24" customHeight="1" spans="1:9">
      <c r="A56" s="15"/>
      <c r="B56" s="21"/>
      <c r="C56" s="42"/>
      <c r="D56" s="3"/>
      <c r="E56" s="46"/>
      <c r="F56" s="42"/>
      <c r="G56" s="42"/>
      <c r="H56" s="3"/>
      <c r="I56" s="69"/>
    </row>
    <row r="57" ht="24" customHeight="1" spans="1:9">
      <c r="A57" s="15"/>
      <c r="B57" s="21"/>
      <c r="C57" s="42"/>
      <c r="D57" s="3"/>
      <c r="E57" s="46"/>
      <c r="F57" s="42"/>
      <c r="G57" s="42"/>
      <c r="H57" s="3"/>
      <c r="I57" s="69"/>
    </row>
    <row r="58" ht="24" customHeight="1" spans="1:9">
      <c r="A58" s="15"/>
      <c r="B58" s="21"/>
      <c r="C58" s="42"/>
      <c r="D58" s="3"/>
      <c r="E58" s="46"/>
      <c r="F58" s="42"/>
      <c r="G58" s="42"/>
      <c r="H58" s="3"/>
      <c r="I58" s="69"/>
    </row>
    <row r="59" ht="24" customHeight="1" spans="1:9">
      <c r="A59" s="15"/>
      <c r="B59" s="21"/>
      <c r="C59" s="42"/>
      <c r="D59" s="3"/>
      <c r="E59" s="46"/>
      <c r="F59" s="42"/>
      <c r="G59" s="42"/>
      <c r="H59" s="3"/>
      <c r="I59" s="69"/>
    </row>
    <row r="60" ht="24" customHeight="1" spans="1:9">
      <c r="A60" s="15"/>
      <c r="B60" s="21"/>
      <c r="C60" s="42"/>
      <c r="D60" s="3"/>
      <c r="E60" s="46"/>
      <c r="F60" s="42"/>
      <c r="G60" s="42"/>
      <c r="H60" s="3"/>
      <c r="I60" s="69"/>
    </row>
    <row r="61" ht="24" customHeight="1" spans="1:9">
      <c r="A61" s="15"/>
      <c r="B61" s="21"/>
      <c r="C61" s="42"/>
      <c r="D61" s="3"/>
      <c r="E61" s="46"/>
      <c r="F61" s="42"/>
      <c r="G61" s="42"/>
      <c r="H61" s="3"/>
      <c r="I61" s="69"/>
    </row>
    <row r="62" ht="24" customHeight="1" spans="1:9">
      <c r="A62" s="15"/>
      <c r="B62" s="21"/>
      <c r="C62" s="42"/>
      <c r="D62" s="3"/>
      <c r="E62" s="46"/>
      <c r="F62" s="42"/>
      <c r="G62" s="42"/>
      <c r="H62" s="3"/>
      <c r="I62" s="69"/>
    </row>
    <row r="63" ht="24" customHeight="1" spans="1:9">
      <c r="A63" s="15"/>
      <c r="B63" s="21"/>
      <c r="C63" s="42"/>
      <c r="D63" s="3"/>
      <c r="E63" s="46"/>
      <c r="F63" s="42"/>
      <c r="G63" s="42"/>
      <c r="H63" s="3"/>
      <c r="I63" s="69"/>
    </row>
    <row r="64" ht="24" customHeight="1" spans="1:9">
      <c r="A64" s="15"/>
      <c r="B64" s="21"/>
      <c r="C64" s="42"/>
      <c r="D64" s="3"/>
      <c r="E64" s="46"/>
      <c r="F64" s="42"/>
      <c r="G64" s="42"/>
      <c r="H64" s="3"/>
      <c r="I64" s="69"/>
    </row>
    <row r="65" ht="24" customHeight="1" spans="1:9">
      <c r="A65" s="15"/>
      <c r="B65" s="21"/>
      <c r="C65" s="42"/>
      <c r="D65" s="3"/>
      <c r="E65" s="46"/>
      <c r="F65" s="42"/>
      <c r="G65" s="42"/>
      <c r="H65" s="3"/>
      <c r="I65" s="69"/>
    </row>
    <row r="66" ht="24" customHeight="1" spans="1:9">
      <c r="A66" s="15"/>
      <c r="B66" s="21"/>
      <c r="C66" s="42"/>
      <c r="D66" s="3"/>
      <c r="E66" s="46"/>
      <c r="F66" s="42"/>
      <c r="G66" s="42"/>
      <c r="H66" s="3"/>
      <c r="I66" s="69"/>
    </row>
    <row r="67" ht="24" customHeight="1" spans="1:9">
      <c r="A67" s="15"/>
      <c r="B67" s="21"/>
      <c r="C67" s="42"/>
      <c r="D67" s="3"/>
      <c r="E67" s="46"/>
      <c r="F67" s="42"/>
      <c r="G67" s="42"/>
      <c r="H67" s="3"/>
      <c r="I67" s="69"/>
    </row>
    <row r="68" ht="24" customHeight="1" spans="1:9">
      <c r="A68" s="15"/>
      <c r="B68" s="21"/>
      <c r="C68" s="42"/>
      <c r="D68" s="3"/>
      <c r="E68" s="46"/>
      <c r="F68" s="42"/>
      <c r="G68" s="42"/>
      <c r="H68" s="3"/>
      <c r="I68" s="69"/>
    </row>
    <row r="69" ht="24" customHeight="1" spans="1:9">
      <c r="A69" s="20"/>
      <c r="B69" s="3"/>
      <c r="C69" s="3"/>
      <c r="D69" s="3"/>
      <c r="E69" s="3"/>
      <c r="F69" s="3"/>
      <c r="G69" s="3"/>
      <c r="H69" s="3"/>
      <c r="I69" s="3"/>
    </row>
    <row r="70" s="67" customFormat="1" ht="24" customHeight="1" spans="1:9">
      <c r="A70" s="74"/>
      <c r="B70" s="75"/>
      <c r="C70" s="75"/>
      <c r="D70" s="75" t="s">
        <v>88</v>
      </c>
      <c r="E70" s="76">
        <f>SUM(E3:E69)</f>
        <v>0</v>
      </c>
      <c r="F70" s="75"/>
      <c r="G70" s="75"/>
      <c r="H70" s="75"/>
      <c r="I70" s="75"/>
    </row>
    <row r="73" spans="1:9">
      <c r="E73">
        <v>1287899.39</v>
      </c>
    </row>
    <row r="74" spans="1:9">
      <c r="E74">
        <f>E70-E73</f>
        <v>-1287899.39</v>
      </c>
    </row>
  </sheetData>
  <sheetProtection formatCells="0" formatColumns="0" formatRows="0" insertRows="0" insertColumns="0" insertHyperlinks="0" deleteColumns="0" deleteRows="0" sort="0" autoFilter="0" pivotTables="0"/>
  <autoFilter xmlns:etc="http://www.wps.cn/officeDocument/2017/etCustomData" ref="A2:K68" etc:filterBottomFollowUsedRange="0">
    <extLst/>
  </autoFilter>
  <mergeCells count="1">
    <mergeCell ref="A1:I1"/>
  </mergeCells>
  <pageMargins left="0.75" right="0.75" top="1" bottom="1" header="0.5" footer="0.5"/>
  <pageSetup paperSize="9" orientation="portrait"/>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9"/>
  <sheetViews>
    <sheetView workbookViewId="0">
      <pane ySplit="2" topLeftCell="A40" activePane="bottomLeft" state="frozen"/>
      <selection/>
      <selection pane="bottomLeft" activeCell="A3" sqref="A3:I83"/>
    </sheetView>
  </sheetViews>
  <sheetFormatPr defaultColWidth="9" defaultRowHeight="13.5"/>
  <cols>
    <col min="2" max="2" width="12.5083333333333" customWidth="1"/>
    <col min="3" max="3" width="32.25" customWidth="1"/>
    <col min="4" max="4" width="22.25" customWidth="1"/>
    <col min="5" max="5" width="19.5" customWidth="1"/>
    <col min="6" max="6" width="13" customWidth="1"/>
    <col min="7" max="7" width="18.8666666666667" customWidth="1"/>
    <col min="9" max="9" width="29.25" customWidth="1"/>
    <col min="11" max="11" width="14" customWidth="1"/>
  </cols>
  <sheetData>
    <row r="1" s="64" customFormat="1" ht="27" customHeight="1" spans="1:10">
      <c r="A1" s="19" t="s">
        <v>317</v>
      </c>
      <c r="B1" s="19"/>
      <c r="C1" s="19"/>
      <c r="D1" s="19"/>
      <c r="E1" s="19"/>
      <c r="F1" s="19"/>
      <c r="G1" s="19"/>
      <c r="H1" s="19"/>
      <c r="I1" s="19"/>
    </row>
    <row r="2" s="65" customFormat="1" ht="20.25" customHeight="1" spans="1:10">
      <c r="A2" s="5" t="s">
        <v>1</v>
      </c>
      <c r="B2" s="5" t="s">
        <v>2</v>
      </c>
      <c r="C2" s="6" t="s">
        <v>3</v>
      </c>
      <c r="D2" s="6" t="s">
        <v>4</v>
      </c>
      <c r="E2" s="68" t="s">
        <v>5</v>
      </c>
      <c r="F2" s="8" t="s">
        <v>6</v>
      </c>
      <c r="G2" s="6" t="s">
        <v>7</v>
      </c>
      <c r="H2" s="6" t="s">
        <v>8</v>
      </c>
      <c r="I2" s="6" t="s">
        <v>9</v>
      </c>
      <c r="J2" s="65" t="s">
        <v>10</v>
      </c>
    </row>
    <row r="3" ht="24" customHeight="1" spans="1:10">
      <c r="A3" s="15"/>
      <c r="B3" s="21"/>
      <c r="C3" s="3"/>
      <c r="D3" s="3"/>
      <c r="E3" s="46"/>
      <c r="F3" s="3"/>
      <c r="G3" s="3"/>
      <c r="H3" s="70"/>
      <c r="I3" s="69"/>
    </row>
    <row r="4" ht="24" customHeight="1" spans="1:10">
      <c r="A4" s="15"/>
      <c r="B4" s="21"/>
      <c r="C4" s="3"/>
      <c r="D4" s="3"/>
      <c r="E4" s="46"/>
      <c r="F4" s="3"/>
      <c r="G4" s="3"/>
      <c r="H4" s="70"/>
      <c r="I4" s="69"/>
    </row>
    <row r="5" ht="24" customHeight="1" spans="1:10">
      <c r="A5" s="15"/>
      <c r="B5" s="21"/>
      <c r="C5" s="3"/>
      <c r="D5" s="3"/>
      <c r="E5" s="46"/>
      <c r="F5" s="3"/>
      <c r="G5" s="3"/>
      <c r="H5" s="70"/>
      <c r="I5" s="69"/>
    </row>
    <row r="6" customFormat="1" ht="24" customHeight="1" spans="1:10">
      <c r="A6" s="15"/>
      <c r="B6" s="21"/>
      <c r="C6" s="3"/>
      <c r="D6" s="3"/>
      <c r="E6" s="46"/>
      <c r="F6" s="3"/>
      <c r="G6" s="3"/>
      <c r="H6" s="70"/>
      <c r="I6" s="69"/>
    </row>
    <row r="7" customFormat="1" ht="24" customHeight="1" spans="1:10">
      <c r="A7" s="15"/>
      <c r="B7" s="21"/>
      <c r="C7" s="3"/>
      <c r="D7" s="3"/>
      <c r="E7" s="46"/>
      <c r="F7" s="3"/>
      <c r="G7" s="3"/>
      <c r="H7" s="70"/>
      <c r="I7" s="69"/>
    </row>
    <row r="8" customFormat="1" ht="24" customHeight="1" spans="1:10">
      <c r="A8" s="15"/>
      <c r="B8" s="21"/>
      <c r="C8" s="3"/>
      <c r="D8" s="3"/>
      <c r="E8" s="46"/>
      <c r="F8" s="3"/>
      <c r="G8" s="3"/>
      <c r="H8" s="70"/>
      <c r="I8" s="69"/>
    </row>
    <row r="9" customFormat="1" ht="24" customHeight="1" spans="1:10">
      <c r="A9" s="15"/>
      <c r="B9" s="21"/>
      <c r="C9" s="3"/>
      <c r="D9" s="3"/>
      <c r="E9" s="46"/>
      <c r="F9" s="3"/>
      <c r="G9" s="3"/>
      <c r="H9" s="70"/>
      <c r="I9" s="69"/>
    </row>
    <row r="10" spans="1:10">
      <c r="A10" s="15"/>
      <c r="B10" s="21"/>
      <c r="C10" s="42"/>
      <c r="D10" s="47"/>
      <c r="E10" s="46"/>
      <c r="F10" s="47"/>
      <c r="G10" s="47"/>
      <c r="H10" s="3"/>
      <c r="I10" s="69"/>
    </row>
    <row r="11" spans="1:10">
      <c r="A11" s="15"/>
      <c r="B11" s="21"/>
      <c r="C11" s="47"/>
      <c r="D11" s="47"/>
      <c r="E11" s="46"/>
      <c r="F11" s="47"/>
      <c r="G11" s="42"/>
      <c r="H11" s="3"/>
      <c r="I11" s="69"/>
    </row>
    <row r="12" customFormat="1" spans="1:10">
      <c r="A12" s="15"/>
      <c r="B12" s="21"/>
      <c r="C12" s="47"/>
      <c r="D12" s="47"/>
      <c r="E12" s="46"/>
      <c r="F12" s="47"/>
      <c r="G12" s="42"/>
      <c r="H12" s="3"/>
      <c r="I12" s="69"/>
    </row>
    <row r="13" customFormat="1" spans="1:10">
      <c r="A13" s="15"/>
      <c r="B13" s="21"/>
      <c r="C13" s="47"/>
      <c r="D13" s="47"/>
      <c r="E13" s="46"/>
      <c r="F13" s="47"/>
      <c r="G13" s="42"/>
      <c r="H13" s="3"/>
      <c r="I13" s="69"/>
    </row>
    <row r="14" customFormat="1" spans="1:10">
      <c r="A14" s="15"/>
      <c r="B14" s="21"/>
      <c r="C14" s="47"/>
      <c r="D14" s="47"/>
      <c r="E14" s="46"/>
      <c r="F14" s="47"/>
      <c r="G14" s="42"/>
      <c r="H14" s="3"/>
      <c r="I14" s="69"/>
    </row>
    <row r="15" customFormat="1" spans="1:10">
      <c r="A15" s="15"/>
      <c r="B15" s="21"/>
      <c r="C15" s="42"/>
      <c r="D15" s="47"/>
      <c r="E15" s="46"/>
      <c r="F15" s="47"/>
      <c r="G15" s="47"/>
      <c r="H15" s="3"/>
      <c r="I15" s="69"/>
    </row>
    <row r="16" customFormat="1" spans="1:10">
      <c r="A16" s="15"/>
      <c r="B16" s="21"/>
      <c r="C16" s="42"/>
      <c r="D16" s="47"/>
      <c r="E16" s="46"/>
      <c r="F16" s="47"/>
      <c r="G16" s="47"/>
      <c r="H16" s="3"/>
      <c r="I16" s="69"/>
    </row>
    <row r="17" customFormat="1" spans="1:12">
      <c r="A17" s="15"/>
      <c r="B17" s="21"/>
      <c r="C17" s="42"/>
      <c r="D17" s="47"/>
      <c r="E17" s="46"/>
      <c r="F17" s="47"/>
      <c r="G17" s="47"/>
      <c r="H17" s="3"/>
      <c r="I17" s="69"/>
    </row>
    <row r="18" customFormat="1" spans="1:12">
      <c r="A18" s="15"/>
      <c r="B18" s="21"/>
      <c r="C18" s="42"/>
      <c r="D18" s="47"/>
      <c r="E18" s="46"/>
      <c r="F18" s="47"/>
      <c r="G18" s="47"/>
      <c r="H18" s="3"/>
      <c r="I18" s="69"/>
    </row>
    <row r="19" customFormat="1" spans="1:12">
      <c r="A19" s="15"/>
      <c r="B19" s="21"/>
      <c r="C19" s="42"/>
      <c r="D19" s="47"/>
      <c r="E19" s="46"/>
      <c r="F19" s="47"/>
      <c r="G19" s="47"/>
      <c r="H19" s="3"/>
      <c r="I19" s="69"/>
    </row>
    <row r="20" customFormat="1" spans="1:12">
      <c r="A20" s="15"/>
      <c r="B20" s="21"/>
      <c r="C20" s="42"/>
      <c r="D20" s="47"/>
      <c r="E20" s="46"/>
      <c r="F20" s="47"/>
      <c r="G20" s="47"/>
      <c r="H20" s="3"/>
      <c r="I20" s="69"/>
    </row>
    <row r="21" customFormat="1" spans="1:12">
      <c r="A21" s="15"/>
      <c r="B21" s="21"/>
      <c r="C21" s="79"/>
      <c r="D21" s="47"/>
      <c r="E21" s="46"/>
      <c r="F21" s="47"/>
      <c r="G21" s="47"/>
      <c r="H21" s="3"/>
      <c r="I21" s="69"/>
    </row>
    <row r="22" customFormat="1" spans="1:12">
      <c r="A22" s="15"/>
      <c r="B22" s="21"/>
      <c r="C22" s="42"/>
      <c r="D22" s="47"/>
      <c r="E22" s="46"/>
      <c r="F22" s="47"/>
      <c r="G22" s="47"/>
      <c r="H22" s="3"/>
      <c r="I22" s="69"/>
    </row>
    <row r="23" customFormat="1" spans="1:12">
      <c r="A23" s="15"/>
      <c r="B23" s="21"/>
      <c r="C23" s="42"/>
      <c r="D23" s="47"/>
      <c r="E23" s="46"/>
      <c r="F23" s="47"/>
      <c r="G23" s="47"/>
      <c r="H23" s="3"/>
      <c r="I23" s="69"/>
      <c r="K23" s="80"/>
      <c r="L23" s="80"/>
    </row>
    <row r="24" customFormat="1" spans="1:12">
      <c r="A24" s="15"/>
      <c r="B24" s="21"/>
      <c r="C24" s="42"/>
      <c r="D24" s="47"/>
      <c r="E24" s="46"/>
      <c r="F24" s="47"/>
      <c r="G24" s="47"/>
      <c r="H24" s="3"/>
      <c r="I24" s="69"/>
    </row>
    <row r="25" customFormat="1" spans="1:12">
      <c r="A25" s="15"/>
      <c r="B25" s="21"/>
      <c r="C25" s="42"/>
      <c r="D25" s="47"/>
      <c r="E25" s="46"/>
      <c r="F25" s="47"/>
      <c r="G25" s="47"/>
      <c r="H25" s="3"/>
      <c r="I25" s="69"/>
    </row>
    <row r="26" customFormat="1" spans="1:12">
      <c r="A26" s="15"/>
      <c r="B26" s="21"/>
      <c r="C26" s="42"/>
      <c r="D26" s="47"/>
      <c r="E26" s="46"/>
      <c r="F26" s="47"/>
      <c r="G26" s="47"/>
      <c r="H26" s="3"/>
      <c r="I26" s="69"/>
    </row>
    <row r="27" customFormat="1" spans="1:12">
      <c r="A27" s="15"/>
      <c r="B27" s="21"/>
      <c r="C27" s="42"/>
      <c r="D27" s="47"/>
      <c r="E27" s="46"/>
      <c r="F27" s="47"/>
      <c r="G27" s="47"/>
      <c r="H27" s="3"/>
      <c r="I27" s="69"/>
    </row>
    <row r="28" customFormat="1" spans="1:12">
      <c r="A28" s="15"/>
      <c r="B28" s="21"/>
      <c r="C28" s="42"/>
      <c r="D28" s="47"/>
      <c r="E28" s="46"/>
      <c r="F28" s="47"/>
      <c r="G28" s="47"/>
      <c r="H28" s="3"/>
      <c r="I28" s="69"/>
    </row>
    <row r="29" customFormat="1" spans="1:12">
      <c r="A29" s="15"/>
      <c r="B29" s="21"/>
      <c r="C29" s="42"/>
      <c r="D29" s="47"/>
      <c r="E29" s="46"/>
      <c r="F29" s="47"/>
      <c r="G29" s="47"/>
      <c r="H29" s="3"/>
      <c r="I29" s="69"/>
    </row>
    <row r="30" customFormat="1" spans="1:12">
      <c r="A30" s="15"/>
      <c r="B30" s="21"/>
      <c r="C30" s="42"/>
      <c r="D30" s="47"/>
      <c r="E30" s="46"/>
      <c r="F30" s="47"/>
      <c r="G30" s="47"/>
      <c r="H30" s="3"/>
      <c r="I30" s="69"/>
    </row>
    <row r="31" customFormat="1" spans="1:12">
      <c r="A31" s="15"/>
      <c r="B31" s="21"/>
      <c r="C31" s="42"/>
      <c r="D31" s="47"/>
      <c r="E31" s="46"/>
      <c r="F31" s="47"/>
      <c r="G31" s="47"/>
      <c r="H31" s="3"/>
      <c r="I31" s="69"/>
    </row>
    <row r="32" customFormat="1" spans="1:12">
      <c r="A32" s="15"/>
      <c r="B32" s="21"/>
      <c r="C32" s="42"/>
      <c r="D32" s="47"/>
      <c r="E32" s="46"/>
      <c r="F32" s="47"/>
      <c r="G32" s="47"/>
      <c r="H32" s="3"/>
      <c r="I32" s="69"/>
    </row>
    <row r="33" customFormat="1" spans="1:9">
      <c r="A33" s="15"/>
      <c r="B33" s="21"/>
      <c r="C33" s="42"/>
      <c r="D33" s="47"/>
      <c r="E33" s="46"/>
      <c r="F33" s="47"/>
      <c r="G33" s="47"/>
      <c r="H33" s="3"/>
      <c r="I33" s="69"/>
    </row>
    <row r="34" customFormat="1" spans="1:9">
      <c r="A34" s="15"/>
      <c r="B34" s="21"/>
      <c r="C34" s="42"/>
      <c r="D34" s="47"/>
      <c r="E34" s="46"/>
      <c r="F34" s="47"/>
      <c r="G34" s="47"/>
      <c r="H34" s="3"/>
      <c r="I34" s="69"/>
    </row>
    <row r="35" customFormat="1" spans="1:9">
      <c r="A35" s="15"/>
      <c r="B35" s="21"/>
      <c r="C35" s="42"/>
      <c r="D35" s="47"/>
      <c r="E35" s="46"/>
      <c r="F35" s="47"/>
      <c r="G35" s="47"/>
      <c r="H35" s="3"/>
      <c r="I35" s="69"/>
    </row>
    <row r="36" customFormat="1" spans="1:9">
      <c r="A36" s="15"/>
      <c r="B36" s="21"/>
      <c r="C36" s="42"/>
      <c r="D36" s="47"/>
      <c r="E36" s="46"/>
      <c r="F36" s="47"/>
      <c r="G36" s="47"/>
      <c r="H36" s="3"/>
      <c r="I36" s="69"/>
    </row>
    <row r="37" customFormat="1" spans="1:9">
      <c r="A37" s="15"/>
      <c r="B37" s="21"/>
      <c r="C37" s="42"/>
      <c r="D37" s="47"/>
      <c r="E37" s="46"/>
      <c r="F37" s="47"/>
      <c r="G37" s="47"/>
      <c r="H37" s="3"/>
      <c r="I37" s="69"/>
    </row>
    <row r="38" customFormat="1" spans="1:9">
      <c r="A38" s="15"/>
      <c r="B38" s="21"/>
      <c r="C38" s="42"/>
      <c r="D38" s="47"/>
      <c r="E38" s="46"/>
      <c r="F38" s="47"/>
      <c r="G38" s="47"/>
      <c r="H38" s="3"/>
      <c r="I38" s="69"/>
    </row>
    <row r="39" customFormat="1" spans="1:9">
      <c r="A39" s="15"/>
      <c r="B39" s="21"/>
      <c r="C39" s="42"/>
      <c r="D39" s="47"/>
      <c r="E39" s="46"/>
      <c r="F39" s="47"/>
      <c r="G39" s="47"/>
      <c r="H39" s="3"/>
      <c r="I39" s="69"/>
    </row>
    <row r="40" customFormat="1" spans="1:9">
      <c r="A40" s="15"/>
      <c r="B40" s="21"/>
      <c r="C40" s="42"/>
      <c r="D40" s="47"/>
      <c r="E40" s="46"/>
      <c r="F40" s="47"/>
      <c r="G40" s="47"/>
      <c r="H40" s="3"/>
      <c r="I40" s="69"/>
    </row>
    <row r="41" customFormat="1" spans="1:9">
      <c r="A41" s="15"/>
      <c r="B41" s="21"/>
      <c r="C41" s="42"/>
      <c r="D41" s="47"/>
      <c r="E41" s="46"/>
      <c r="F41" s="47"/>
      <c r="G41" s="47"/>
      <c r="H41" s="3"/>
      <c r="I41" s="69"/>
    </row>
    <row r="42" customFormat="1" spans="1:9">
      <c r="A42" s="15"/>
      <c r="B42" s="21"/>
      <c r="C42" s="42"/>
      <c r="D42" s="47"/>
      <c r="E42" s="46"/>
      <c r="F42" s="47"/>
      <c r="G42" s="47"/>
      <c r="H42" s="3"/>
      <c r="I42" s="69"/>
    </row>
    <row r="43" customFormat="1" spans="1:9">
      <c r="A43" s="15"/>
      <c r="B43" s="21"/>
      <c r="C43" s="42"/>
      <c r="D43" s="47"/>
      <c r="E43" s="46"/>
      <c r="F43" s="47"/>
      <c r="G43" s="47"/>
      <c r="H43" s="3"/>
      <c r="I43" s="69"/>
    </row>
    <row r="44" customFormat="1" spans="1:9">
      <c r="A44" s="15"/>
      <c r="B44" s="21"/>
      <c r="C44" s="42"/>
      <c r="D44" s="47"/>
      <c r="E44" s="46"/>
      <c r="F44" s="47"/>
      <c r="G44" s="47"/>
      <c r="H44" s="3"/>
      <c r="I44" s="69"/>
    </row>
    <row r="45" customFormat="1" spans="1:9">
      <c r="A45" s="15"/>
      <c r="B45" s="21"/>
      <c r="C45" s="42"/>
      <c r="D45" s="47"/>
      <c r="E45" s="46"/>
      <c r="F45" s="47"/>
      <c r="G45" s="47"/>
      <c r="H45" s="3"/>
      <c r="I45" s="69"/>
    </row>
    <row r="46" customFormat="1" spans="1:9">
      <c r="A46" s="15"/>
      <c r="B46" s="21"/>
      <c r="C46" s="42"/>
      <c r="D46" s="47"/>
      <c r="E46" s="46"/>
      <c r="F46" s="47"/>
      <c r="G46" s="47"/>
      <c r="H46" s="3"/>
      <c r="I46" s="69"/>
    </row>
    <row r="47" customFormat="1" spans="1:9">
      <c r="A47" s="15"/>
      <c r="B47" s="21"/>
      <c r="C47" s="42"/>
      <c r="D47" s="47"/>
      <c r="E47" s="46"/>
      <c r="F47" s="47"/>
      <c r="G47" s="47"/>
      <c r="H47" s="3"/>
      <c r="I47" s="69"/>
    </row>
    <row r="48" customFormat="1" spans="1:9">
      <c r="A48" s="15"/>
      <c r="B48" s="21"/>
      <c r="C48" s="42"/>
      <c r="D48" s="47"/>
      <c r="E48" s="46"/>
      <c r="F48" s="47"/>
      <c r="G48" s="47"/>
      <c r="H48" s="3"/>
      <c r="I48" s="69"/>
    </row>
    <row r="49" customFormat="1" spans="1:9">
      <c r="A49" s="15"/>
      <c r="B49" s="21"/>
      <c r="C49" s="42"/>
      <c r="D49" s="47"/>
      <c r="E49" s="46"/>
      <c r="F49" s="47"/>
      <c r="G49" s="47"/>
      <c r="H49" s="3"/>
      <c r="I49" s="69"/>
    </row>
    <row r="50" customFormat="1" spans="1:9">
      <c r="A50" s="15"/>
      <c r="B50" s="21"/>
      <c r="C50" s="42"/>
      <c r="D50" s="47"/>
      <c r="E50" s="46"/>
      <c r="F50" s="47"/>
      <c r="G50" s="47"/>
      <c r="H50" s="3"/>
      <c r="I50" s="69"/>
    </row>
    <row r="51" customFormat="1" spans="1:9">
      <c r="A51" s="15"/>
      <c r="B51" s="21"/>
      <c r="C51" s="42"/>
      <c r="D51" s="47"/>
      <c r="E51" s="46"/>
      <c r="F51" s="47"/>
      <c r="G51" s="47"/>
      <c r="H51" s="3"/>
      <c r="I51" s="69"/>
    </row>
    <row r="52" customFormat="1" spans="1:9">
      <c r="A52" s="15"/>
      <c r="B52" s="21"/>
      <c r="C52" s="42"/>
      <c r="D52" s="47"/>
      <c r="E52" s="46"/>
      <c r="F52" s="47"/>
      <c r="G52" s="47"/>
      <c r="H52" s="3"/>
      <c r="I52" s="69"/>
    </row>
    <row r="53" customFormat="1" spans="1:9">
      <c r="A53" s="15"/>
      <c r="B53" s="21"/>
      <c r="C53" s="42"/>
      <c r="D53" s="47"/>
      <c r="E53" s="46"/>
      <c r="F53" s="47"/>
      <c r="G53" s="47"/>
      <c r="H53" s="3"/>
      <c r="I53" s="69"/>
    </row>
    <row r="54" customFormat="1" spans="1:9">
      <c r="A54" s="15"/>
      <c r="B54" s="21"/>
      <c r="C54" s="42"/>
      <c r="D54" s="47"/>
      <c r="E54" s="46"/>
      <c r="F54" s="47"/>
      <c r="G54" s="47"/>
      <c r="H54" s="3"/>
      <c r="I54" s="69"/>
    </row>
    <row r="55" customFormat="1" spans="1:9">
      <c r="A55" s="15"/>
      <c r="B55" s="21"/>
      <c r="C55" s="42"/>
      <c r="D55" s="47"/>
      <c r="E55" s="46"/>
      <c r="F55" s="47"/>
      <c r="G55" s="47"/>
      <c r="H55" s="3"/>
      <c r="I55" s="69"/>
    </row>
    <row r="56" customFormat="1" spans="1:9">
      <c r="A56" s="15"/>
      <c r="B56" s="21"/>
      <c r="C56" s="42"/>
      <c r="D56" s="47"/>
      <c r="E56" s="46"/>
      <c r="F56" s="47"/>
      <c r="G56" s="47"/>
      <c r="H56" s="3"/>
      <c r="I56" s="69"/>
    </row>
    <row r="57" customFormat="1" spans="1:9">
      <c r="A57" s="15"/>
      <c r="B57" s="21"/>
      <c r="C57" s="47"/>
      <c r="D57" s="47"/>
      <c r="E57" s="46"/>
      <c r="F57" s="47"/>
      <c r="G57" s="42"/>
      <c r="H57" s="3"/>
      <c r="I57" s="69"/>
    </row>
    <row r="58" customFormat="1" spans="1:9">
      <c r="A58" s="15"/>
      <c r="B58" s="21"/>
      <c r="C58" s="47"/>
      <c r="D58" s="47"/>
      <c r="E58" s="46"/>
      <c r="F58" s="47"/>
      <c r="G58" s="42"/>
      <c r="H58" s="3"/>
      <c r="I58" s="69"/>
    </row>
    <row r="59" customFormat="1" spans="1:9">
      <c r="A59" s="15"/>
      <c r="B59" s="21"/>
      <c r="C59" s="42"/>
      <c r="D59" s="47"/>
      <c r="E59" s="46"/>
      <c r="F59" s="47"/>
      <c r="G59" s="47"/>
      <c r="H59" s="3"/>
      <c r="I59" s="69"/>
    </row>
    <row r="60" customFormat="1" spans="1:9">
      <c r="A60" s="15"/>
      <c r="B60" s="21"/>
      <c r="C60" s="42"/>
      <c r="D60" s="47"/>
      <c r="E60" s="46"/>
      <c r="F60" s="47"/>
      <c r="G60" s="47"/>
      <c r="H60" s="3"/>
      <c r="I60" s="69"/>
    </row>
    <row r="61" customFormat="1" spans="1:9">
      <c r="A61" s="15"/>
      <c r="B61" s="21"/>
      <c r="C61" s="42"/>
      <c r="D61" s="47"/>
      <c r="E61" s="46"/>
      <c r="F61" s="47"/>
      <c r="G61" s="47"/>
      <c r="H61" s="3"/>
      <c r="I61" s="69"/>
    </row>
    <row r="62" customFormat="1" spans="1:9">
      <c r="A62" s="15"/>
      <c r="B62" s="21"/>
      <c r="C62" s="81"/>
      <c r="D62" s="47"/>
      <c r="E62" s="46"/>
      <c r="F62" s="47"/>
      <c r="G62" s="47"/>
      <c r="H62" s="3"/>
      <c r="I62" s="69"/>
    </row>
    <row r="63" customFormat="1" spans="1:9">
      <c r="A63" s="15"/>
      <c r="B63" s="21"/>
      <c r="C63" s="47"/>
      <c r="D63" s="47"/>
      <c r="E63" s="46"/>
      <c r="F63" s="47"/>
      <c r="G63" s="42"/>
      <c r="H63" s="3"/>
      <c r="I63" s="69"/>
    </row>
    <row r="64" customFormat="1" spans="1:9">
      <c r="A64" s="15"/>
      <c r="B64" s="21"/>
      <c r="C64" s="47"/>
      <c r="D64" s="47"/>
      <c r="E64" s="46"/>
      <c r="F64" s="47"/>
      <c r="G64" s="42"/>
      <c r="H64" s="3"/>
      <c r="I64" s="69"/>
    </row>
    <row r="65" customFormat="1" spans="1:10">
      <c r="A65" s="15"/>
      <c r="B65" s="21"/>
      <c r="C65" s="47"/>
      <c r="D65" s="47"/>
      <c r="E65" s="46"/>
      <c r="F65" s="47"/>
      <c r="G65" s="42"/>
      <c r="H65" s="3"/>
      <c r="I65" s="69"/>
    </row>
    <row r="66" customFormat="1" spans="1:10">
      <c r="A66" s="15"/>
      <c r="B66" s="21"/>
      <c r="C66" s="82"/>
      <c r="D66" s="47"/>
      <c r="E66" s="46"/>
      <c r="F66" s="47"/>
      <c r="G66" s="42"/>
      <c r="H66" s="3"/>
      <c r="I66" s="69"/>
      <c r="J66" t="s">
        <v>318</v>
      </c>
    </row>
    <row r="67" customFormat="1" spans="1:10">
      <c r="A67" s="15"/>
      <c r="B67" s="21"/>
      <c r="C67" s="82"/>
      <c r="D67" s="47"/>
      <c r="E67" s="46"/>
      <c r="F67" s="47"/>
      <c r="G67" s="42"/>
      <c r="H67" s="3"/>
      <c r="I67" s="69"/>
      <c r="J67" t="s">
        <v>318</v>
      </c>
    </row>
    <row r="68" customFormat="1" spans="1:10">
      <c r="A68" s="15"/>
      <c r="B68" s="21"/>
      <c r="C68" s="47"/>
      <c r="D68" s="47"/>
      <c r="E68" s="46"/>
      <c r="F68" s="47"/>
      <c r="G68" s="42"/>
      <c r="H68" s="3"/>
      <c r="I68" s="69"/>
    </row>
    <row r="69" customFormat="1" spans="1:10">
      <c r="A69" s="15"/>
      <c r="B69" s="21"/>
      <c r="C69" s="47"/>
      <c r="D69" s="47"/>
      <c r="E69" s="46"/>
      <c r="F69" s="47"/>
      <c r="G69" s="47"/>
      <c r="H69" s="3"/>
      <c r="I69" s="69"/>
    </row>
    <row r="70" customFormat="1" spans="1:10">
      <c r="A70" s="15"/>
      <c r="B70" s="21"/>
      <c r="C70" s="47"/>
      <c r="D70" s="47"/>
      <c r="E70" s="46"/>
      <c r="F70" s="47"/>
      <c r="G70" s="42"/>
      <c r="H70" s="3"/>
      <c r="I70" s="69"/>
    </row>
    <row r="71" customFormat="1" spans="1:10">
      <c r="A71" s="15"/>
      <c r="B71" s="21"/>
      <c r="C71" s="47"/>
      <c r="D71" s="47"/>
      <c r="E71" s="46"/>
      <c r="F71" s="47"/>
      <c r="G71" s="42"/>
      <c r="H71" s="3"/>
      <c r="I71" s="69"/>
    </row>
    <row r="72" customFormat="1" spans="1:10">
      <c r="A72" s="15"/>
      <c r="B72" s="21"/>
      <c r="C72" s="47"/>
      <c r="D72" s="47"/>
      <c r="E72" s="46"/>
      <c r="F72" s="47"/>
      <c r="G72" s="42"/>
      <c r="H72" s="3"/>
      <c r="I72" s="69"/>
    </row>
    <row r="73" customFormat="1" spans="1:10">
      <c r="A73" s="15"/>
      <c r="B73" s="21"/>
      <c r="C73" s="47"/>
      <c r="D73" s="47"/>
      <c r="E73" s="46"/>
      <c r="F73" s="47"/>
      <c r="G73" s="42"/>
      <c r="H73" s="3"/>
      <c r="I73" s="69"/>
    </row>
    <row r="74" customFormat="1" spans="1:10">
      <c r="A74" s="15"/>
      <c r="B74" s="21"/>
      <c r="C74" s="47"/>
      <c r="D74" s="47"/>
      <c r="E74" s="46"/>
      <c r="F74" s="47"/>
      <c r="G74" s="42"/>
      <c r="H74" s="3"/>
      <c r="I74" s="69"/>
    </row>
    <row r="75" customFormat="1" spans="1:10">
      <c r="A75" s="15"/>
      <c r="B75" s="21"/>
      <c r="C75" s="47"/>
      <c r="D75" s="47"/>
      <c r="E75" s="46"/>
      <c r="F75" s="47"/>
      <c r="G75" s="42"/>
      <c r="H75" s="3"/>
      <c r="I75" s="69"/>
    </row>
    <row r="76" customFormat="1" spans="1:10">
      <c r="A76" s="15"/>
      <c r="B76" s="21"/>
      <c r="C76" s="47"/>
      <c r="D76" s="47"/>
      <c r="E76" s="46"/>
      <c r="F76" s="47"/>
      <c r="G76" s="47"/>
      <c r="H76" s="3"/>
      <c r="I76" s="69"/>
    </row>
    <row r="77" customFormat="1" spans="1:10">
      <c r="A77" s="15"/>
      <c r="B77" s="21"/>
      <c r="C77" s="47"/>
      <c r="D77" s="47"/>
      <c r="E77" s="46"/>
      <c r="F77" s="47"/>
      <c r="G77" s="47"/>
      <c r="H77" s="3"/>
      <c r="I77" s="69"/>
    </row>
    <row r="78" customFormat="1" spans="1:10">
      <c r="A78" s="15"/>
      <c r="B78" s="21"/>
      <c r="C78" s="47"/>
      <c r="D78" s="47"/>
      <c r="E78" s="46"/>
      <c r="F78" s="47"/>
      <c r="G78" s="42"/>
      <c r="H78" s="3"/>
      <c r="I78" s="69"/>
    </row>
    <row r="79" customFormat="1" spans="1:10">
      <c r="A79" s="15"/>
      <c r="B79" s="21"/>
      <c r="C79" s="47"/>
      <c r="D79" s="47"/>
      <c r="E79" s="46"/>
      <c r="F79" s="47"/>
      <c r="G79" s="42"/>
      <c r="H79" s="3"/>
      <c r="I79" s="69"/>
    </row>
    <row r="80" customFormat="1" spans="1:10">
      <c r="A80" s="15"/>
      <c r="B80" s="21"/>
      <c r="C80" s="47"/>
      <c r="D80" s="47"/>
      <c r="E80" s="46"/>
      <c r="F80" s="47"/>
      <c r="G80" s="47"/>
      <c r="H80" s="3"/>
      <c r="I80" s="69"/>
    </row>
    <row r="81" customFormat="1" spans="1:9">
      <c r="A81" s="15"/>
      <c r="B81" s="21"/>
      <c r="C81" s="47"/>
      <c r="D81" s="47"/>
      <c r="E81" s="46"/>
      <c r="F81" s="47"/>
      <c r="G81" s="47"/>
      <c r="H81" s="3"/>
      <c r="I81" s="69"/>
    </row>
    <row r="82" customFormat="1" spans="1:9">
      <c r="A82" s="15"/>
      <c r="B82" s="21"/>
      <c r="C82" s="47"/>
      <c r="D82" s="47"/>
      <c r="E82" s="46"/>
      <c r="F82" s="47"/>
      <c r="G82" s="47"/>
      <c r="H82" s="3"/>
      <c r="I82" s="69"/>
    </row>
    <row r="83" customFormat="1" spans="1:9">
      <c r="A83" s="15"/>
      <c r="B83" s="21"/>
      <c r="C83" s="47"/>
      <c r="D83" s="47"/>
      <c r="E83" s="46"/>
      <c r="F83" s="47"/>
      <c r="G83" s="47"/>
      <c r="H83" s="3"/>
      <c r="I83" s="69"/>
    </row>
    <row r="84" spans="1:9">
      <c r="A84" s="15"/>
      <c r="B84" s="21"/>
      <c r="C84" s="47"/>
      <c r="D84" s="47"/>
      <c r="E84" s="46"/>
      <c r="F84" s="47"/>
      <c r="G84" s="42"/>
      <c r="H84" s="3"/>
      <c r="I84" s="3"/>
    </row>
    <row r="85" spans="1:9">
      <c r="A85" s="15"/>
      <c r="B85" s="3"/>
      <c r="C85" s="3"/>
      <c r="D85" s="3"/>
      <c r="E85" s="3"/>
      <c r="F85" s="3"/>
      <c r="G85" s="3"/>
      <c r="H85" s="3"/>
      <c r="I85" s="3"/>
    </row>
    <row r="86" s="67" customFormat="1" spans="1:9">
      <c r="A86" s="74"/>
      <c r="B86" s="75"/>
      <c r="C86" s="75"/>
      <c r="D86" s="75" t="s">
        <v>88</v>
      </c>
      <c r="E86" s="76">
        <f>SUM(E3:E85)</f>
        <v>0</v>
      </c>
      <c r="F86" s="75"/>
      <c r="G86" s="75"/>
      <c r="H86" s="75"/>
      <c r="I86" s="75"/>
    </row>
    <row r="88" spans="1:9">
      <c r="E88">
        <v>2017372.7</v>
      </c>
      <c r="F88">
        <v>1928877.66</v>
      </c>
    </row>
    <row r="89" spans="1:9">
      <c r="E89">
        <f>E86-E88</f>
        <v>-2017372.7</v>
      </c>
      <c r="F89">
        <f>E86-E66-E67-E62+624.49-F88</f>
        <v>-1928253.17</v>
      </c>
    </row>
  </sheetData>
  <sheetProtection formatCells="0" formatColumns="0" formatRows="0" insertRows="0" insertColumns="0" insertHyperlinks="0" deleteColumns="0" deleteRows="0" sort="0" autoFilter="0" pivotTables="0"/>
  <autoFilter xmlns:etc="http://www.wps.cn/officeDocument/2017/etCustomData" ref="A2:L83" etc:filterBottomFollowUsedRange="0">
    <extLst/>
  </autoFilter>
  <mergeCells count="1">
    <mergeCell ref="A1:I1"/>
  </mergeCells>
  <dataValidations count="1">
    <dataValidation allowBlank="1" showInputMessage="1" showErrorMessage="1" sqref="D6:D7 I6:I8"/>
  </dataValidations>
  <pageMargins left="0.75" right="0.75" top="1" bottom="1" header="0.5" footer="0.5"/>
  <pageSetup paperSize="9" orientation="portrait"/>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7"/>
  <sheetViews>
    <sheetView workbookViewId="0">
      <pane ySplit="2" topLeftCell="A49" activePane="bottomLeft" state="frozen"/>
      <selection/>
      <selection pane="bottomLeft" activeCell="A3" sqref="A3:I62"/>
    </sheetView>
  </sheetViews>
  <sheetFormatPr defaultColWidth="9" defaultRowHeight="13.5"/>
  <cols>
    <col min="2" max="2" width="12.5083333333333" customWidth="1"/>
    <col min="3" max="3" width="32.25" customWidth="1"/>
    <col min="4" max="4" width="22.25" customWidth="1"/>
    <col min="5" max="5" width="18.5" customWidth="1"/>
    <col min="6" max="6" width="13" customWidth="1"/>
    <col min="7" max="7" width="18.8666666666667" customWidth="1"/>
    <col min="9" max="9" width="11.6166666666667" customWidth="1"/>
  </cols>
  <sheetData>
    <row r="1" s="64" customFormat="1" ht="27" customHeight="1" spans="1:10">
      <c r="A1" s="19" t="s">
        <v>319</v>
      </c>
      <c r="B1" s="19"/>
      <c r="C1" s="19"/>
      <c r="D1" s="19"/>
      <c r="E1" s="19"/>
      <c r="F1" s="19"/>
      <c r="G1" s="19"/>
      <c r="H1" s="19"/>
      <c r="I1" s="19"/>
    </row>
    <row r="2" s="65" customFormat="1" ht="20.25" customHeight="1" spans="1:10">
      <c r="A2" s="5" t="s">
        <v>1</v>
      </c>
      <c r="B2" s="5" t="s">
        <v>2</v>
      </c>
      <c r="C2" s="6" t="s">
        <v>3</v>
      </c>
      <c r="D2" s="6" t="s">
        <v>4</v>
      </c>
      <c r="E2" s="68" t="s">
        <v>5</v>
      </c>
      <c r="F2" s="8" t="s">
        <v>6</v>
      </c>
      <c r="G2" s="6" t="s">
        <v>7</v>
      </c>
      <c r="H2" s="6" t="s">
        <v>8</v>
      </c>
      <c r="I2" s="6" t="s">
        <v>9</v>
      </c>
      <c r="J2" s="65" t="s">
        <v>10</v>
      </c>
    </row>
    <row r="3" customFormat="1" spans="1:10">
      <c r="A3" s="15"/>
      <c r="B3" s="21"/>
      <c r="C3" s="47"/>
      <c r="D3" s="47"/>
      <c r="E3" s="46"/>
      <c r="F3" s="47"/>
      <c r="G3" s="47"/>
      <c r="H3" s="3"/>
      <c r="I3" s="69"/>
    </row>
    <row r="4" customFormat="1" spans="1:10">
      <c r="A4" s="15"/>
      <c r="B4" s="21"/>
      <c r="C4" s="47"/>
      <c r="D4" s="47"/>
      <c r="E4" s="46"/>
      <c r="F4" s="47"/>
      <c r="G4" s="47"/>
      <c r="H4" s="3"/>
      <c r="I4" s="69"/>
    </row>
    <row r="5" customFormat="1" spans="1:10">
      <c r="A5" s="15"/>
      <c r="B5" s="21"/>
      <c r="C5" s="47"/>
      <c r="D5" s="47"/>
      <c r="E5" s="46"/>
      <c r="F5" s="47"/>
      <c r="G5" s="47"/>
      <c r="H5" s="3"/>
      <c r="I5" s="69"/>
    </row>
    <row r="6" customFormat="1" spans="1:10">
      <c r="A6" s="15"/>
      <c r="B6" s="21"/>
      <c r="C6" s="47"/>
      <c r="D6" s="47"/>
      <c r="E6" s="46"/>
      <c r="F6" s="47"/>
      <c r="G6" s="47"/>
      <c r="H6" s="3"/>
      <c r="I6" s="69"/>
    </row>
    <row r="7" customFormat="1" spans="1:10">
      <c r="A7" s="15"/>
      <c r="B7" s="21"/>
      <c r="C7" s="47"/>
      <c r="D7" s="47"/>
      <c r="E7" s="46"/>
      <c r="F7" s="47"/>
      <c r="G7" s="47"/>
      <c r="H7" s="3"/>
      <c r="I7" s="69"/>
    </row>
    <row r="8" customFormat="1" spans="1:10">
      <c r="A8" s="15"/>
      <c r="B8" s="21"/>
      <c r="C8" s="47"/>
      <c r="D8" s="47"/>
      <c r="E8" s="46"/>
      <c r="F8" s="47"/>
      <c r="G8" s="47"/>
      <c r="H8" s="3"/>
      <c r="I8" s="69"/>
    </row>
    <row r="9" customFormat="1" spans="1:10">
      <c r="A9" s="15"/>
      <c r="B9" s="21"/>
      <c r="C9" s="47"/>
      <c r="D9" s="47"/>
      <c r="E9" s="46"/>
      <c r="F9" s="47"/>
      <c r="G9" s="47"/>
      <c r="H9" s="3"/>
      <c r="I9" s="69"/>
    </row>
    <row r="10" customFormat="1" spans="1:10">
      <c r="A10" s="15"/>
      <c r="B10" s="21"/>
      <c r="C10" s="47"/>
      <c r="D10" s="47"/>
      <c r="E10" s="46"/>
      <c r="F10" s="47"/>
      <c r="G10" s="47"/>
      <c r="H10" s="3"/>
      <c r="I10" s="69"/>
    </row>
    <row r="11" customFormat="1" spans="1:10">
      <c r="A11" s="15"/>
      <c r="B11" s="21"/>
      <c r="C11" s="47"/>
      <c r="D11" s="47"/>
      <c r="E11" s="46"/>
      <c r="F11" s="47"/>
      <c r="G11" s="47"/>
      <c r="H11" s="3"/>
      <c r="I11" s="69"/>
    </row>
    <row r="12" customFormat="1" spans="1:10">
      <c r="A12" s="15"/>
      <c r="B12" s="21"/>
      <c r="C12" s="47"/>
      <c r="D12" s="47"/>
      <c r="E12" s="46"/>
      <c r="F12" s="47"/>
      <c r="G12" s="47"/>
      <c r="H12" s="3"/>
      <c r="I12" s="69"/>
    </row>
    <row r="13" customFormat="1" spans="1:10">
      <c r="A13" s="15"/>
      <c r="B13" s="21"/>
      <c r="C13" s="47"/>
      <c r="D13" s="47"/>
      <c r="E13" s="46"/>
      <c r="F13" s="47"/>
      <c r="G13" s="47"/>
      <c r="H13" s="3"/>
      <c r="I13" s="69"/>
    </row>
    <row r="14" customFormat="1" spans="1:10">
      <c r="A14" s="15"/>
      <c r="B14" s="21"/>
      <c r="C14" s="78"/>
      <c r="D14" s="47"/>
      <c r="E14" s="46"/>
      <c r="F14" s="47"/>
      <c r="G14" s="47"/>
      <c r="H14" s="3"/>
      <c r="I14" s="69"/>
    </row>
    <row r="15" customFormat="1" spans="1:10">
      <c r="A15" s="15"/>
      <c r="B15" s="21"/>
      <c r="C15" s="47"/>
      <c r="D15" s="47"/>
      <c r="E15" s="46"/>
      <c r="F15" s="47"/>
      <c r="G15" s="47"/>
      <c r="H15" s="3"/>
      <c r="I15" s="69"/>
    </row>
    <row r="16" customFormat="1" spans="1:10">
      <c r="A16" s="15"/>
      <c r="B16" s="21"/>
      <c r="C16" s="47"/>
      <c r="D16" s="47"/>
      <c r="E16" s="46"/>
      <c r="F16" s="47"/>
      <c r="G16" s="47"/>
      <c r="H16" s="3"/>
      <c r="I16" s="69"/>
    </row>
    <row r="17" customFormat="1" spans="1:9">
      <c r="A17" s="15"/>
      <c r="B17" s="21"/>
      <c r="C17" s="47"/>
      <c r="D17" s="47"/>
      <c r="E17" s="46"/>
      <c r="F17" s="47"/>
      <c r="G17" s="47"/>
      <c r="H17" s="3"/>
      <c r="I17" s="69"/>
    </row>
    <row r="18" customFormat="1" spans="1:9">
      <c r="A18" s="15"/>
      <c r="B18" s="21"/>
      <c r="C18" s="47"/>
      <c r="D18" s="47"/>
      <c r="E18" s="46"/>
      <c r="F18" s="47"/>
      <c r="G18" s="47"/>
      <c r="H18" s="3"/>
      <c r="I18" s="69"/>
    </row>
    <row r="19" customFormat="1" spans="1:9">
      <c r="A19" s="15"/>
      <c r="B19" s="21"/>
      <c r="C19" s="47"/>
      <c r="D19" s="47"/>
      <c r="E19" s="46"/>
      <c r="F19" s="47"/>
      <c r="G19" s="47"/>
      <c r="H19" s="3"/>
      <c r="I19" s="69"/>
    </row>
    <row r="20" customFormat="1" ht="24" customHeight="1" spans="1:9">
      <c r="A20" s="15"/>
      <c r="B20" s="21"/>
      <c r="C20" s="42"/>
      <c r="D20" s="3"/>
      <c r="E20" s="46"/>
      <c r="F20" s="42"/>
      <c r="G20" s="42"/>
      <c r="H20" s="3"/>
      <c r="I20" s="69"/>
    </row>
    <row r="21" customFormat="1" spans="1:9">
      <c r="A21" s="15"/>
      <c r="B21" s="21"/>
      <c r="C21" s="47"/>
      <c r="D21" s="47"/>
      <c r="E21" s="46"/>
      <c r="F21" s="47"/>
      <c r="G21" s="47"/>
      <c r="H21" s="3"/>
      <c r="I21" s="69"/>
    </row>
    <row r="22" customFormat="1" spans="1:9">
      <c r="A22" s="15"/>
      <c r="B22" s="21"/>
      <c r="C22" s="47"/>
      <c r="D22" s="47"/>
      <c r="E22" s="46"/>
      <c r="F22" s="47"/>
      <c r="G22" s="47"/>
      <c r="H22" s="3"/>
      <c r="I22" s="69"/>
    </row>
    <row r="23" customFormat="1" spans="1:9">
      <c r="A23" s="15"/>
      <c r="B23" s="21"/>
      <c r="C23" s="47"/>
      <c r="D23" s="47"/>
      <c r="E23" s="46"/>
      <c r="F23" s="47"/>
      <c r="G23" s="47"/>
      <c r="H23" s="3"/>
      <c r="I23" s="69"/>
    </row>
    <row r="24" customFormat="1" spans="1:9">
      <c r="A24" s="15"/>
      <c r="B24" s="21"/>
      <c r="C24" s="47"/>
      <c r="D24" s="47"/>
      <c r="E24" s="46"/>
      <c r="F24" s="47"/>
      <c r="G24" s="47"/>
      <c r="H24" s="3"/>
      <c r="I24" s="69"/>
    </row>
    <row r="25" customFormat="1" spans="1:9">
      <c r="A25" s="15"/>
      <c r="B25" s="21"/>
      <c r="C25" s="47"/>
      <c r="D25" s="47"/>
      <c r="E25" s="46"/>
      <c r="F25" s="47"/>
      <c r="G25" s="47"/>
      <c r="H25" s="3"/>
      <c r="I25" s="69"/>
    </row>
    <row r="26" customFormat="1" spans="1:9">
      <c r="A26" s="15"/>
      <c r="B26" s="21"/>
      <c r="C26" s="47"/>
      <c r="D26" s="47"/>
      <c r="E26" s="46"/>
      <c r="F26" s="47"/>
      <c r="G26" s="47"/>
      <c r="H26" s="3"/>
      <c r="I26" s="69"/>
    </row>
    <row r="27" customFormat="1" spans="1:9">
      <c r="A27" s="15"/>
      <c r="B27" s="21"/>
      <c r="C27" s="47"/>
      <c r="D27" s="47"/>
      <c r="E27" s="46"/>
      <c r="F27" s="47"/>
      <c r="G27" s="47"/>
      <c r="H27" s="3"/>
      <c r="I27" s="69"/>
    </row>
    <row r="28" customFormat="1" spans="1:9">
      <c r="A28" s="15"/>
      <c r="B28" s="21"/>
      <c r="C28" s="47"/>
      <c r="D28" s="47"/>
      <c r="E28" s="46"/>
      <c r="F28" s="47"/>
      <c r="G28" s="47"/>
      <c r="H28" s="3"/>
      <c r="I28" s="69"/>
    </row>
    <row r="29" customFormat="1" spans="1:9">
      <c r="A29" s="15"/>
      <c r="B29" s="21"/>
      <c r="C29" s="47"/>
      <c r="D29" s="47"/>
      <c r="E29" s="46"/>
      <c r="F29" s="47"/>
      <c r="G29" s="47"/>
      <c r="H29" s="3"/>
      <c r="I29" s="69"/>
    </row>
    <row r="30" customFormat="1" spans="1:9">
      <c r="A30" s="15"/>
      <c r="B30" s="21"/>
      <c r="C30" s="47"/>
      <c r="D30" s="47"/>
      <c r="E30" s="46"/>
      <c r="F30" s="47"/>
      <c r="G30" s="47"/>
      <c r="H30" s="3"/>
      <c r="I30" s="69"/>
    </row>
    <row r="31" customFormat="1" spans="1:9">
      <c r="A31" s="15"/>
      <c r="B31" s="21"/>
      <c r="C31" s="47"/>
      <c r="D31" s="47"/>
      <c r="E31" s="46"/>
      <c r="F31" s="47"/>
      <c r="G31" s="47"/>
      <c r="H31" s="3"/>
      <c r="I31" s="69"/>
    </row>
    <row r="32" customFormat="1" spans="1:9">
      <c r="A32" s="15"/>
      <c r="B32" s="21"/>
      <c r="C32" s="47"/>
      <c r="D32" s="47"/>
      <c r="E32" s="46"/>
      <c r="F32" s="47"/>
      <c r="G32" s="47"/>
      <c r="H32" s="3"/>
      <c r="I32" s="69"/>
    </row>
    <row r="33" customFormat="1" spans="1:9">
      <c r="A33" s="15"/>
      <c r="B33" s="21"/>
      <c r="C33" s="47"/>
      <c r="D33" s="47"/>
      <c r="E33" s="46"/>
      <c r="F33" s="47"/>
      <c r="G33" s="47"/>
      <c r="H33" s="3"/>
      <c r="I33" s="69"/>
    </row>
    <row r="34" customFormat="1" spans="1:9">
      <c r="A34" s="15"/>
      <c r="B34" s="21"/>
      <c r="C34" s="47"/>
      <c r="D34" s="47"/>
      <c r="E34" s="46"/>
      <c r="F34" s="47"/>
      <c r="G34" s="47"/>
      <c r="H34" s="3"/>
      <c r="I34" s="69"/>
    </row>
    <row r="35" customFormat="1" spans="1:9">
      <c r="A35" s="15"/>
      <c r="B35" s="21"/>
      <c r="C35" s="47"/>
      <c r="D35" s="47"/>
      <c r="E35" s="46"/>
      <c r="F35" s="47"/>
      <c r="G35" s="47"/>
      <c r="H35" s="3"/>
      <c r="I35" s="69"/>
    </row>
    <row r="36" customFormat="1" spans="1:9">
      <c r="A36" s="15"/>
      <c r="B36" s="21"/>
      <c r="C36" s="42"/>
      <c r="D36" s="42"/>
      <c r="E36" s="46"/>
      <c r="F36" s="47"/>
      <c r="G36" s="47"/>
      <c r="H36" s="3"/>
      <c r="I36" s="69"/>
    </row>
    <row r="37" customFormat="1" spans="1:9">
      <c r="A37" s="15"/>
      <c r="B37" s="21"/>
      <c r="C37" s="42"/>
      <c r="D37" s="42"/>
      <c r="E37" s="46"/>
      <c r="F37" s="47"/>
      <c r="G37" s="42"/>
      <c r="H37" s="3"/>
      <c r="I37" s="69"/>
    </row>
    <row r="38" customFormat="1" spans="1:9">
      <c r="A38" s="15"/>
      <c r="B38" s="21"/>
      <c r="C38" s="42"/>
      <c r="D38" s="42"/>
      <c r="E38" s="46"/>
      <c r="F38" s="47"/>
      <c r="G38" s="42"/>
      <c r="H38" s="3"/>
      <c r="I38" s="69"/>
    </row>
    <row r="39" customFormat="1" spans="1:9">
      <c r="A39" s="15"/>
      <c r="B39" s="21"/>
      <c r="C39" s="42"/>
      <c r="D39" s="42"/>
      <c r="E39" s="46"/>
      <c r="F39" s="47"/>
      <c r="G39" s="42"/>
      <c r="H39" s="3"/>
      <c r="I39" s="69"/>
    </row>
    <row r="40" customFormat="1" spans="1:9">
      <c r="A40" s="15"/>
      <c r="B40" s="21"/>
      <c r="C40" s="42"/>
      <c r="D40" s="42"/>
      <c r="E40" s="46"/>
      <c r="F40" s="47"/>
      <c r="G40" s="42"/>
      <c r="H40" s="3"/>
      <c r="I40" s="69"/>
    </row>
    <row r="41" customFormat="1" spans="1:9">
      <c r="A41" s="15"/>
      <c r="B41" s="21"/>
      <c r="C41" s="42"/>
      <c r="D41" s="42"/>
      <c r="E41" s="46"/>
      <c r="F41" s="47"/>
      <c r="G41" s="42"/>
      <c r="H41" s="3"/>
      <c r="I41" s="69"/>
    </row>
    <row r="42" customFormat="1" spans="1:9">
      <c r="A42" s="15"/>
      <c r="B42" s="21"/>
      <c r="C42" s="42"/>
      <c r="D42" s="42"/>
      <c r="E42" s="46"/>
      <c r="F42" s="47"/>
      <c r="G42" s="42"/>
      <c r="H42" s="3"/>
      <c r="I42" s="69"/>
    </row>
    <row r="43" customFormat="1" spans="1:9">
      <c r="A43" s="15"/>
      <c r="B43" s="21"/>
      <c r="C43" s="42"/>
      <c r="D43" s="42"/>
      <c r="E43" s="46"/>
      <c r="F43" s="47"/>
      <c r="G43" s="42"/>
      <c r="H43" s="3"/>
      <c r="I43" s="69"/>
    </row>
    <row r="44" customFormat="1" spans="1:9">
      <c r="A44" s="15"/>
      <c r="B44" s="21"/>
      <c r="C44" s="42"/>
      <c r="D44" s="42"/>
      <c r="E44" s="46"/>
      <c r="F44" s="47"/>
      <c r="G44" s="42"/>
      <c r="H44" s="3"/>
      <c r="I44" s="69"/>
    </row>
    <row r="45" customFormat="1" spans="1:9">
      <c r="A45" s="15"/>
      <c r="B45" s="21"/>
      <c r="C45" s="42"/>
      <c r="D45" s="42"/>
      <c r="E45" s="46"/>
      <c r="F45" s="47"/>
      <c r="G45" s="42"/>
      <c r="H45" s="3"/>
      <c r="I45" s="69"/>
    </row>
    <row r="46" customFormat="1" spans="1:9">
      <c r="A46" s="15"/>
      <c r="B46" s="21"/>
      <c r="C46" s="42"/>
      <c r="D46" s="42"/>
      <c r="E46" s="46"/>
      <c r="F46" s="47"/>
      <c r="G46" s="42"/>
      <c r="H46" s="3"/>
      <c r="I46" s="69"/>
    </row>
    <row r="47" customFormat="1" spans="1:9">
      <c r="A47" s="15"/>
      <c r="B47" s="21"/>
      <c r="C47" s="42"/>
      <c r="D47" s="42"/>
      <c r="E47" s="46"/>
      <c r="F47" s="47"/>
      <c r="G47" s="42"/>
      <c r="H47" s="3"/>
      <c r="I47" s="69"/>
    </row>
    <row r="48" customFormat="1" spans="1:9">
      <c r="A48" s="15"/>
      <c r="B48" s="21"/>
      <c r="C48" s="42"/>
      <c r="D48" s="42"/>
      <c r="E48" s="46"/>
      <c r="F48" s="47"/>
      <c r="G48" s="42"/>
      <c r="H48" s="3"/>
      <c r="I48" s="69"/>
    </row>
    <row r="49" customFormat="1" spans="1:9">
      <c r="A49" s="15"/>
      <c r="B49" s="21"/>
      <c r="C49"/>
      <c r="D49" s="42"/>
      <c r="E49" s="46"/>
      <c r="F49" s="47"/>
      <c r="G49" s="42"/>
      <c r="H49" s="3"/>
      <c r="I49" s="69"/>
    </row>
    <row r="50" customFormat="1" spans="1:9">
      <c r="A50" s="15"/>
      <c r="B50" s="21"/>
      <c r="C50" s="42"/>
      <c r="D50" s="42"/>
      <c r="E50" s="46"/>
      <c r="F50" s="47"/>
      <c r="G50" s="42"/>
      <c r="H50" s="3"/>
      <c r="I50" s="69"/>
    </row>
    <row r="51" customFormat="1" spans="1:9">
      <c r="A51" s="15"/>
      <c r="B51" s="21"/>
      <c r="C51" s="42"/>
      <c r="D51" s="42"/>
      <c r="E51" s="46"/>
      <c r="F51" s="47"/>
      <c r="G51" s="47"/>
      <c r="H51" s="3"/>
      <c r="I51" s="69"/>
    </row>
    <row r="52" customFormat="1" spans="1:9">
      <c r="A52" s="15"/>
      <c r="B52" s="21"/>
      <c r="C52" s="42"/>
      <c r="D52" s="42"/>
      <c r="E52" s="46"/>
      <c r="F52" s="47"/>
      <c r="G52" s="42"/>
      <c r="H52" s="3"/>
      <c r="I52" s="69"/>
    </row>
    <row r="53" customFormat="1" spans="1:9">
      <c r="A53" s="15"/>
      <c r="B53" s="21"/>
      <c r="C53" s="42"/>
      <c r="D53" s="42"/>
      <c r="E53" s="46"/>
      <c r="F53" s="47"/>
      <c r="G53" s="42"/>
      <c r="H53" s="3"/>
      <c r="I53" s="69"/>
    </row>
    <row r="54" customFormat="1" spans="1:9">
      <c r="A54" s="15"/>
      <c r="B54" s="21"/>
      <c r="C54" s="42"/>
      <c r="D54" s="42"/>
      <c r="E54" s="46"/>
      <c r="F54" s="47"/>
      <c r="G54" s="42"/>
      <c r="H54" s="3"/>
      <c r="I54" s="69"/>
    </row>
    <row r="55" customFormat="1" spans="1:9">
      <c r="A55" s="15"/>
      <c r="B55" s="21"/>
      <c r="C55" s="42"/>
      <c r="D55" s="42"/>
      <c r="E55" s="46"/>
      <c r="F55" s="47"/>
      <c r="G55" s="42"/>
      <c r="H55" s="3"/>
      <c r="I55" s="69"/>
    </row>
    <row r="56" customFormat="1" spans="1:9">
      <c r="A56" s="15"/>
      <c r="B56" s="21"/>
      <c r="C56" s="42"/>
      <c r="D56" s="42"/>
      <c r="E56" s="46"/>
      <c r="F56" s="47"/>
      <c r="G56" s="42"/>
      <c r="H56" s="3"/>
      <c r="I56" s="69"/>
    </row>
    <row r="57" customFormat="1" spans="1:9">
      <c r="A57" s="15"/>
      <c r="B57" s="21"/>
      <c r="C57" s="42"/>
      <c r="D57" s="42"/>
      <c r="E57" s="46"/>
      <c r="F57" s="47"/>
      <c r="G57" s="42"/>
      <c r="H57" s="3"/>
      <c r="I57" s="69"/>
    </row>
    <row r="58" customFormat="1" spans="1:9">
      <c r="A58" s="15"/>
      <c r="B58" s="21"/>
      <c r="C58" s="42"/>
      <c r="D58" s="42"/>
      <c r="E58" s="46"/>
      <c r="F58" s="47"/>
      <c r="G58" s="42"/>
      <c r="H58" s="3"/>
      <c r="I58" s="69"/>
    </row>
    <row r="59" customFormat="1" spans="1:9">
      <c r="A59" s="15"/>
      <c r="B59" s="21"/>
      <c r="C59" s="42"/>
      <c r="D59" s="42"/>
      <c r="E59" s="46"/>
      <c r="F59" s="47"/>
      <c r="G59" s="42"/>
      <c r="H59" s="3"/>
      <c r="I59" s="69"/>
    </row>
    <row r="60" customFormat="1" spans="1:9">
      <c r="A60" s="15"/>
      <c r="B60" s="21"/>
      <c r="C60" s="42"/>
      <c r="D60" s="42"/>
      <c r="E60" s="46"/>
      <c r="F60" s="47"/>
      <c r="G60" s="42"/>
      <c r="H60" s="3"/>
      <c r="I60" s="69"/>
    </row>
    <row r="61" customFormat="1" spans="1:9">
      <c r="A61" s="15"/>
      <c r="B61" s="21"/>
      <c r="C61" s="42"/>
      <c r="D61" s="42"/>
      <c r="E61" s="46"/>
      <c r="F61" s="47"/>
      <c r="G61" s="42"/>
      <c r="H61" s="3"/>
      <c r="I61" s="69"/>
    </row>
    <row r="62" customFormat="1" spans="1:9">
      <c r="A62" s="15"/>
      <c r="B62" s="21"/>
      <c r="C62" s="42"/>
      <c r="D62" s="42"/>
      <c r="E62" s="46"/>
      <c r="F62" s="47"/>
      <c r="G62" s="42"/>
      <c r="H62" s="3"/>
      <c r="I62" s="69"/>
    </row>
    <row r="63" customFormat="1" spans="1:9">
      <c r="A63" s="15">
        <f>ROW()-2</f>
        <v>61</v>
      </c>
      <c r="B63" s="21"/>
      <c r="C63" s="42"/>
      <c r="D63" s="42"/>
      <c r="E63" s="46"/>
      <c r="F63" s="47"/>
      <c r="G63" s="42"/>
      <c r="H63" s="3"/>
      <c r="I63" s="69"/>
    </row>
    <row r="64" spans="1:9">
      <c r="A64" s="15">
        <f>ROW()-2</f>
        <v>62</v>
      </c>
      <c r="B64" s="3"/>
      <c r="C64" s="3"/>
      <c r="D64" s="3"/>
      <c r="E64" s="3"/>
      <c r="F64" s="3"/>
      <c r="G64" s="3"/>
      <c r="H64" s="3"/>
      <c r="I64" s="3"/>
    </row>
    <row r="65" s="67" customFormat="1" spans="1:9">
      <c r="A65" s="74"/>
      <c r="B65" s="75"/>
      <c r="C65" s="75"/>
      <c r="D65" s="75" t="s">
        <v>88</v>
      </c>
      <c r="E65" s="76">
        <f>SUM(E3:E64)</f>
        <v>0</v>
      </c>
      <c r="F65" s="75"/>
      <c r="G65" s="75"/>
      <c r="H65" s="75"/>
      <c r="I65" s="75"/>
    </row>
    <row r="66" spans="1:9">
      <c r="E66">
        <v>2994556.1</v>
      </c>
    </row>
    <row r="67" spans="1:9">
      <c r="E67">
        <f>E65-E66</f>
        <v>-2994556.1</v>
      </c>
    </row>
  </sheetData>
  <sheetProtection formatCells="0" formatColumns="0" formatRows="0" insertRows="0" insertColumns="0" insertHyperlinks="0" deleteColumns="0" deleteRows="0" sort="0" autoFilter="0" pivotTables="0"/>
  <autoFilter xmlns:etc="http://www.wps.cn/officeDocument/2017/etCustomData" ref="A2:J67" etc:filterBottomFollowUsedRange="0">
    <extLst/>
  </autoFilter>
  <mergeCells count="1">
    <mergeCell ref="A1:I1"/>
  </mergeCells>
  <pageMargins left="0.75" right="0.75" top="1" bottom="1" header="0.5" footer="0.5"/>
  <pageSetup paperSize="9" orientation="portrait"/>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3"/>
  <sheetViews>
    <sheetView workbookViewId="0">
      <pane ySplit="2" topLeftCell="A35" activePane="bottomLeft" state="frozen"/>
      <selection/>
      <selection pane="bottomLeft" activeCell="A3" sqref="A3:I47"/>
    </sheetView>
  </sheetViews>
  <sheetFormatPr defaultColWidth="9" defaultRowHeight="13.5"/>
  <cols>
    <col min="2" max="2" width="12.5083333333333" customWidth="1"/>
    <col min="3" max="3" width="32.25" customWidth="1"/>
    <col min="4" max="4" width="22.25" customWidth="1"/>
    <col min="5" max="5" width="17" customWidth="1"/>
    <col min="6" max="6" width="13" customWidth="1"/>
    <col min="7" max="7" width="18.8666666666667" customWidth="1"/>
    <col min="9" max="9" width="11.6166666666667" customWidth="1"/>
    <col min="13" max="13" width="9.375"/>
  </cols>
  <sheetData>
    <row r="1" s="64" customFormat="1" ht="27" customHeight="1" spans="1:10">
      <c r="A1" s="19" t="s">
        <v>320</v>
      </c>
      <c r="B1" s="19"/>
      <c r="C1" s="19"/>
      <c r="D1" s="19"/>
      <c r="E1" s="19"/>
      <c r="F1" s="19"/>
      <c r="G1" s="19"/>
      <c r="H1" s="19"/>
      <c r="I1" s="19"/>
    </row>
    <row r="2" s="65" customFormat="1" ht="20.25" customHeight="1" spans="1:10">
      <c r="A2" s="5" t="s">
        <v>1</v>
      </c>
      <c r="B2" s="5" t="s">
        <v>2</v>
      </c>
      <c r="C2" s="6" t="s">
        <v>3</v>
      </c>
      <c r="D2" s="6" t="s">
        <v>4</v>
      </c>
      <c r="E2" s="68" t="s">
        <v>5</v>
      </c>
      <c r="F2" s="8" t="s">
        <v>6</v>
      </c>
      <c r="G2" s="6" t="s">
        <v>7</v>
      </c>
      <c r="H2" s="6" t="s">
        <v>8</v>
      </c>
      <c r="I2" s="6" t="s">
        <v>9</v>
      </c>
      <c r="J2" s="65" t="s">
        <v>10</v>
      </c>
    </row>
    <row r="3" customFormat="1" spans="1:10">
      <c r="A3" s="15"/>
      <c r="B3" s="21"/>
      <c r="C3" s="47"/>
      <c r="D3" s="47"/>
      <c r="E3" s="46"/>
      <c r="F3" s="47"/>
      <c r="G3" s="47"/>
      <c r="H3" s="3"/>
      <c r="I3" s="69"/>
    </row>
    <row r="4" customFormat="1" spans="1:10">
      <c r="A4" s="15"/>
      <c r="B4" s="21"/>
      <c r="C4" s="47"/>
      <c r="D4" s="47"/>
      <c r="E4" s="46"/>
      <c r="F4" s="47"/>
      <c r="G4" s="47"/>
      <c r="H4" s="3"/>
      <c r="I4" s="69"/>
    </row>
    <row r="5" customFormat="1" spans="1:10">
      <c r="A5" s="15"/>
      <c r="B5" s="21"/>
      <c r="C5" s="47"/>
      <c r="D5" s="47"/>
      <c r="E5" s="46"/>
      <c r="F5" s="47"/>
      <c r="G5" s="47"/>
      <c r="H5" s="3"/>
      <c r="I5" s="69"/>
    </row>
    <row r="6" customFormat="1" spans="1:10">
      <c r="A6" s="15"/>
      <c r="B6" s="21"/>
      <c r="C6" s="47"/>
      <c r="D6" s="47"/>
      <c r="E6" s="46"/>
      <c r="F6" s="47"/>
      <c r="G6" s="47"/>
      <c r="H6" s="3"/>
      <c r="I6" s="69"/>
    </row>
    <row r="7" customFormat="1" spans="1:10">
      <c r="A7" s="15"/>
      <c r="B7" s="21"/>
      <c r="C7" s="47"/>
      <c r="D7" s="47"/>
      <c r="E7" s="46"/>
      <c r="F7" s="47"/>
      <c r="G7" s="47"/>
      <c r="H7" s="3"/>
      <c r="I7" s="69"/>
    </row>
    <row r="8" customFormat="1" spans="1:10">
      <c r="A8" s="15"/>
      <c r="B8" s="21"/>
      <c r="C8" s="47"/>
      <c r="D8" s="47"/>
      <c r="E8" s="46"/>
      <c r="F8" s="47"/>
      <c r="G8" s="47"/>
      <c r="H8" s="3"/>
      <c r="I8" s="69"/>
    </row>
    <row r="9" customFormat="1" spans="1:10">
      <c r="A9" s="15"/>
      <c r="B9" s="21"/>
      <c r="C9" s="47"/>
      <c r="D9" s="47"/>
      <c r="E9" s="46"/>
      <c r="F9" s="47"/>
      <c r="G9" s="47"/>
      <c r="H9" s="3"/>
      <c r="I9" s="69"/>
    </row>
    <row r="10" customFormat="1" spans="1:10">
      <c r="A10" s="15"/>
      <c r="B10" s="21"/>
      <c r="C10" s="47"/>
      <c r="D10" s="47"/>
      <c r="E10" s="46"/>
      <c r="F10" s="47"/>
      <c r="G10" s="47"/>
      <c r="H10" s="3"/>
      <c r="I10" s="69"/>
    </row>
    <row r="11" customFormat="1" spans="1:10">
      <c r="A11" s="15"/>
      <c r="B11" s="21"/>
      <c r="C11" s="47"/>
      <c r="D11" s="47"/>
      <c r="E11" s="46"/>
      <c r="F11" s="47"/>
      <c r="G11" s="47"/>
      <c r="H11" s="3"/>
      <c r="I11" s="69"/>
    </row>
    <row r="12" customFormat="1" spans="1:10">
      <c r="A12" s="15"/>
      <c r="B12" s="21"/>
      <c r="C12" s="47"/>
      <c r="D12" s="47"/>
      <c r="E12" s="46"/>
      <c r="F12" s="47"/>
      <c r="G12" s="47"/>
      <c r="H12" s="3"/>
      <c r="I12" s="69"/>
    </row>
    <row r="13" customFormat="1" spans="1:10">
      <c r="A13" s="15"/>
      <c r="B13" s="21"/>
      <c r="C13" s="47"/>
      <c r="D13" s="47"/>
      <c r="E13" s="46"/>
      <c r="F13" s="47"/>
      <c r="G13" s="47"/>
      <c r="H13" s="3"/>
      <c r="I13" s="69"/>
    </row>
    <row r="14" customFormat="1" spans="1:10">
      <c r="A14" s="15"/>
      <c r="B14" s="21"/>
      <c r="C14" s="47"/>
      <c r="D14" s="47"/>
      <c r="E14" s="46"/>
      <c r="F14" s="47"/>
      <c r="G14" s="47"/>
      <c r="H14" s="3"/>
      <c r="I14" s="69"/>
      <c r="J14" t="s">
        <v>318</v>
      </c>
    </row>
    <row r="15" customFormat="1" spans="1:10">
      <c r="A15" s="15"/>
      <c r="B15" s="21"/>
      <c r="C15" s="47"/>
      <c r="D15" s="47"/>
      <c r="E15" s="46"/>
      <c r="F15" s="47"/>
      <c r="G15" s="47"/>
      <c r="H15" s="3"/>
      <c r="I15" s="69"/>
    </row>
    <row r="16" customFormat="1" spans="1:10">
      <c r="A16" s="15"/>
      <c r="B16" s="21"/>
      <c r="C16" s="47"/>
      <c r="D16" s="47"/>
      <c r="E16" s="46"/>
      <c r="F16" s="47"/>
      <c r="G16" s="47"/>
      <c r="H16" s="3"/>
      <c r="I16" s="69"/>
    </row>
    <row r="17" customFormat="1" spans="1:9">
      <c r="A17" s="15"/>
      <c r="B17" s="21"/>
      <c r="C17" s="47"/>
      <c r="D17" s="47"/>
      <c r="E17" s="46"/>
      <c r="F17" s="47"/>
      <c r="G17" s="47"/>
      <c r="H17" s="3"/>
      <c r="I17" s="69"/>
    </row>
    <row r="18" customFormat="1" spans="1:9">
      <c r="A18" s="15"/>
      <c r="B18" s="21"/>
      <c r="C18" s="47"/>
      <c r="D18" s="47"/>
      <c r="E18" s="46"/>
      <c r="F18" s="47"/>
      <c r="G18" s="47"/>
      <c r="H18" s="3"/>
      <c r="I18" s="69"/>
    </row>
    <row r="19" customFormat="1" spans="1:9">
      <c r="A19" s="15"/>
      <c r="B19" s="21"/>
      <c r="C19" s="47"/>
      <c r="D19" s="47"/>
      <c r="E19" s="46"/>
      <c r="F19" s="47"/>
      <c r="G19" s="47"/>
      <c r="H19" s="3"/>
      <c r="I19" s="69"/>
    </row>
    <row r="20" customFormat="1" spans="1:9">
      <c r="A20" s="15"/>
      <c r="B20" s="21"/>
      <c r="C20" s="47"/>
      <c r="D20" s="47"/>
      <c r="E20" s="46"/>
      <c r="F20" s="47"/>
      <c r="G20" s="47"/>
      <c r="H20" s="3"/>
      <c r="I20" s="69"/>
    </row>
    <row r="21" customFormat="1" ht="26" customHeight="1" spans="1:9">
      <c r="A21" s="15"/>
      <c r="B21" s="21"/>
      <c r="C21" s="47"/>
      <c r="D21" s="47"/>
      <c r="E21" s="46"/>
      <c r="F21" s="47"/>
      <c r="G21" s="47"/>
      <c r="H21" s="3"/>
      <c r="I21" s="69"/>
    </row>
    <row r="22" customFormat="1" spans="1:9">
      <c r="A22" s="15"/>
      <c r="B22" s="21"/>
      <c r="C22" s="47"/>
      <c r="D22" s="47"/>
      <c r="E22" s="46"/>
      <c r="F22" s="47"/>
      <c r="G22" s="47"/>
      <c r="H22" s="3"/>
      <c r="I22" s="69"/>
    </row>
    <row r="23" customFormat="1" spans="1:9">
      <c r="A23" s="15"/>
      <c r="B23" s="21"/>
      <c r="C23" s="47"/>
      <c r="D23" s="47"/>
      <c r="E23" s="46"/>
      <c r="F23" s="47"/>
      <c r="G23" s="47"/>
      <c r="H23" s="3"/>
      <c r="I23" s="69"/>
    </row>
    <row r="24" customFormat="1" spans="1:9">
      <c r="A24" s="15"/>
      <c r="B24" s="21"/>
      <c r="C24" s="47"/>
      <c r="D24" s="47"/>
      <c r="E24" s="46"/>
      <c r="F24" s="47"/>
      <c r="G24" s="47"/>
      <c r="H24" s="3"/>
      <c r="I24" s="69"/>
    </row>
    <row r="25" customFormat="1" spans="1:9">
      <c r="A25" s="15"/>
      <c r="B25" s="21"/>
      <c r="C25" s="47"/>
      <c r="D25" s="47"/>
      <c r="E25" s="46"/>
      <c r="F25" s="47"/>
      <c r="G25" s="47"/>
      <c r="H25" s="3"/>
      <c r="I25" s="69"/>
    </row>
    <row r="26" customFormat="1" spans="1:9">
      <c r="A26" s="15"/>
      <c r="B26" s="21"/>
      <c r="C26" s="47"/>
      <c r="D26" s="47"/>
      <c r="E26" s="46"/>
      <c r="F26" s="47"/>
      <c r="G26" s="47"/>
      <c r="H26" s="3"/>
      <c r="I26" s="69"/>
    </row>
    <row r="27" customFormat="1" spans="1:9">
      <c r="A27" s="15"/>
      <c r="B27" s="21"/>
      <c r="C27" s="47"/>
      <c r="D27" s="47"/>
      <c r="E27" s="46"/>
      <c r="F27" s="47"/>
      <c r="G27" s="47"/>
      <c r="H27" s="3"/>
      <c r="I27" s="69"/>
    </row>
    <row r="28" customFormat="1" spans="1:9">
      <c r="A28" s="15"/>
      <c r="B28" s="21"/>
      <c r="C28" s="47"/>
      <c r="D28" s="47"/>
      <c r="E28" s="46"/>
      <c r="F28" s="47"/>
      <c r="G28" s="47"/>
      <c r="H28" s="3"/>
      <c r="I28" s="69"/>
    </row>
    <row r="29" customFormat="1" spans="1:9">
      <c r="A29" s="15"/>
      <c r="B29" s="21"/>
      <c r="C29" s="47"/>
      <c r="D29" s="47"/>
      <c r="E29" s="46"/>
      <c r="F29" s="47"/>
      <c r="G29" s="47"/>
      <c r="H29" s="3"/>
      <c r="I29" s="69"/>
    </row>
    <row r="30" customFormat="1" spans="1:9">
      <c r="A30" s="15"/>
      <c r="B30" s="21"/>
      <c r="C30" s="47"/>
      <c r="D30" s="47"/>
      <c r="E30" s="46"/>
      <c r="F30" s="47"/>
      <c r="G30" s="47"/>
      <c r="H30" s="3"/>
      <c r="I30" s="69"/>
    </row>
    <row r="31" customFormat="1" spans="1:9">
      <c r="A31" s="15"/>
      <c r="B31" s="21"/>
      <c r="C31" s="47"/>
      <c r="D31" s="47"/>
      <c r="E31" s="46"/>
      <c r="F31" s="47"/>
      <c r="G31" s="47"/>
      <c r="H31" s="3"/>
      <c r="I31" s="69"/>
    </row>
    <row r="32" customFormat="1" spans="1:9">
      <c r="A32" s="15"/>
      <c r="B32" s="21"/>
      <c r="C32" s="47"/>
      <c r="D32" s="47"/>
      <c r="E32" s="46"/>
      <c r="F32" s="47"/>
      <c r="G32" s="47"/>
      <c r="H32" s="3"/>
      <c r="I32" s="69"/>
    </row>
    <row r="33" customFormat="1" spans="1:10">
      <c r="A33" s="15"/>
      <c r="B33" s="21"/>
      <c r="C33" s="47"/>
      <c r="D33" s="47"/>
      <c r="E33" s="46"/>
      <c r="F33" s="47"/>
      <c r="G33" s="47"/>
      <c r="H33" s="3"/>
      <c r="I33" s="69"/>
    </row>
    <row r="34" customFormat="1" spans="1:10">
      <c r="A34" s="15"/>
      <c r="B34" s="21"/>
      <c r="C34" s="47"/>
      <c r="D34" s="47"/>
      <c r="E34" s="46"/>
      <c r="F34" s="47"/>
      <c r="G34" s="47"/>
      <c r="H34" s="3"/>
      <c r="I34" s="69"/>
    </row>
    <row r="35" customFormat="1" spans="1:10">
      <c r="A35" s="15"/>
      <c r="B35" s="21"/>
      <c r="C35" s="47"/>
      <c r="D35" s="47"/>
      <c r="E35" s="46"/>
      <c r="F35" s="47"/>
      <c r="G35" s="47"/>
      <c r="H35" s="3"/>
      <c r="I35" s="69"/>
    </row>
    <row r="36" customFormat="1" spans="1:10">
      <c r="A36" s="15"/>
      <c r="B36" s="21"/>
      <c r="C36" s="47"/>
      <c r="D36" s="47"/>
      <c r="E36" s="46"/>
      <c r="F36" s="47"/>
      <c r="G36" s="47"/>
      <c r="H36" s="3"/>
      <c r="I36" s="69"/>
    </row>
    <row r="37" customFormat="1" spans="1:10">
      <c r="A37" s="15"/>
      <c r="B37" s="21"/>
      <c r="C37" s="47"/>
      <c r="D37" s="47"/>
      <c r="E37" s="46"/>
      <c r="F37" s="47"/>
      <c r="G37" s="47"/>
      <c r="H37" s="3"/>
      <c r="I37" s="69"/>
    </row>
    <row r="38" customFormat="1" spans="1:10">
      <c r="A38" s="15"/>
      <c r="B38" s="21"/>
      <c r="C38" s="47"/>
      <c r="D38" s="47"/>
      <c r="E38" s="46"/>
      <c r="F38" s="47"/>
      <c r="G38" s="47"/>
      <c r="H38" s="3"/>
      <c r="I38" s="69"/>
    </row>
    <row r="39" customFormat="1" spans="1:10">
      <c r="A39" s="15"/>
      <c r="B39" s="21"/>
      <c r="C39" s="47"/>
      <c r="D39" s="47"/>
      <c r="E39" s="46"/>
      <c r="F39" s="47"/>
      <c r="G39" s="47"/>
      <c r="H39" s="3"/>
      <c r="I39" s="69"/>
    </row>
    <row r="40" customFormat="1" ht="46" customHeight="1" spans="1:10">
      <c r="A40" s="15"/>
      <c r="B40" s="21"/>
      <c r="C40" s="47"/>
      <c r="D40" s="47"/>
      <c r="E40" s="46"/>
      <c r="F40" s="47"/>
      <c r="G40" s="47"/>
      <c r="H40" s="3"/>
      <c r="I40" s="69"/>
    </row>
    <row r="41" customFormat="1" spans="1:10">
      <c r="A41" s="15"/>
      <c r="B41" s="21"/>
      <c r="C41" s="47"/>
      <c r="D41" s="47"/>
      <c r="E41" s="46"/>
      <c r="F41" s="47"/>
      <c r="G41" s="47"/>
      <c r="H41" s="3"/>
      <c r="I41" s="69"/>
    </row>
    <row r="42" customFormat="1" ht="46" customHeight="1" spans="1:10">
      <c r="A42" s="15"/>
      <c r="B42" s="21"/>
      <c r="C42" s="47"/>
      <c r="D42" s="47"/>
      <c r="E42" s="46"/>
      <c r="F42" s="47"/>
      <c r="G42" s="47"/>
      <c r="H42" s="3"/>
      <c r="I42" s="69"/>
    </row>
    <row r="43" customFormat="1" spans="1:10">
      <c r="A43" s="15"/>
      <c r="B43" s="21"/>
      <c r="C43" s="47"/>
      <c r="D43" s="47"/>
      <c r="E43" s="46"/>
      <c r="F43" s="47"/>
      <c r="G43" s="47"/>
      <c r="H43" s="3"/>
      <c r="I43" s="69"/>
    </row>
    <row r="44" customFormat="1" spans="1:10">
      <c r="A44" s="15"/>
      <c r="B44" s="21"/>
      <c r="C44" s="47"/>
      <c r="D44" s="47"/>
      <c r="E44" s="46"/>
      <c r="F44" s="47"/>
      <c r="G44" s="47"/>
      <c r="H44" s="3"/>
      <c r="I44" s="69"/>
    </row>
    <row r="45" customFormat="1" spans="1:10">
      <c r="A45" s="15"/>
      <c r="B45" s="21"/>
      <c r="C45" s="47"/>
      <c r="D45" s="47"/>
      <c r="E45" s="46"/>
      <c r="F45" s="47"/>
      <c r="G45" s="47"/>
      <c r="H45" s="3"/>
      <c r="I45" s="69"/>
    </row>
    <row r="46" customFormat="1" spans="1:10">
      <c r="A46" s="15"/>
      <c r="B46" s="21"/>
      <c r="C46" s="47"/>
      <c r="D46" s="47"/>
      <c r="E46" s="46"/>
      <c r="F46" s="47"/>
      <c r="G46" s="47"/>
      <c r="H46" s="3"/>
      <c r="I46" s="69"/>
      <c r="J46" t="s">
        <v>321</v>
      </c>
    </row>
    <row r="47" customFormat="1" ht="24" customHeight="1" spans="1:10">
      <c r="A47" s="15"/>
      <c r="B47" s="21"/>
      <c r="C47" s="47"/>
      <c r="D47" s="47"/>
      <c r="E47" s="46"/>
      <c r="F47" s="47"/>
      <c r="G47" s="47"/>
      <c r="H47" s="3"/>
      <c r="I47" s="69"/>
    </row>
    <row r="48" spans="1:10">
      <c r="A48" s="15"/>
      <c r="B48" s="3"/>
      <c r="C48" s="3"/>
      <c r="F48" s="3"/>
      <c r="G48" s="3"/>
      <c r="H48" s="3"/>
      <c r="I48" s="3"/>
    </row>
    <row r="49" s="67" customFormat="1" spans="1:9">
      <c r="A49" s="74"/>
      <c r="B49" s="75"/>
      <c r="C49" s="75"/>
      <c r="D49" s="75" t="s">
        <v>88</v>
      </c>
      <c r="E49" s="76">
        <f>SUM(E3:E47)</f>
        <v>0</v>
      </c>
      <c r="F49" s="75"/>
      <c r="G49" s="75"/>
      <c r="H49" s="75"/>
      <c r="I49" s="75"/>
    </row>
    <row r="50" spans="1:9">
      <c r="E50">
        <v>1693080.52</v>
      </c>
      <c r="F50">
        <f>E49-E50</f>
        <v>-1693080.52</v>
      </c>
    </row>
    <row r="51" spans="1:9">
      <c r="D51" t="s">
        <v>322</v>
      </c>
      <c r="E51" s="77">
        <f>1487935.54+49600</f>
        <v>1537535.54</v>
      </c>
    </row>
    <row r="52" spans="1:9">
      <c r="D52" t="s">
        <v>323</v>
      </c>
      <c r="E52">
        <f>-168+E46+E14-11287.02</f>
        <v>-11455.02</v>
      </c>
      <c r="G52" s="77"/>
    </row>
    <row r="53" spans="1:9">
      <c r="E53">
        <f>E49-E51-E52</f>
        <v>-1526080.52</v>
      </c>
    </row>
  </sheetData>
  <sheetProtection formatCells="0" formatColumns="0" formatRows="0" insertRows="0" insertColumns="0" insertHyperlinks="0" deleteColumns="0" deleteRows="0" sort="0" autoFilter="0" pivotTables="0"/>
  <mergeCells count="1">
    <mergeCell ref="A1:I1"/>
  </mergeCells>
  <pageMargins left="0.75" right="0.75" top="1" bottom="1" header="0.5" footer="0.5"/>
  <pageSetup paperSize="9" orientation="portrait"/>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3"/>
  <sheetViews>
    <sheetView workbookViewId="0">
      <pane ySplit="2" topLeftCell="A35" activePane="bottomLeft" state="frozen"/>
      <selection/>
      <selection pane="bottomLeft" activeCell="A3" sqref="A3:F42"/>
    </sheetView>
  </sheetViews>
  <sheetFormatPr defaultColWidth="9" defaultRowHeight="13.5"/>
  <cols>
    <col min="2" max="2" width="12.5083333333333" customWidth="1"/>
    <col min="3" max="3" width="32.25" customWidth="1"/>
    <col min="4" max="4" width="22.25" customWidth="1"/>
    <col min="5" max="5" width="18.875" customWidth="1"/>
    <col min="6" max="6" width="13" customWidth="1"/>
    <col min="7" max="7" width="18.8666666666667" customWidth="1"/>
    <col min="9" max="9" width="11.6166666666667" customWidth="1"/>
  </cols>
  <sheetData>
    <row r="1" s="64" customFormat="1" ht="27" customHeight="1" spans="1:10">
      <c r="A1" s="19" t="s">
        <v>324</v>
      </c>
      <c r="B1" s="19"/>
      <c r="C1" s="19"/>
      <c r="D1" s="19"/>
      <c r="E1" s="19"/>
      <c r="F1" s="19"/>
      <c r="G1" s="19"/>
      <c r="H1" s="19"/>
      <c r="I1" s="19"/>
    </row>
    <row r="2" s="65" customFormat="1" ht="20.25" customHeight="1" spans="1:10">
      <c r="A2" s="5" t="s">
        <v>1</v>
      </c>
      <c r="B2" s="5" t="s">
        <v>2</v>
      </c>
      <c r="C2" s="6" t="s">
        <v>3</v>
      </c>
      <c r="D2" s="6" t="s">
        <v>4</v>
      </c>
      <c r="E2" s="68" t="s">
        <v>5</v>
      </c>
      <c r="F2" s="8" t="s">
        <v>6</v>
      </c>
      <c r="G2" s="6" t="s">
        <v>7</v>
      </c>
      <c r="H2" s="6" t="s">
        <v>8</v>
      </c>
      <c r="I2" s="6" t="s">
        <v>9</v>
      </c>
      <c r="J2" s="65" t="s">
        <v>10</v>
      </c>
    </row>
    <row r="3" customFormat="1" spans="1:10">
      <c r="A3" s="15"/>
      <c r="B3" s="21"/>
      <c r="C3" s="47"/>
      <c r="D3" s="47"/>
      <c r="E3" s="46"/>
      <c r="F3" s="47"/>
      <c r="G3" s="47"/>
      <c r="H3" s="3"/>
      <c r="I3" s="69" t="s">
        <v>134</v>
      </c>
    </row>
    <row r="4" customFormat="1" ht="27" customHeight="1" spans="1:10">
      <c r="A4" s="15"/>
      <c r="B4" s="21"/>
      <c r="C4" s="47"/>
      <c r="D4" s="47"/>
      <c r="E4" s="46"/>
      <c r="F4" s="47"/>
      <c r="G4" s="47"/>
      <c r="H4" s="3"/>
      <c r="I4" s="69" t="s">
        <v>63</v>
      </c>
    </row>
    <row r="5" customFormat="1" ht="27" customHeight="1" spans="1:10">
      <c r="A5" s="15"/>
      <c r="B5" s="21"/>
      <c r="C5" s="47"/>
      <c r="D5" s="47"/>
      <c r="E5" s="46"/>
      <c r="F5" s="47"/>
      <c r="G5" s="47"/>
      <c r="H5" s="3"/>
      <c r="I5" s="69" t="s">
        <v>325</v>
      </c>
    </row>
    <row r="6" customFormat="1" ht="27" customHeight="1" spans="1:10">
      <c r="A6" s="15"/>
      <c r="B6" s="21"/>
      <c r="C6" s="47"/>
      <c r="D6" s="47"/>
      <c r="E6" s="46"/>
      <c r="F6" s="47"/>
      <c r="G6" s="47"/>
      <c r="H6" s="3"/>
      <c r="I6" s="69" t="s">
        <v>326</v>
      </c>
    </row>
    <row r="7" customFormat="1" ht="27" customHeight="1" spans="1:10">
      <c r="A7" s="15"/>
      <c r="B7" s="21"/>
      <c r="C7" s="47"/>
      <c r="D7" s="47"/>
      <c r="E7" s="46"/>
      <c r="F7" s="47"/>
      <c r="G7" s="47"/>
      <c r="H7" s="3"/>
      <c r="I7" s="69" t="s">
        <v>327</v>
      </c>
    </row>
    <row r="8" customFormat="1" ht="27" customHeight="1" spans="1:10">
      <c r="A8" s="15"/>
      <c r="B8" s="21"/>
      <c r="C8" s="47"/>
      <c r="D8" s="47"/>
      <c r="E8" s="46"/>
      <c r="F8" s="47"/>
      <c r="G8" s="47"/>
      <c r="H8" s="3"/>
      <c r="I8" s="69" t="s">
        <v>328</v>
      </c>
    </row>
    <row r="9" customFormat="1" ht="27" customHeight="1" spans="1:10">
      <c r="A9" s="15"/>
      <c r="B9" s="21"/>
      <c r="C9" s="47"/>
      <c r="D9" s="47"/>
      <c r="E9" s="46"/>
      <c r="F9" s="47"/>
      <c r="G9" s="47"/>
      <c r="H9" s="3"/>
      <c r="I9" s="69" t="s">
        <v>329</v>
      </c>
    </row>
    <row r="10" customFormat="1" ht="27" customHeight="1" spans="1:10">
      <c r="A10" s="15"/>
      <c r="B10" s="21"/>
      <c r="C10" s="47"/>
      <c r="D10" s="47"/>
      <c r="E10" s="46"/>
      <c r="F10" s="47"/>
      <c r="G10" s="47"/>
      <c r="H10" s="3"/>
      <c r="I10" s="69" t="s">
        <v>330</v>
      </c>
    </row>
    <row r="11" customFormat="1" ht="27" customHeight="1" spans="1:10">
      <c r="A11" s="15"/>
      <c r="B11" s="21"/>
      <c r="C11" s="47"/>
      <c r="D11" s="47"/>
      <c r="E11" s="46"/>
      <c r="F11" s="47"/>
      <c r="G11" s="47"/>
      <c r="H11" s="3"/>
      <c r="I11" s="69" t="s">
        <v>331</v>
      </c>
    </row>
    <row r="12" customFormat="1" ht="27" customHeight="1" spans="1:10">
      <c r="A12" s="15"/>
      <c r="B12" s="21"/>
      <c r="C12" s="47"/>
      <c r="D12" s="47"/>
      <c r="E12" s="46"/>
      <c r="F12" s="47"/>
      <c r="G12" s="47"/>
      <c r="H12" s="3"/>
      <c r="I12" s="69" t="s">
        <v>332</v>
      </c>
    </row>
    <row r="13" customFormat="1" ht="27" customHeight="1" spans="1:10">
      <c r="A13" s="15"/>
      <c r="B13" s="21"/>
      <c r="C13" s="47"/>
      <c r="D13" s="47"/>
      <c r="E13" s="46"/>
      <c r="F13" s="47"/>
      <c r="G13" s="47"/>
      <c r="H13" s="3"/>
      <c r="I13" s="69" t="s">
        <v>333</v>
      </c>
    </row>
    <row r="14" customFormat="1" ht="27" customHeight="1" spans="1:10">
      <c r="A14" s="15"/>
      <c r="B14" s="21"/>
      <c r="C14" s="47"/>
      <c r="D14" s="47"/>
      <c r="E14" s="46"/>
      <c r="F14" s="47"/>
      <c r="G14" s="47"/>
      <c r="H14" s="3"/>
      <c r="I14" s="69" t="s">
        <v>178</v>
      </c>
    </row>
    <row r="15" customFormat="1" ht="27" customHeight="1" spans="1:10">
      <c r="A15" s="15"/>
      <c r="B15" s="21"/>
      <c r="C15" s="47"/>
      <c r="D15" s="47"/>
      <c r="E15" s="46"/>
      <c r="F15" s="47"/>
      <c r="G15" s="47"/>
      <c r="H15" s="3"/>
      <c r="I15" s="69" t="s">
        <v>48</v>
      </c>
    </row>
    <row r="16" customFormat="1" ht="27" customHeight="1" spans="1:10">
      <c r="A16" s="15"/>
      <c r="B16" s="21"/>
      <c r="C16" s="47"/>
      <c r="D16" s="47"/>
      <c r="E16" s="46"/>
      <c r="F16" s="47"/>
      <c r="G16" s="47"/>
      <c r="H16" s="3"/>
      <c r="I16" s="69" t="s">
        <v>334</v>
      </c>
    </row>
    <row r="17" customFormat="1" ht="27" customHeight="1" spans="1:9">
      <c r="A17" s="15"/>
      <c r="B17" s="21"/>
      <c r="C17" s="47"/>
      <c r="D17" s="47"/>
      <c r="E17" s="46"/>
      <c r="F17" s="47"/>
      <c r="G17" s="47"/>
      <c r="H17" s="3"/>
      <c r="I17" s="69" t="s">
        <v>21</v>
      </c>
    </row>
    <row r="18" customFormat="1" ht="27" customHeight="1" spans="1:9">
      <c r="A18" s="15"/>
      <c r="B18" s="21"/>
      <c r="C18" s="47"/>
      <c r="D18" s="47"/>
      <c r="E18" s="46"/>
      <c r="F18" s="47"/>
      <c r="G18" s="47"/>
      <c r="H18" s="3"/>
      <c r="I18" s="69" t="s">
        <v>335</v>
      </c>
    </row>
    <row r="19" customFormat="1" ht="27" customHeight="1" spans="1:9">
      <c r="A19" s="15"/>
      <c r="B19" s="21"/>
      <c r="C19" s="47"/>
      <c r="D19" s="47"/>
      <c r="E19" s="46"/>
      <c r="F19" s="47"/>
      <c r="G19" s="47"/>
      <c r="H19" s="3"/>
      <c r="I19" s="69" t="s">
        <v>117</v>
      </c>
    </row>
    <row r="20" customFormat="1" ht="27" customHeight="1" spans="1:9">
      <c r="A20" s="15"/>
      <c r="B20" s="21"/>
      <c r="C20" s="47"/>
      <c r="D20" s="47"/>
      <c r="E20" s="46"/>
      <c r="F20" s="47"/>
      <c r="G20" s="47"/>
      <c r="H20" s="3"/>
      <c r="I20" s="69" t="s">
        <v>336</v>
      </c>
    </row>
    <row r="21" customFormat="1" ht="27" customHeight="1" spans="1:9">
      <c r="A21" s="15"/>
      <c r="B21" s="21"/>
      <c r="C21" s="47"/>
      <c r="D21" s="47"/>
      <c r="E21" s="46"/>
      <c r="F21" s="47"/>
      <c r="G21" s="47"/>
      <c r="H21" s="3"/>
      <c r="I21" s="69" t="s">
        <v>84</v>
      </c>
    </row>
    <row r="22" customFormat="1" ht="27" customHeight="1" spans="1:9">
      <c r="A22" s="15"/>
      <c r="B22" s="21"/>
      <c r="C22" s="47"/>
      <c r="D22" s="47"/>
      <c r="E22" s="46"/>
      <c r="F22" s="47"/>
      <c r="G22" s="47"/>
      <c r="H22" s="3"/>
      <c r="I22" s="69" t="s">
        <v>337</v>
      </c>
    </row>
    <row r="23" customFormat="1" ht="27" customHeight="1" spans="1:9">
      <c r="A23" s="15"/>
      <c r="B23" s="21"/>
      <c r="C23" s="47"/>
      <c r="D23" s="47"/>
      <c r="E23" s="46"/>
      <c r="F23" s="47"/>
      <c r="G23" s="47"/>
      <c r="H23" s="3"/>
      <c r="I23" s="69" t="s">
        <v>337</v>
      </c>
    </row>
    <row r="24" s="66" customFormat="1" ht="27" customHeight="1" spans="1:9">
      <c r="A24" s="20"/>
      <c r="B24" s="21"/>
      <c r="C24" s="47"/>
      <c r="D24" s="47"/>
      <c r="E24" s="46"/>
      <c r="F24" s="47"/>
      <c r="G24" s="47"/>
      <c r="H24" s="70"/>
      <c r="I24" s="71"/>
    </row>
    <row r="25" s="66" customFormat="1" ht="27" customHeight="1" spans="1:9">
      <c r="A25" s="20"/>
      <c r="B25" s="21"/>
      <c r="C25" s="47"/>
      <c r="D25" s="47"/>
      <c r="E25" s="46"/>
      <c r="F25" s="26"/>
      <c r="G25" s="42" t="s">
        <v>36</v>
      </c>
      <c r="H25" s="70"/>
      <c r="I25" s="71"/>
    </row>
    <row r="26" s="66" customFormat="1" ht="27" customHeight="1" spans="1:9">
      <c r="A26" s="20"/>
      <c r="B26" s="21"/>
      <c r="C26" s="47"/>
      <c r="D26" s="47"/>
      <c r="E26" s="46"/>
      <c r="F26" s="26"/>
      <c r="G26" s="42" t="s">
        <v>36</v>
      </c>
      <c r="H26" s="70"/>
      <c r="I26" s="71"/>
    </row>
    <row r="27" s="66" customFormat="1" ht="27" customHeight="1" spans="1:9">
      <c r="A27" s="20"/>
      <c r="B27" s="21"/>
      <c r="C27" s="47"/>
      <c r="D27" s="47"/>
      <c r="E27" s="46"/>
      <c r="F27" s="26"/>
      <c r="G27" s="42" t="s">
        <v>36</v>
      </c>
      <c r="H27" s="70"/>
      <c r="I27" s="71"/>
    </row>
    <row r="28" s="66" customFormat="1" ht="27" customHeight="1" spans="1:9">
      <c r="A28" s="20"/>
      <c r="B28" s="21"/>
      <c r="C28" s="47"/>
      <c r="D28" s="47"/>
      <c r="E28" s="46"/>
      <c r="F28" s="26"/>
      <c r="G28" s="42" t="s">
        <v>36</v>
      </c>
      <c r="H28" s="70"/>
      <c r="I28" s="71"/>
    </row>
    <row r="29" s="66" customFormat="1" ht="27" customHeight="1" spans="1:9">
      <c r="A29" s="20"/>
      <c r="B29" s="21"/>
      <c r="C29" s="47"/>
      <c r="D29" s="47"/>
      <c r="E29" s="46"/>
      <c r="F29" s="72"/>
      <c r="G29" s="42" t="s">
        <v>36</v>
      </c>
      <c r="H29" s="70"/>
      <c r="I29" s="71" t="s">
        <v>338</v>
      </c>
    </row>
    <row r="30" s="66" customFormat="1" ht="27" customHeight="1" spans="1:9">
      <c r="A30" s="20"/>
      <c r="B30" s="21"/>
      <c r="C30" s="47"/>
      <c r="D30" s="47"/>
      <c r="E30" s="46"/>
      <c r="F30" s="72"/>
      <c r="G30" s="42"/>
      <c r="H30" s="70"/>
      <c r="I30" s="71"/>
    </row>
    <row r="31" s="66" customFormat="1" ht="27" customHeight="1" spans="1:9">
      <c r="A31" s="20"/>
      <c r="B31" s="21"/>
      <c r="C31" s="47"/>
      <c r="D31" s="47"/>
      <c r="E31" s="46"/>
      <c r="F31" s="72"/>
      <c r="G31" s="42"/>
      <c r="H31" s="70"/>
      <c r="I31" s="71" t="s">
        <v>67</v>
      </c>
    </row>
    <row r="32" s="66" customFormat="1" ht="27" customHeight="1" spans="1:9">
      <c r="A32" s="20"/>
      <c r="B32" s="21"/>
      <c r="C32" s="47"/>
      <c r="D32" s="47"/>
      <c r="E32" s="46"/>
      <c r="F32" s="72"/>
      <c r="G32" s="42"/>
      <c r="H32" s="70"/>
      <c r="I32" s="71" t="s">
        <v>69</v>
      </c>
    </row>
    <row r="33" s="66" customFormat="1" ht="27" customHeight="1" spans="1:9">
      <c r="A33" s="20"/>
      <c r="B33" s="21"/>
      <c r="C33" s="47"/>
      <c r="D33" s="47"/>
      <c r="E33" s="46"/>
      <c r="F33" s="72"/>
      <c r="G33" s="42"/>
      <c r="H33" s="70"/>
      <c r="I33" s="71" t="s">
        <v>71</v>
      </c>
    </row>
    <row r="34" s="66" customFormat="1" ht="27" customHeight="1" spans="1:9">
      <c r="A34" s="20"/>
      <c r="B34" s="21"/>
      <c r="C34" s="47"/>
      <c r="D34" s="47"/>
      <c r="E34" s="46"/>
      <c r="F34" s="72"/>
      <c r="G34" s="42"/>
      <c r="H34" s="70"/>
      <c r="I34" s="71" t="s">
        <v>73</v>
      </c>
    </row>
    <row r="35" s="66" customFormat="1" ht="27" customHeight="1" spans="1:9">
      <c r="A35" s="20"/>
      <c r="B35" s="21"/>
      <c r="C35" s="47"/>
      <c r="D35" s="47"/>
      <c r="E35" s="46"/>
      <c r="F35" s="72"/>
      <c r="G35" s="42"/>
      <c r="H35" s="70"/>
      <c r="I35" s="71" t="s">
        <v>75</v>
      </c>
    </row>
    <row r="36" s="66" customFormat="1" ht="27" customHeight="1" spans="1:9">
      <c r="A36" s="20"/>
      <c r="B36" s="21"/>
      <c r="C36" s="47"/>
      <c r="D36" s="47"/>
      <c r="E36" s="46"/>
      <c r="F36" s="72"/>
      <c r="G36" s="42"/>
      <c r="H36" s="70"/>
      <c r="I36" s="71" t="s">
        <v>77</v>
      </c>
    </row>
    <row r="37" s="66" customFormat="1" ht="27" customHeight="1" spans="1:9">
      <c r="A37" s="20"/>
      <c r="B37" s="21"/>
      <c r="C37" s="47"/>
      <c r="D37" s="47"/>
      <c r="E37" s="46"/>
      <c r="F37" s="72"/>
      <c r="G37" s="42"/>
      <c r="H37" s="70"/>
      <c r="I37" s="71" t="s">
        <v>339</v>
      </c>
    </row>
    <row r="38" s="66" customFormat="1" ht="27" customHeight="1" spans="1:9">
      <c r="A38" s="20"/>
      <c r="B38" s="21"/>
      <c r="C38" s="47"/>
      <c r="D38" s="47"/>
      <c r="E38" s="46"/>
      <c r="F38" s="72"/>
      <c r="G38" s="42"/>
      <c r="H38" s="70"/>
      <c r="I38" s="71" t="s">
        <v>79</v>
      </c>
    </row>
    <row r="39" s="66" customFormat="1" ht="27" customHeight="1" spans="1:9">
      <c r="A39" s="20"/>
      <c r="B39" s="21"/>
      <c r="C39" s="47"/>
      <c r="D39" s="47"/>
      <c r="E39" s="46"/>
      <c r="F39" s="72"/>
      <c r="G39" s="42"/>
      <c r="H39" s="70"/>
      <c r="I39" s="71" t="s">
        <v>63</v>
      </c>
    </row>
    <row r="40" s="66" customFormat="1" ht="27" customHeight="1" spans="1:9">
      <c r="A40" s="20"/>
      <c r="B40" s="21"/>
      <c r="C40" s="47"/>
      <c r="D40" s="47"/>
      <c r="E40" s="46"/>
      <c r="F40" s="72"/>
      <c r="G40" s="42"/>
      <c r="H40" s="70"/>
      <c r="I40" s="71" t="s">
        <v>340</v>
      </c>
    </row>
    <row r="41" s="66" customFormat="1" ht="27" customHeight="1" spans="1:9">
      <c r="A41" s="20"/>
      <c r="B41" s="21"/>
      <c r="C41" s="47"/>
      <c r="D41" s="47"/>
      <c r="E41" s="46"/>
      <c r="F41" s="73"/>
      <c r="G41" s="42"/>
      <c r="H41" s="70"/>
      <c r="I41" s="71" t="s">
        <v>341</v>
      </c>
    </row>
    <row r="42" ht="23" customHeight="1" spans="1:9">
      <c r="A42" s="20"/>
      <c r="B42" s="3"/>
      <c r="C42" s="3"/>
      <c r="D42" s="3"/>
      <c r="E42" s="3"/>
      <c r="F42" s="3"/>
      <c r="G42" s="3"/>
      <c r="H42" s="3"/>
      <c r="I42" s="3"/>
    </row>
    <row r="43" s="67" customFormat="1" ht="23" customHeight="1" spans="1:9">
      <c r="A43" s="74"/>
      <c r="B43" s="75"/>
      <c r="C43" s="75"/>
      <c r="D43" s="75" t="s">
        <v>88</v>
      </c>
      <c r="E43" s="76">
        <f>SUM(E3:E42)</f>
        <v>0</v>
      </c>
      <c r="F43" s="75"/>
      <c r="G43" s="75"/>
      <c r="H43" s="75"/>
      <c r="I43" s="75"/>
    </row>
  </sheetData>
  <sheetProtection formatCells="0" formatColumns="0" formatRows="0" insertRows="0" insertColumns="0" insertHyperlinks="0" deleteColumns="0" deleteRows="0" sort="0" autoFilter="0" pivotTables="0"/>
  <mergeCells count="1">
    <mergeCell ref="A1:I1"/>
  </mergeCells>
  <dataValidations count="1">
    <dataValidation allowBlank="1" showInputMessage="1" showErrorMessage="1" sqref="I15:I16"/>
  </dataValidations>
  <pageMargins left="0.75" right="0.75" top="1" bottom="1" header="0.5" footer="0.5"/>
  <pageSetup paperSize="9" orientation="portrait"/>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
  <sheetViews>
    <sheetView workbookViewId="0">
      <selection activeCell="C3" sqref="C3"/>
    </sheetView>
  </sheetViews>
  <sheetFormatPr defaultColWidth="9" defaultRowHeight="13.5" outlineLevelCol="4"/>
  <cols>
    <col min="1" max="1" width="10.8833333333333" customWidth="1"/>
    <col min="2" max="4" width="21.3833333333333" customWidth="1"/>
    <col min="5" max="5" width="25.25" style="55" customWidth="1"/>
    <col min="8" max="8" width="11.5"/>
  </cols>
  <sheetData>
    <row r="1" ht="23" customHeight="1" spans="1:5">
      <c r="A1" s="56" t="s">
        <v>342</v>
      </c>
      <c r="B1" s="57" t="s">
        <v>343</v>
      </c>
      <c r="C1" s="56" t="s">
        <v>344</v>
      </c>
      <c r="D1" s="56" t="s">
        <v>345</v>
      </c>
      <c r="E1" s="58" t="s">
        <v>346</v>
      </c>
    </row>
    <row r="2" ht="23" customHeight="1" spans="1:5">
      <c r="A2" s="59" t="s">
        <v>347</v>
      </c>
      <c r="B2" s="60">
        <v>4059167.01</v>
      </c>
      <c r="C2" s="60">
        <v>7530849.27</v>
      </c>
      <c r="D2" s="60">
        <v>4870493.14</v>
      </c>
      <c r="E2" s="61">
        <f ca="1">SUMIFS(INDIRECT("'"&amp;A2&amp;"'!E:E"),INDIRECT("'"&amp;A2&amp;"'!D:D"),"合计")</f>
        <v>3482551.73</v>
      </c>
    </row>
    <row r="3" ht="23" customHeight="1" spans="1:5">
      <c r="A3" s="59" t="s">
        <v>348</v>
      </c>
      <c r="B3" s="60">
        <v>1625801.07</v>
      </c>
      <c r="C3" s="60">
        <v>5593199.98</v>
      </c>
      <c r="D3" s="60">
        <v>1961618.27</v>
      </c>
      <c r="E3" s="61">
        <f ca="1">SUMIFS(INDIRECT("'"&amp;A3&amp;"'!E:E"),INDIRECT("'"&amp;A3&amp;"'!D:D"),"合计")</f>
        <v>5526329.13</v>
      </c>
    </row>
    <row r="4" ht="23" customHeight="1" spans="1:5">
      <c r="A4" s="59" t="s">
        <v>349</v>
      </c>
      <c r="B4" s="60">
        <v>2879253</v>
      </c>
      <c r="C4" s="60">
        <v>1386467.1</v>
      </c>
      <c r="D4" s="60">
        <v>2216588.15</v>
      </c>
      <c r="E4" s="61">
        <f ca="1">SUMIFS(INDIRECT("'"&amp;A4&amp;"'!E:E"),INDIRECT("'"&amp;A4&amp;"'!D:D"),"合计")</f>
        <v>1351144.09</v>
      </c>
    </row>
    <row r="5" ht="23" customHeight="1" spans="1:5">
      <c r="A5" s="59" t="s">
        <v>350</v>
      </c>
      <c r="B5" s="60">
        <v>3119659.89</v>
      </c>
      <c r="C5" s="60">
        <v>999600.94</v>
      </c>
      <c r="D5" s="60">
        <v>2606468.1</v>
      </c>
      <c r="E5" s="61">
        <f ca="1" t="shared" ref="E5:E13" si="0">SUMIFS(INDIRECT("'"&amp;A5&amp;"'!E:E"),INDIRECT("'"&amp;A5&amp;"'!D:D"),"合计")</f>
        <v>1353673.3</v>
      </c>
    </row>
    <row r="6" ht="23" customHeight="1" spans="1:5">
      <c r="A6" s="59" t="s">
        <v>351</v>
      </c>
      <c r="B6" s="60">
        <v>4306959.75</v>
      </c>
      <c r="C6" s="60">
        <v>1059218.12</v>
      </c>
      <c r="D6" s="60">
        <v>2446647.69</v>
      </c>
      <c r="E6" s="61">
        <f ca="1" t="shared" si="0"/>
        <v>1242352</v>
      </c>
    </row>
    <row r="7" ht="23" customHeight="1" spans="1:5">
      <c r="A7" s="59" t="s">
        <v>352</v>
      </c>
      <c r="B7" s="60">
        <v>3986068.35</v>
      </c>
      <c r="C7" s="60">
        <v>1906978.77</v>
      </c>
      <c r="D7" s="60">
        <v>1011623.46</v>
      </c>
      <c r="E7" s="61">
        <f ca="1" t="shared" si="0"/>
        <v>1227592.2</v>
      </c>
    </row>
    <row r="8" ht="23" customHeight="1" spans="1:5">
      <c r="A8" s="59" t="s">
        <v>353</v>
      </c>
      <c r="B8" s="60">
        <v>2655763.18</v>
      </c>
      <c r="C8" s="60">
        <v>3850709.65</v>
      </c>
      <c r="D8" s="60">
        <v>1950708.49</v>
      </c>
      <c r="E8" s="61">
        <f ca="1" t="shared" si="0"/>
        <v>0</v>
      </c>
    </row>
    <row r="9" ht="23" customHeight="1" spans="1:5">
      <c r="A9" s="59" t="s">
        <v>354</v>
      </c>
      <c r="B9" s="60">
        <v>3215694.41</v>
      </c>
      <c r="C9" s="60">
        <v>4551054.36</v>
      </c>
      <c r="D9" s="60">
        <v>1287899.39</v>
      </c>
      <c r="E9" s="61">
        <f ca="1" t="shared" si="0"/>
        <v>0</v>
      </c>
    </row>
    <row r="10" ht="23" customHeight="1" spans="1:5">
      <c r="A10" s="59" t="s">
        <v>355</v>
      </c>
      <c r="B10" s="60">
        <v>2428282.19</v>
      </c>
      <c r="C10" s="60">
        <v>3800514.28</v>
      </c>
      <c r="D10" s="60">
        <v>2017372.7</v>
      </c>
      <c r="E10" s="61">
        <f ca="1" t="shared" si="0"/>
        <v>0</v>
      </c>
    </row>
    <row r="11" ht="23" customHeight="1" spans="1:5">
      <c r="A11" s="59" t="s">
        <v>356</v>
      </c>
      <c r="B11" s="60">
        <v>1448899.19</v>
      </c>
      <c r="C11" s="60">
        <v>3781999.09</v>
      </c>
      <c r="D11" s="60">
        <v>2994556.1</v>
      </c>
      <c r="E11" s="61">
        <f ca="1" t="shared" si="0"/>
        <v>0</v>
      </c>
    </row>
    <row r="12" ht="23" customHeight="1" spans="1:5">
      <c r="A12" s="59" t="s">
        <v>357</v>
      </c>
      <c r="B12" s="60">
        <v>2260040.58</v>
      </c>
      <c r="C12" s="60">
        <v>3379242.95</v>
      </c>
      <c r="D12" s="60">
        <v>1693080.52</v>
      </c>
      <c r="E12" s="61">
        <f ca="1" t="shared" si="0"/>
        <v>0</v>
      </c>
    </row>
    <row r="13" ht="23" customHeight="1" spans="1:5">
      <c r="A13" s="59" t="s">
        <v>358</v>
      </c>
      <c r="B13" s="60">
        <v>3804665.46</v>
      </c>
      <c r="C13" s="60">
        <v>2842986.25</v>
      </c>
      <c r="D13" s="60">
        <v>3136938.4</v>
      </c>
      <c r="E13" s="61">
        <f ca="1" t="shared" si="0"/>
        <v>0</v>
      </c>
    </row>
    <row r="14" ht="23" customHeight="1" spans="1:5">
      <c r="A14" s="62" t="s">
        <v>88</v>
      </c>
      <c r="B14" s="63">
        <f>SUM(B2:B13)</f>
        <v>35790254.08</v>
      </c>
      <c r="C14" s="63">
        <f>SUM(C2:C13)</f>
        <v>40682820.76</v>
      </c>
      <c r="D14" s="63">
        <f>SUM(D2:D13)</f>
        <v>28193994.41</v>
      </c>
      <c r="E14" s="63">
        <f ca="1">SUM(E2:E13)</f>
        <v>14183642.45</v>
      </c>
    </row>
    <row r="18" spans="3:4">
      <c r="C18" s="55"/>
      <c r="D18" s="55"/>
    </row>
    <row r="19" spans="3:4">
      <c r="C19" s="55"/>
      <c r="D19" s="55"/>
    </row>
  </sheetData>
  <sheetProtection formatCells="0" formatColumns="0" formatRows="0" insertRows="0" insertColumns="0" insertHyperlinks="0" deleteColumns="0" deleteRows="0" sort="0" autoFilter="0" pivotTables="0"/>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
  <sheetViews>
    <sheetView workbookViewId="0">
      <selection activeCell="C104" sqref="C104"/>
    </sheetView>
  </sheetViews>
  <sheetFormatPr defaultColWidth="9" defaultRowHeight="13.5" outlineLevelCol="3"/>
  <cols>
    <col min="1" max="1" width="13.25" customWidth="1"/>
    <col min="2" max="2" width="70.1416666666667" customWidth="1"/>
    <col min="3" max="3" width="8.38333333333333" customWidth="1"/>
    <col min="4" max="4" width="10.1416666666667" customWidth="1"/>
  </cols>
  <sheetData>
    <row r="1" ht="14.25" spans="1:4">
      <c r="A1" s="52">
        <v>45371</v>
      </c>
      <c r="B1" s="53" t="s">
        <v>359</v>
      </c>
      <c r="C1" s="53" t="s">
        <v>360</v>
      </c>
      <c r="D1" s="54">
        <v>10300</v>
      </c>
    </row>
    <row r="2" ht="14.25" spans="1:4">
      <c r="A2" s="52">
        <v>45371</v>
      </c>
      <c r="B2" s="53" t="s">
        <v>361</v>
      </c>
      <c r="C2" s="53" t="s">
        <v>360</v>
      </c>
      <c r="D2" s="54">
        <v>100000</v>
      </c>
    </row>
    <row r="3" ht="14.25" spans="1:4">
      <c r="A3" s="52">
        <v>45372</v>
      </c>
      <c r="B3" s="53" t="s">
        <v>362</v>
      </c>
      <c r="C3" s="53" t="s">
        <v>360</v>
      </c>
      <c r="D3" s="54">
        <v>10000</v>
      </c>
    </row>
    <row r="4" ht="14.25" spans="1:4">
      <c r="A4" s="52">
        <v>45372</v>
      </c>
      <c r="B4" s="53" t="s">
        <v>363</v>
      </c>
      <c r="C4" s="53" t="s">
        <v>360</v>
      </c>
      <c r="D4" s="54">
        <v>20000</v>
      </c>
    </row>
    <row r="5" ht="14.25" spans="1:4">
      <c r="A5" s="52">
        <v>45372</v>
      </c>
      <c r="B5" s="53" t="s">
        <v>364</v>
      </c>
      <c r="C5" s="53" t="s">
        <v>360</v>
      </c>
      <c r="D5" s="54">
        <v>20000</v>
      </c>
    </row>
    <row r="6" ht="14.25" spans="1:4">
      <c r="A6" s="52">
        <v>45373</v>
      </c>
      <c r="B6" s="53" t="s">
        <v>365</v>
      </c>
      <c r="C6" s="53" t="s">
        <v>360</v>
      </c>
      <c r="D6" s="54">
        <v>3000</v>
      </c>
    </row>
    <row r="7" ht="14.25" spans="1:4">
      <c r="A7" s="52">
        <v>45376</v>
      </c>
      <c r="B7" s="53" t="s">
        <v>366</v>
      </c>
      <c r="C7" s="53" t="s">
        <v>360</v>
      </c>
      <c r="D7" s="54">
        <v>850</v>
      </c>
    </row>
    <row r="8" ht="14.25" spans="1:4">
      <c r="A8" s="52">
        <v>45378</v>
      </c>
      <c r="B8" s="53" t="s">
        <v>367</v>
      </c>
      <c r="C8" s="53" t="s">
        <v>360</v>
      </c>
      <c r="D8" s="54">
        <v>3100</v>
      </c>
    </row>
    <row r="9" ht="14.25" spans="1:4">
      <c r="A9" s="52">
        <v>45378</v>
      </c>
      <c r="B9" s="53" t="s">
        <v>14</v>
      </c>
      <c r="C9" s="53" t="s">
        <v>360</v>
      </c>
      <c r="D9" s="54">
        <v>2180.1</v>
      </c>
    </row>
    <row r="10" ht="14.25" spans="1:4">
      <c r="A10" s="52">
        <v>45378</v>
      </c>
      <c r="B10" s="53" t="s">
        <v>368</v>
      </c>
      <c r="C10" s="53" t="s">
        <v>360</v>
      </c>
      <c r="D10" s="54">
        <v>3500</v>
      </c>
    </row>
    <row r="11" ht="14.25" spans="1:4">
      <c r="A11" s="52">
        <v>45378</v>
      </c>
      <c r="B11" s="53" t="s">
        <v>369</v>
      </c>
      <c r="C11" s="53" t="s">
        <v>360</v>
      </c>
      <c r="D11" s="54">
        <v>88000</v>
      </c>
    </row>
    <row r="12" ht="14.25" spans="1:4">
      <c r="A12" s="52">
        <v>45380</v>
      </c>
      <c r="B12" s="53" t="s">
        <v>370</v>
      </c>
      <c r="C12" s="53" t="s">
        <v>360</v>
      </c>
      <c r="D12" s="54">
        <v>100000</v>
      </c>
    </row>
    <row r="13" ht="14.25" spans="1:4">
      <c r="A13" s="52">
        <v>45380</v>
      </c>
      <c r="B13" s="53" t="s">
        <v>371</v>
      </c>
      <c r="C13" s="53" t="s">
        <v>360</v>
      </c>
      <c r="D13" s="54">
        <v>85000</v>
      </c>
    </row>
    <row r="14" ht="14.25" spans="1:4">
      <c r="A14" s="52">
        <v>45380</v>
      </c>
      <c r="B14" s="53" t="s">
        <v>372</v>
      </c>
      <c r="C14" s="53" t="s">
        <v>360</v>
      </c>
      <c r="D14" s="54">
        <v>40000</v>
      </c>
    </row>
    <row r="15" ht="14.25" spans="1:4">
      <c r="A15" s="52">
        <v>45380</v>
      </c>
      <c r="B15" s="53" t="s">
        <v>373</v>
      </c>
      <c r="C15" s="53" t="s">
        <v>360</v>
      </c>
      <c r="D15" s="54">
        <v>311893</v>
      </c>
    </row>
    <row r="16" ht="14.25" spans="1:4">
      <c r="A16" s="52">
        <v>45380</v>
      </c>
      <c r="B16" s="53" t="s">
        <v>374</v>
      </c>
      <c r="C16" s="53" t="s">
        <v>360</v>
      </c>
      <c r="D16" s="54">
        <v>35000</v>
      </c>
    </row>
  </sheetData>
  <sheetProtection formatCells="0" formatColumns="0" formatRows="0" insertRows="0" insertColumns="0" insertHyperlinks="0" deleteColumns="0" deleteRows="0" sort="0" autoFilter="0" pivotTables="0"/>
  <sortState ref="A1:D16">
    <sortCondition ref="A1"/>
  </sortState>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8"/>
  <sheetViews>
    <sheetView workbookViewId="0">
      <pane ySplit="2" topLeftCell="A39" activePane="bottomLeft" state="frozen"/>
      <selection/>
      <selection pane="bottomLeft" activeCell="B61" sqref="B61:J62"/>
    </sheetView>
  </sheetViews>
  <sheetFormatPr defaultColWidth="9" defaultRowHeight="13.5"/>
  <cols>
    <col min="1" max="1" width="6" customWidth="1"/>
    <col min="2" max="2" width="11.75" style="14" customWidth="1"/>
    <col min="3" max="3" width="28.3833333333333" style="14" customWidth="1"/>
    <col min="5" max="5" width="12.6333333333333" customWidth="1"/>
    <col min="6" max="6" width="19.1416666666667" customWidth="1"/>
    <col min="7" max="7" width="15" customWidth="1"/>
    <col min="8" max="8" width="16.6333333333333" customWidth="1"/>
    <col min="9" max="9" width="20.25" customWidth="1"/>
    <col min="10" max="10" width="17.875" customWidth="1"/>
    <col min="14" max="15" width="9.375"/>
  </cols>
  <sheetData>
    <row r="1" ht="24" customHeight="1" spans="1:10">
      <c r="A1" s="19" t="s">
        <v>375</v>
      </c>
      <c r="B1" s="19"/>
      <c r="C1" s="19"/>
      <c r="D1" s="19"/>
      <c r="E1" s="19"/>
      <c r="F1" s="19"/>
      <c r="G1" s="19"/>
      <c r="H1" s="19"/>
    </row>
    <row r="2" ht="21" customHeight="1" spans="1:10">
      <c r="A2" s="5" t="s">
        <v>1</v>
      </c>
      <c r="B2" s="5" t="s">
        <v>2</v>
      </c>
      <c r="C2" s="6" t="s">
        <v>3</v>
      </c>
      <c r="D2" s="6" t="s">
        <v>4</v>
      </c>
      <c r="E2" s="6" t="s">
        <v>376</v>
      </c>
      <c r="F2" s="7" t="s">
        <v>5</v>
      </c>
      <c r="G2" s="8" t="s">
        <v>6</v>
      </c>
      <c r="H2" s="6" t="s">
        <v>7</v>
      </c>
      <c r="I2" t="s">
        <v>377</v>
      </c>
      <c r="J2" t="s">
        <v>378</v>
      </c>
    </row>
    <row r="3" s="14" customFormat="1" ht="15.75" spans="1:10">
      <c r="A3" s="20"/>
      <c r="B3" s="21">
        <v>46029</v>
      </c>
      <c r="C3" s="22" t="s">
        <v>379</v>
      </c>
      <c r="D3" s="20"/>
      <c r="E3" s="23" t="s">
        <v>380</v>
      </c>
      <c r="F3" s="23">
        <v>5000</v>
      </c>
      <c r="G3" s="22" t="s">
        <v>381</v>
      </c>
      <c r="H3" s="24" t="s">
        <v>382</v>
      </c>
      <c r="I3" s="14" t="s">
        <v>383</v>
      </c>
      <c r="J3" s="25"/>
    </row>
    <row r="4" s="14" customFormat="1" spans="1:10">
      <c r="A4" s="20"/>
      <c r="B4" s="21">
        <v>46045</v>
      </c>
      <c r="C4" s="26" t="s">
        <v>384</v>
      </c>
      <c r="D4" s="20"/>
      <c r="E4" s="23" t="s">
        <v>380</v>
      </c>
      <c r="F4" s="27">
        <v>20000</v>
      </c>
      <c r="G4" s="22" t="s">
        <v>16</v>
      </c>
      <c r="H4" s="24" t="s">
        <v>385</v>
      </c>
      <c r="I4" s="28" t="s">
        <v>386</v>
      </c>
      <c r="J4" s="28" t="s">
        <v>387</v>
      </c>
    </row>
    <row r="5" s="14" customFormat="1" spans="1:10">
      <c r="A5" s="20"/>
      <c r="B5" s="21">
        <v>46049</v>
      </c>
      <c r="C5" s="20" t="s">
        <v>14</v>
      </c>
      <c r="D5" s="20"/>
      <c r="E5" s="23" t="s">
        <v>380</v>
      </c>
      <c r="F5" s="27">
        <v>28000</v>
      </c>
      <c r="G5" s="22" t="s">
        <v>16</v>
      </c>
      <c r="H5" s="20" t="s">
        <v>388</v>
      </c>
      <c r="I5" s="28" t="s">
        <v>389</v>
      </c>
      <c r="J5" s="28" t="s">
        <v>390</v>
      </c>
    </row>
    <row r="6" s="14" customFormat="1" spans="1:10">
      <c r="A6" s="20"/>
      <c r="B6" s="21">
        <v>46049</v>
      </c>
      <c r="C6" s="20" t="s">
        <v>14</v>
      </c>
      <c r="D6" s="20"/>
      <c r="E6" s="23" t="s">
        <v>380</v>
      </c>
      <c r="F6" s="27">
        <v>18000</v>
      </c>
      <c r="G6" s="22" t="s">
        <v>16</v>
      </c>
      <c r="H6" s="20" t="s">
        <v>382</v>
      </c>
      <c r="I6" s="28" t="s">
        <v>391</v>
      </c>
      <c r="J6" s="28" t="s">
        <v>392</v>
      </c>
    </row>
    <row r="7" s="14" customFormat="1" spans="1:10">
      <c r="A7" s="20"/>
      <c r="B7" s="21">
        <v>46049</v>
      </c>
      <c r="C7" s="20" t="s">
        <v>14</v>
      </c>
      <c r="D7" s="20"/>
      <c r="E7" s="23" t="s">
        <v>380</v>
      </c>
      <c r="F7" s="27">
        <v>17875</v>
      </c>
      <c r="G7" s="22" t="s">
        <v>16</v>
      </c>
      <c r="H7" s="20" t="s">
        <v>388</v>
      </c>
      <c r="I7" s="28" t="s">
        <v>393</v>
      </c>
      <c r="J7" s="28" t="s">
        <v>394</v>
      </c>
    </row>
    <row r="8" s="14" customFormat="1" spans="1:10">
      <c r="A8" s="20"/>
      <c r="B8" s="21">
        <v>46049</v>
      </c>
      <c r="C8" s="20" t="s">
        <v>14</v>
      </c>
      <c r="D8" s="20"/>
      <c r="E8" s="23" t="s">
        <v>380</v>
      </c>
      <c r="F8" s="27">
        <v>50000</v>
      </c>
      <c r="G8" s="22" t="s">
        <v>16</v>
      </c>
      <c r="H8" s="20" t="s">
        <v>382</v>
      </c>
      <c r="I8" s="28" t="s">
        <v>395</v>
      </c>
      <c r="J8" s="28" t="s">
        <v>396</v>
      </c>
    </row>
    <row r="9" s="14" customFormat="1" spans="1:10">
      <c r="A9" s="20"/>
      <c r="B9" s="21">
        <v>46049</v>
      </c>
      <c r="C9" s="20" t="s">
        <v>14</v>
      </c>
      <c r="D9" s="20"/>
      <c r="E9" s="23" t="s">
        <v>380</v>
      </c>
      <c r="F9" s="27">
        <v>9000</v>
      </c>
      <c r="G9" s="22" t="s">
        <v>16</v>
      </c>
      <c r="H9" s="20" t="s">
        <v>382</v>
      </c>
      <c r="I9" s="28" t="s">
        <v>397</v>
      </c>
      <c r="J9" s="28" t="s">
        <v>398</v>
      </c>
    </row>
    <row r="10" s="14" customFormat="1" spans="1:10">
      <c r="A10" s="20"/>
      <c r="B10" s="21">
        <v>46049</v>
      </c>
      <c r="C10" s="20" t="s">
        <v>14</v>
      </c>
      <c r="D10" s="20"/>
      <c r="E10" s="23" t="s">
        <v>380</v>
      </c>
      <c r="F10" s="27">
        <v>7500</v>
      </c>
      <c r="G10" s="22" t="s">
        <v>16</v>
      </c>
      <c r="H10" s="20" t="s">
        <v>382</v>
      </c>
      <c r="I10" s="28" t="s">
        <v>399</v>
      </c>
      <c r="J10" s="28" t="s">
        <v>400</v>
      </c>
    </row>
    <row r="11" s="14" customFormat="1" spans="1:10">
      <c r="A11" s="20"/>
      <c r="B11" s="21">
        <v>46049</v>
      </c>
      <c r="C11" s="20" t="s">
        <v>14</v>
      </c>
      <c r="D11" s="20"/>
      <c r="E11" s="23" t="s">
        <v>380</v>
      </c>
      <c r="F11" s="27">
        <v>8500</v>
      </c>
      <c r="G11" s="22" t="s">
        <v>16</v>
      </c>
      <c r="H11" s="20" t="s">
        <v>382</v>
      </c>
      <c r="I11" s="28" t="s">
        <v>401</v>
      </c>
      <c r="J11" s="28" t="s">
        <v>402</v>
      </c>
    </row>
    <row r="12" s="14" customFormat="1" spans="1:10">
      <c r="A12" s="20"/>
      <c r="B12" s="21">
        <v>46049</v>
      </c>
      <c r="C12" s="29" t="s">
        <v>14</v>
      </c>
      <c r="D12" s="20"/>
      <c r="E12" s="23" t="s">
        <v>380</v>
      </c>
      <c r="F12" s="30">
        <v>16500</v>
      </c>
      <c r="G12" s="22" t="s">
        <v>16</v>
      </c>
      <c r="H12" s="29" t="s">
        <v>382</v>
      </c>
      <c r="I12" s="28" t="s">
        <v>403</v>
      </c>
      <c r="J12" s="28" t="s">
        <v>404</v>
      </c>
    </row>
    <row r="13" s="14" customFormat="1" spans="1:10">
      <c r="A13" s="20"/>
      <c r="B13" s="21">
        <v>46049</v>
      </c>
      <c r="C13" s="29" t="s">
        <v>14</v>
      </c>
      <c r="D13" s="20"/>
      <c r="E13" s="23" t="s">
        <v>380</v>
      </c>
      <c r="F13" s="30">
        <v>500</v>
      </c>
      <c r="G13" s="22" t="s">
        <v>16</v>
      </c>
      <c r="H13" s="29" t="s">
        <v>382</v>
      </c>
      <c r="I13" s="28" t="s">
        <v>405</v>
      </c>
      <c r="J13" s="28" t="s">
        <v>406</v>
      </c>
    </row>
    <row r="14" s="14" customFormat="1" spans="1:10">
      <c r="A14" s="20"/>
      <c r="B14" s="21">
        <v>46049</v>
      </c>
      <c r="C14" s="20" t="s">
        <v>14</v>
      </c>
      <c r="D14" s="20"/>
      <c r="E14" s="23" t="s">
        <v>380</v>
      </c>
      <c r="F14" s="27">
        <v>500</v>
      </c>
      <c r="G14" s="22" t="s">
        <v>16</v>
      </c>
      <c r="H14" s="20" t="s">
        <v>382</v>
      </c>
      <c r="I14" s="28" t="s">
        <v>407</v>
      </c>
      <c r="J14" s="28" t="s">
        <v>408</v>
      </c>
    </row>
    <row r="15" s="14" customFormat="1" spans="1:10">
      <c r="A15" s="20"/>
      <c r="B15" s="21">
        <v>46049</v>
      </c>
      <c r="C15" s="20" t="s">
        <v>14</v>
      </c>
      <c r="D15" s="20"/>
      <c r="E15" s="23" t="s">
        <v>380</v>
      </c>
      <c r="F15" s="27">
        <v>500</v>
      </c>
      <c r="G15" s="22" t="s">
        <v>16</v>
      </c>
      <c r="H15" s="20" t="s">
        <v>382</v>
      </c>
      <c r="I15" s="28" t="s">
        <v>409</v>
      </c>
      <c r="J15" s="28" t="s">
        <v>410</v>
      </c>
    </row>
    <row r="16" s="14" customFormat="1" spans="1:10">
      <c r="A16" s="20"/>
      <c r="B16" s="21">
        <v>46049</v>
      </c>
      <c r="C16" s="20" t="s">
        <v>14</v>
      </c>
      <c r="D16" s="20"/>
      <c r="E16" s="23" t="s">
        <v>380</v>
      </c>
      <c r="F16" s="27">
        <v>37000</v>
      </c>
      <c r="G16" s="22" t="s">
        <v>225</v>
      </c>
      <c r="H16" s="20" t="s">
        <v>382</v>
      </c>
      <c r="I16" s="28" t="s">
        <v>411</v>
      </c>
      <c r="J16" s="28" t="s">
        <v>412</v>
      </c>
    </row>
    <row r="17" s="14" customFormat="1" spans="1:10">
      <c r="A17" s="20"/>
      <c r="B17" s="21">
        <v>46049</v>
      </c>
      <c r="C17" s="20" t="s">
        <v>413</v>
      </c>
      <c r="D17" s="20"/>
      <c r="E17" s="23" t="s">
        <v>380</v>
      </c>
      <c r="F17" s="27">
        <v>44000</v>
      </c>
      <c r="G17" s="20"/>
      <c r="H17" s="20" t="s">
        <v>382</v>
      </c>
      <c r="I17" s="31" t="s">
        <v>414</v>
      </c>
      <c r="J17" s="28" t="s">
        <v>415</v>
      </c>
    </row>
    <row r="18" s="14" customFormat="1" spans="1:10">
      <c r="A18" s="20"/>
      <c r="B18" s="21">
        <v>46062</v>
      </c>
      <c r="C18" s="20" t="s">
        <v>45</v>
      </c>
      <c r="D18" s="20"/>
      <c r="E18" s="23" t="s">
        <v>380</v>
      </c>
      <c r="F18" s="27">
        <v>25536.9</v>
      </c>
      <c r="G18" s="29"/>
      <c r="H18" s="20" t="s">
        <v>416</v>
      </c>
      <c r="I18" s="31" t="s">
        <v>417</v>
      </c>
      <c r="J18" s="28" t="s">
        <v>418</v>
      </c>
    </row>
    <row r="19" s="14" customFormat="1" spans="1:10">
      <c r="A19" s="20"/>
      <c r="B19" s="21">
        <v>46062</v>
      </c>
      <c r="C19" s="20" t="s">
        <v>45</v>
      </c>
      <c r="D19" s="20"/>
      <c r="E19" s="23" t="s">
        <v>380</v>
      </c>
      <c r="F19" s="27">
        <v>4644.08</v>
      </c>
      <c r="G19" s="29"/>
      <c r="H19" s="20" t="s">
        <v>416</v>
      </c>
      <c r="I19" s="31" t="s">
        <v>419</v>
      </c>
      <c r="J19" s="28" t="s">
        <v>420</v>
      </c>
    </row>
    <row r="20" s="14" customFormat="1" spans="1:10">
      <c r="A20" s="20"/>
      <c r="B20" s="21">
        <v>46062</v>
      </c>
      <c r="C20" s="20" t="s">
        <v>45</v>
      </c>
      <c r="D20" s="20"/>
      <c r="E20" s="23" t="s">
        <v>380</v>
      </c>
      <c r="F20" s="27">
        <v>20838.39</v>
      </c>
      <c r="G20" s="29"/>
      <c r="H20" s="20" t="s">
        <v>416</v>
      </c>
      <c r="I20" s="31" t="s">
        <v>421</v>
      </c>
      <c r="J20" s="28" t="s">
        <v>422</v>
      </c>
    </row>
    <row r="21" s="14" customFormat="1" spans="1:10">
      <c r="A21" s="20"/>
      <c r="B21" s="21">
        <v>46062</v>
      </c>
      <c r="C21" s="20" t="s">
        <v>45</v>
      </c>
      <c r="D21" s="20"/>
      <c r="E21" s="23" t="s">
        <v>380</v>
      </c>
      <c r="F21" s="27">
        <v>15500</v>
      </c>
      <c r="G21" s="20"/>
      <c r="H21" s="20" t="s">
        <v>388</v>
      </c>
      <c r="I21" s="31" t="s">
        <v>423</v>
      </c>
      <c r="J21" s="28" t="s">
        <v>424</v>
      </c>
    </row>
    <row r="22" s="14" customFormat="1" spans="1:10">
      <c r="A22" s="20"/>
      <c r="B22" s="21">
        <v>46062</v>
      </c>
      <c r="C22" s="20" t="s">
        <v>45</v>
      </c>
      <c r="D22" s="20"/>
      <c r="E22" s="23" t="s">
        <v>380</v>
      </c>
      <c r="F22" s="27">
        <v>69500</v>
      </c>
      <c r="G22" s="20"/>
      <c r="H22" s="20" t="s">
        <v>388</v>
      </c>
      <c r="I22" s="31" t="s">
        <v>425</v>
      </c>
      <c r="J22" s="28" t="s">
        <v>426</v>
      </c>
    </row>
    <row r="23" s="14" customFormat="1" spans="1:10">
      <c r="A23" s="20"/>
      <c r="B23" s="21">
        <v>46062</v>
      </c>
      <c r="C23" s="20" t="s">
        <v>45</v>
      </c>
      <c r="D23" s="20"/>
      <c r="E23" s="23" t="s">
        <v>380</v>
      </c>
      <c r="F23" s="27">
        <v>85100</v>
      </c>
      <c r="G23" s="20"/>
      <c r="H23" s="20" t="s">
        <v>388</v>
      </c>
      <c r="I23" s="31" t="s">
        <v>427</v>
      </c>
      <c r="J23" s="28" t="s">
        <v>428</v>
      </c>
    </row>
    <row r="24" s="14" customFormat="1" ht="15.75" spans="1:10">
      <c r="A24" s="20"/>
      <c r="B24" s="21">
        <v>46080</v>
      </c>
      <c r="C24" s="29" t="s">
        <v>14</v>
      </c>
      <c r="D24" s="20"/>
      <c r="E24" s="23" t="s">
        <v>380</v>
      </c>
      <c r="F24" s="27">
        <v>6500</v>
      </c>
      <c r="G24" s="22" t="s">
        <v>225</v>
      </c>
      <c r="H24" s="24" t="s">
        <v>382</v>
      </c>
      <c r="I24" s="32" t="s">
        <v>429</v>
      </c>
      <c r="J24" s="25" t="s">
        <v>430</v>
      </c>
    </row>
    <row r="25" s="14" customFormat="1" ht="15.75" spans="1:10">
      <c r="A25" s="20"/>
      <c r="B25" s="21">
        <v>46080</v>
      </c>
      <c r="C25" s="29" t="s">
        <v>14</v>
      </c>
      <c r="D25" s="20"/>
      <c r="E25" s="23" t="s">
        <v>380</v>
      </c>
      <c r="F25" s="27">
        <v>50000</v>
      </c>
      <c r="G25" s="20" t="s">
        <v>16</v>
      </c>
      <c r="H25" s="24" t="s">
        <v>382</v>
      </c>
      <c r="I25" s="32" t="s">
        <v>431</v>
      </c>
      <c r="J25" s="33" t="s">
        <v>432</v>
      </c>
    </row>
    <row r="26" s="14" customFormat="1" ht="15.75" spans="1:10">
      <c r="A26" s="20"/>
      <c r="B26" s="21">
        <v>46080</v>
      </c>
      <c r="C26" s="29" t="s">
        <v>14</v>
      </c>
      <c r="D26" s="20"/>
      <c r="E26" s="23" t="s">
        <v>380</v>
      </c>
      <c r="F26" s="27">
        <v>28000</v>
      </c>
      <c r="G26" s="20" t="s">
        <v>16</v>
      </c>
      <c r="H26" s="24" t="s">
        <v>382</v>
      </c>
      <c r="I26" s="32" t="s">
        <v>433</v>
      </c>
      <c r="J26" s="33" t="s">
        <v>434</v>
      </c>
    </row>
    <row r="27" s="14" customFormat="1" ht="15.75" spans="1:10">
      <c r="A27" s="20"/>
      <c r="B27" s="21">
        <v>46081</v>
      </c>
      <c r="C27" s="29" t="s">
        <v>14</v>
      </c>
      <c r="D27" s="20"/>
      <c r="E27" s="23" t="s">
        <v>380</v>
      </c>
      <c r="F27" s="27">
        <v>11500</v>
      </c>
      <c r="G27" s="20"/>
      <c r="H27" s="20" t="s">
        <v>388</v>
      </c>
      <c r="I27" s="34" t="s">
        <v>435</v>
      </c>
      <c r="J27" s="25" t="s">
        <v>436</v>
      </c>
    </row>
    <row r="28" s="14" customFormat="1" ht="15.75" spans="1:10">
      <c r="A28" s="20"/>
      <c r="B28" s="21">
        <v>46081</v>
      </c>
      <c r="C28" s="29" t="s">
        <v>14</v>
      </c>
      <c r="D28" s="20"/>
      <c r="E28" s="23" t="s">
        <v>380</v>
      </c>
      <c r="F28" s="27">
        <v>14300</v>
      </c>
      <c r="G28" s="20"/>
      <c r="H28" s="20" t="s">
        <v>388</v>
      </c>
      <c r="I28" s="34" t="s">
        <v>437</v>
      </c>
      <c r="J28" s="25" t="s">
        <v>438</v>
      </c>
    </row>
    <row r="29" s="14" customFormat="1" ht="15.75" spans="1:10">
      <c r="A29" s="20"/>
      <c r="B29" s="21">
        <v>46081</v>
      </c>
      <c r="C29" s="29" t="s">
        <v>14</v>
      </c>
      <c r="D29" s="20"/>
      <c r="E29" s="23" t="s">
        <v>380</v>
      </c>
      <c r="F29" s="27">
        <v>14300</v>
      </c>
      <c r="G29" s="20"/>
      <c r="H29" s="20" t="s">
        <v>416</v>
      </c>
      <c r="I29" s="34" t="s">
        <v>439</v>
      </c>
      <c r="J29" s="25" t="s">
        <v>440</v>
      </c>
    </row>
    <row r="30" s="14" customFormat="1" ht="15.75" spans="1:10">
      <c r="A30" s="20"/>
      <c r="B30" s="21">
        <v>46081</v>
      </c>
      <c r="C30" s="29" t="s">
        <v>14</v>
      </c>
      <c r="D30" s="20"/>
      <c r="E30" s="23" t="s">
        <v>380</v>
      </c>
      <c r="F30" s="27">
        <v>50000</v>
      </c>
      <c r="G30" s="20"/>
      <c r="H30" s="20" t="s">
        <v>388</v>
      </c>
      <c r="I30" s="34" t="s">
        <v>441</v>
      </c>
      <c r="J30" s="25" t="s">
        <v>442</v>
      </c>
    </row>
    <row r="31" s="14" customFormat="1" ht="15.75" spans="1:10">
      <c r="A31" s="20"/>
      <c r="B31" s="21">
        <v>46090</v>
      </c>
      <c r="C31" s="29" t="s">
        <v>384</v>
      </c>
      <c r="D31" s="20"/>
      <c r="E31" s="23" t="s">
        <v>380</v>
      </c>
      <c r="F31" s="27">
        <v>2000</v>
      </c>
      <c r="G31" s="20" t="s">
        <v>16</v>
      </c>
      <c r="H31" s="20" t="s">
        <v>443</v>
      </c>
      <c r="I31" s="35" t="s">
        <v>444</v>
      </c>
      <c r="J31" s="25" t="s">
        <v>445</v>
      </c>
    </row>
    <row r="32" s="14" customFormat="1" ht="15.75" spans="1:10">
      <c r="A32" s="20"/>
      <c r="B32" s="21">
        <v>46094</v>
      </c>
      <c r="C32" s="29" t="s">
        <v>104</v>
      </c>
      <c r="D32" s="20"/>
      <c r="E32" s="20" t="s">
        <v>380</v>
      </c>
      <c r="F32" s="27">
        <v>5500</v>
      </c>
      <c r="G32" s="20" t="s">
        <v>16</v>
      </c>
      <c r="H32" s="20" t="s">
        <v>443</v>
      </c>
      <c r="I32" s="14" t="s">
        <v>446</v>
      </c>
      <c r="J32" s="25" t="s">
        <v>447</v>
      </c>
    </row>
    <row r="33" s="14" customFormat="1" ht="15.75" spans="1:10">
      <c r="A33" s="20"/>
      <c r="B33" s="21">
        <v>46094</v>
      </c>
      <c r="C33" s="30" t="s">
        <v>104</v>
      </c>
      <c r="D33" s="20"/>
      <c r="E33" s="20" t="s">
        <v>380</v>
      </c>
      <c r="F33" s="27">
        <v>10000</v>
      </c>
      <c r="G33" s="20" t="s">
        <v>16</v>
      </c>
      <c r="H33" s="20" t="s">
        <v>443</v>
      </c>
      <c r="I33" s="14" t="s">
        <v>448</v>
      </c>
      <c r="J33" s="25" t="s">
        <v>449</v>
      </c>
    </row>
    <row r="34" s="14" customFormat="1" ht="15.75" spans="1:10">
      <c r="A34" s="20"/>
      <c r="B34" s="36">
        <v>46097</v>
      </c>
      <c r="C34" s="20" t="s">
        <v>104</v>
      </c>
      <c r="D34" s="20"/>
      <c r="E34" s="23" t="s">
        <v>380</v>
      </c>
      <c r="F34" s="27">
        <v>22000</v>
      </c>
      <c r="G34" s="22" t="s">
        <v>16</v>
      </c>
      <c r="H34" s="24" t="s">
        <v>443</v>
      </c>
      <c r="I34" s="31" t="s">
        <v>450</v>
      </c>
      <c r="J34" s="37" t="s">
        <v>451</v>
      </c>
    </row>
    <row r="35" s="14" customFormat="1" ht="15.75" spans="1:10">
      <c r="A35" s="20"/>
      <c r="B35" s="36">
        <v>46099</v>
      </c>
      <c r="C35" s="20" t="s">
        <v>104</v>
      </c>
      <c r="D35" s="20"/>
      <c r="E35" s="23" t="s">
        <v>380</v>
      </c>
      <c r="F35" s="27">
        <v>35000</v>
      </c>
      <c r="G35" s="22" t="s">
        <v>16</v>
      </c>
      <c r="H35" s="24" t="s">
        <v>443</v>
      </c>
      <c r="I35" s="31" t="s">
        <v>452</v>
      </c>
      <c r="J35" s="25" t="s">
        <v>453</v>
      </c>
    </row>
    <row r="36" s="14" customFormat="1" ht="15.75" spans="1:10">
      <c r="A36" s="20"/>
      <c r="B36" s="38">
        <v>46105</v>
      </c>
      <c r="C36" s="29" t="s">
        <v>454</v>
      </c>
      <c r="D36" s="29"/>
      <c r="E36" s="23" t="s">
        <v>380</v>
      </c>
      <c r="F36" s="30">
        <v>3000</v>
      </c>
      <c r="G36" s="22" t="s">
        <v>16</v>
      </c>
      <c r="H36" s="39" t="s">
        <v>443</v>
      </c>
      <c r="I36" s="14" t="s">
        <v>455</v>
      </c>
      <c r="J36" s="40" t="s">
        <v>456</v>
      </c>
    </row>
    <row r="37" s="14" customFormat="1" ht="15.75" spans="1:10">
      <c r="A37" s="20"/>
      <c r="B37" s="21">
        <v>46119</v>
      </c>
      <c r="C37" s="29" t="s">
        <v>457</v>
      </c>
      <c r="D37" s="20"/>
      <c r="E37" s="20" t="s">
        <v>380</v>
      </c>
      <c r="F37" s="27">
        <v>30000</v>
      </c>
      <c r="G37" s="20" t="s">
        <v>225</v>
      </c>
      <c r="H37" s="20" t="s">
        <v>385</v>
      </c>
      <c r="I37" s="14" t="s">
        <v>458</v>
      </c>
      <c r="J37" s="25" t="s">
        <v>459</v>
      </c>
    </row>
    <row r="38" s="14" customFormat="1" ht="15.75" spans="1:10">
      <c r="A38" s="20"/>
      <c r="B38" s="36">
        <v>46119</v>
      </c>
      <c r="C38" s="41" t="s">
        <v>460</v>
      </c>
      <c r="D38" s="20"/>
      <c r="E38" s="20" t="s">
        <v>380</v>
      </c>
      <c r="F38" s="27">
        <v>2000.26</v>
      </c>
      <c r="G38" s="20" t="s">
        <v>16</v>
      </c>
      <c r="H38" s="20" t="s">
        <v>385</v>
      </c>
      <c r="I38" s="31" t="s">
        <v>461</v>
      </c>
      <c r="J38" s="37" t="s">
        <v>462</v>
      </c>
    </row>
    <row r="39" s="14" customFormat="1" ht="15.75" spans="1:10">
      <c r="A39" s="20"/>
      <c r="B39" s="36">
        <v>46121</v>
      </c>
      <c r="C39" s="20" t="s">
        <v>413</v>
      </c>
      <c r="D39" s="20"/>
      <c r="E39" s="20" t="s">
        <v>380</v>
      </c>
      <c r="F39" s="27">
        <v>8000</v>
      </c>
      <c r="G39" s="20" t="s">
        <v>463</v>
      </c>
      <c r="H39" s="20" t="s">
        <v>385</v>
      </c>
      <c r="I39" s="41" t="s">
        <v>464</v>
      </c>
      <c r="J39" s="25" t="s">
        <v>465</v>
      </c>
    </row>
    <row r="40" s="14" customFormat="1" ht="15.75" spans="1:10">
      <c r="A40" s="20"/>
      <c r="B40" s="36">
        <v>46120</v>
      </c>
      <c r="C40" s="29" t="s">
        <v>460</v>
      </c>
      <c r="D40" s="42"/>
      <c r="E40" s="20" t="s">
        <v>380</v>
      </c>
      <c r="F40" s="30">
        <v>4000.16</v>
      </c>
      <c r="G40" s="22" t="s">
        <v>16</v>
      </c>
      <c r="H40" s="43" t="s">
        <v>443</v>
      </c>
      <c r="I40" s="31" t="s">
        <v>466</v>
      </c>
      <c r="J40" s="37" t="s">
        <v>467</v>
      </c>
    </row>
    <row r="41" s="14" customFormat="1" ht="15.75" spans="1:10">
      <c r="A41" s="20"/>
      <c r="B41" s="21">
        <v>46122</v>
      </c>
      <c r="C41" s="22" t="s">
        <v>468</v>
      </c>
      <c r="D41" s="42"/>
      <c r="E41" s="20" t="s">
        <v>380</v>
      </c>
      <c r="F41" s="30">
        <v>15000</v>
      </c>
      <c r="G41" s="22" t="s">
        <v>16</v>
      </c>
      <c r="H41" s="24" t="s">
        <v>443</v>
      </c>
      <c r="I41" s="41" t="s">
        <v>469</v>
      </c>
      <c r="J41" s="37" t="s">
        <v>470</v>
      </c>
    </row>
    <row r="42" s="14" customFormat="1" ht="15.75" spans="1:10">
      <c r="A42" s="20"/>
      <c r="B42" s="21">
        <v>46122</v>
      </c>
      <c r="C42" s="22" t="s">
        <v>468</v>
      </c>
      <c r="D42" s="42"/>
      <c r="E42" s="20" t="s">
        <v>380</v>
      </c>
      <c r="F42" s="30">
        <v>15000</v>
      </c>
      <c r="G42" s="22" t="s">
        <v>16</v>
      </c>
      <c r="H42" s="24" t="s">
        <v>443</v>
      </c>
      <c r="I42" s="31" t="s">
        <v>471</v>
      </c>
      <c r="J42" s="37" t="s">
        <v>472</v>
      </c>
    </row>
    <row r="43" s="14" customFormat="1" ht="15.75" spans="1:10">
      <c r="A43" s="20"/>
      <c r="B43" s="21">
        <v>46122</v>
      </c>
      <c r="C43" s="22" t="s">
        <v>468</v>
      </c>
      <c r="D43" s="42"/>
      <c r="E43" s="20" t="s">
        <v>380</v>
      </c>
      <c r="F43" s="30">
        <v>15000</v>
      </c>
      <c r="G43" s="22" t="s">
        <v>16</v>
      </c>
      <c r="H43" s="24" t="s">
        <v>443</v>
      </c>
      <c r="I43" s="31" t="s">
        <v>473</v>
      </c>
      <c r="J43" s="37" t="s">
        <v>474</v>
      </c>
    </row>
    <row r="44" s="14" customFormat="1" ht="15.75" spans="1:10">
      <c r="A44" s="20"/>
      <c r="B44" s="21">
        <v>46122</v>
      </c>
      <c r="C44" s="22" t="s">
        <v>468</v>
      </c>
      <c r="D44" s="42"/>
      <c r="E44" s="20" t="s">
        <v>380</v>
      </c>
      <c r="F44" s="30">
        <v>15000</v>
      </c>
      <c r="G44" s="22" t="s">
        <v>16</v>
      </c>
      <c r="H44" s="24" t="s">
        <v>443</v>
      </c>
      <c r="I44" s="31" t="s">
        <v>475</v>
      </c>
      <c r="J44" s="37" t="s">
        <v>476</v>
      </c>
    </row>
    <row r="45" s="14" customFormat="1" ht="15.75" spans="1:10">
      <c r="A45" s="20"/>
      <c r="B45" s="21">
        <v>46122</v>
      </c>
      <c r="C45" s="22" t="s">
        <v>468</v>
      </c>
      <c r="D45" s="42"/>
      <c r="E45" s="20" t="s">
        <v>380</v>
      </c>
      <c r="F45" s="30">
        <v>15000</v>
      </c>
      <c r="G45" s="22" t="s">
        <v>16</v>
      </c>
      <c r="H45" s="24" t="s">
        <v>443</v>
      </c>
      <c r="I45" s="31" t="s">
        <v>477</v>
      </c>
      <c r="J45" s="37" t="s">
        <v>478</v>
      </c>
    </row>
    <row r="46" s="14" customFormat="1" ht="15.75" spans="1:10">
      <c r="A46" s="20"/>
      <c r="B46" s="21">
        <v>46139</v>
      </c>
      <c r="C46" s="29" t="s">
        <v>460</v>
      </c>
      <c r="D46" s="42"/>
      <c r="E46" s="20" t="s">
        <v>380</v>
      </c>
      <c r="F46" s="27">
        <v>2000.31</v>
      </c>
      <c r="G46" s="22" t="s">
        <v>16</v>
      </c>
      <c r="H46" s="24" t="s">
        <v>443</v>
      </c>
      <c r="I46" s="31" t="s">
        <v>479</v>
      </c>
      <c r="J46" s="37" t="s">
        <v>480</v>
      </c>
    </row>
    <row r="47" s="14" customFormat="1" ht="15.75" spans="1:10">
      <c r="A47" s="20"/>
      <c r="B47" s="21">
        <v>46139</v>
      </c>
      <c r="C47" s="29" t="s">
        <v>115</v>
      </c>
      <c r="D47" s="42"/>
      <c r="E47" s="20" t="s">
        <v>380</v>
      </c>
      <c r="F47" s="27">
        <v>20000</v>
      </c>
      <c r="G47" s="22" t="s">
        <v>225</v>
      </c>
      <c r="H47" s="24" t="s">
        <v>385</v>
      </c>
      <c r="I47" s="31" t="s">
        <v>481</v>
      </c>
      <c r="J47" s="37" t="s">
        <v>482</v>
      </c>
    </row>
    <row r="48" s="14" customFormat="1" ht="15.75" spans="1:10">
      <c r="A48" s="20"/>
      <c r="B48" s="21">
        <v>46140</v>
      </c>
      <c r="C48" s="20" t="s">
        <v>483</v>
      </c>
      <c r="D48" s="20"/>
      <c r="E48" s="20" t="s">
        <v>380</v>
      </c>
      <c r="F48" s="27">
        <v>10000</v>
      </c>
      <c r="G48" s="22" t="s">
        <v>16</v>
      </c>
      <c r="H48" s="24" t="s">
        <v>385</v>
      </c>
      <c r="I48" s="31" t="s">
        <v>484</v>
      </c>
      <c r="J48" s="37" t="s">
        <v>485</v>
      </c>
    </row>
    <row r="49" s="14" customFormat="1" ht="15.75" spans="1:10">
      <c r="A49" s="20"/>
      <c r="B49" s="21">
        <v>46140</v>
      </c>
      <c r="C49" s="20" t="s">
        <v>486</v>
      </c>
      <c r="D49" s="20"/>
      <c r="E49" s="20" t="s">
        <v>380</v>
      </c>
      <c r="F49" s="27">
        <v>5000</v>
      </c>
      <c r="G49" s="22" t="s">
        <v>16</v>
      </c>
      <c r="H49" s="24" t="s">
        <v>385</v>
      </c>
      <c r="I49" s="31" t="s">
        <v>487</v>
      </c>
      <c r="J49" s="37" t="s">
        <v>488</v>
      </c>
    </row>
    <row r="50" s="14" customFormat="1" ht="15.75" spans="1:10">
      <c r="A50" s="20"/>
      <c r="B50" s="21">
        <v>46148</v>
      </c>
      <c r="C50" s="20" t="s">
        <v>384</v>
      </c>
      <c r="D50" s="20"/>
      <c r="E50" s="20" t="s">
        <v>380</v>
      </c>
      <c r="F50" s="27">
        <v>2000</v>
      </c>
      <c r="G50" s="22" t="s">
        <v>16</v>
      </c>
      <c r="H50" s="24" t="s">
        <v>385</v>
      </c>
      <c r="I50" s="31" t="s">
        <v>489</v>
      </c>
      <c r="J50" s="37" t="s">
        <v>490</v>
      </c>
    </row>
    <row r="51" s="14" customFormat="1" ht="15.75" spans="1:10">
      <c r="A51" s="20"/>
      <c r="B51" s="36">
        <v>46156</v>
      </c>
      <c r="C51" s="41" t="s">
        <v>104</v>
      </c>
      <c r="D51" s="20"/>
      <c r="E51" s="20" t="s">
        <v>380</v>
      </c>
      <c r="F51" s="27">
        <v>7000</v>
      </c>
      <c r="G51" s="22" t="s">
        <v>16</v>
      </c>
      <c r="H51" s="24" t="s">
        <v>385</v>
      </c>
      <c r="I51" s="41" t="s">
        <v>491</v>
      </c>
      <c r="J51" s="37" t="s">
        <v>492</v>
      </c>
    </row>
    <row r="52" s="14" customFormat="1" ht="15.75" spans="1:10">
      <c r="A52" s="20"/>
      <c r="B52" s="36">
        <v>46156</v>
      </c>
      <c r="C52" s="41" t="s">
        <v>104</v>
      </c>
      <c r="D52" s="20"/>
      <c r="E52" s="20" t="s">
        <v>380</v>
      </c>
      <c r="F52" s="27">
        <v>25000</v>
      </c>
      <c r="G52" s="22" t="s">
        <v>16</v>
      </c>
      <c r="H52" s="24" t="s">
        <v>385</v>
      </c>
      <c r="I52" s="31" t="s">
        <v>493</v>
      </c>
      <c r="J52" s="44" t="s">
        <v>494</v>
      </c>
    </row>
    <row r="53" s="14" customFormat="1" ht="15.75" spans="1:10">
      <c r="A53" s="20"/>
      <c r="B53" s="36">
        <v>46164</v>
      </c>
      <c r="C53" s="20" t="s">
        <v>495</v>
      </c>
      <c r="D53" s="20"/>
      <c r="E53" s="20" t="s">
        <v>380</v>
      </c>
      <c r="F53" s="27">
        <v>3600</v>
      </c>
      <c r="G53" s="22" t="s">
        <v>16</v>
      </c>
      <c r="H53" s="24" t="s">
        <v>385</v>
      </c>
      <c r="I53" s="31" t="s">
        <v>496</v>
      </c>
      <c r="J53" s="37" t="s">
        <v>497</v>
      </c>
    </row>
    <row r="54" s="14" customFormat="1" ht="15.75" spans="1:10">
      <c r="A54" s="20"/>
      <c r="B54" s="36">
        <v>46170</v>
      </c>
      <c r="C54" s="20" t="s">
        <v>498</v>
      </c>
      <c r="D54" s="20"/>
      <c r="E54" s="20" t="s">
        <v>380</v>
      </c>
      <c r="F54" s="27">
        <v>5000</v>
      </c>
      <c r="G54" s="22" t="s">
        <v>16</v>
      </c>
      <c r="H54" s="24" t="s">
        <v>385</v>
      </c>
      <c r="I54" s="31" t="s">
        <v>499</v>
      </c>
      <c r="J54" s="37" t="s">
        <v>500</v>
      </c>
    </row>
    <row r="55" s="14" customFormat="1" ht="15.75" spans="1:10">
      <c r="A55" s="20"/>
      <c r="B55" s="21">
        <v>46184</v>
      </c>
      <c r="C55" s="29" t="s">
        <v>501</v>
      </c>
      <c r="D55" s="20"/>
      <c r="E55" s="20" t="s">
        <v>380</v>
      </c>
      <c r="F55" s="30">
        <v>2000</v>
      </c>
      <c r="G55" s="20" t="s">
        <v>16</v>
      </c>
      <c r="H55" s="45" t="s">
        <v>385</v>
      </c>
      <c r="I55" s="14" t="s">
        <v>502</v>
      </c>
      <c r="J55" s="25" t="s">
        <v>503</v>
      </c>
    </row>
    <row r="56" s="14" customFormat="1" ht="15.75" spans="1:10">
      <c r="A56" s="20"/>
      <c r="B56" s="21">
        <v>46184</v>
      </c>
      <c r="C56" s="29" t="s">
        <v>457</v>
      </c>
      <c r="D56" s="20"/>
      <c r="E56" s="20" t="s">
        <v>380</v>
      </c>
      <c r="F56" s="30">
        <v>30000</v>
      </c>
      <c r="G56" s="20" t="s">
        <v>225</v>
      </c>
      <c r="H56" s="45" t="s">
        <v>385</v>
      </c>
      <c r="I56" s="34" t="s">
        <v>504</v>
      </c>
      <c r="J56" s="37" t="s">
        <v>505</v>
      </c>
    </row>
    <row r="57" s="14" customFormat="1" ht="15.75" spans="1:10">
      <c r="A57" s="20"/>
      <c r="B57" s="21">
        <v>46190</v>
      </c>
      <c r="C57" s="29" t="s">
        <v>506</v>
      </c>
      <c r="D57" s="20"/>
      <c r="E57" s="20" t="s">
        <v>380</v>
      </c>
      <c r="F57" s="30">
        <v>20000</v>
      </c>
      <c r="G57" s="20" t="s">
        <v>16</v>
      </c>
      <c r="H57" s="45" t="s">
        <v>385</v>
      </c>
      <c r="I57" s="14" t="s">
        <v>507</v>
      </c>
      <c r="J57" s="25" t="s">
        <v>508</v>
      </c>
    </row>
    <row r="58" s="14" customFormat="1" ht="15.75" spans="1:10">
      <c r="A58" s="20"/>
      <c r="B58" s="21">
        <v>46190</v>
      </c>
      <c r="C58" s="29" t="s">
        <v>506</v>
      </c>
      <c r="D58" s="20"/>
      <c r="E58" s="20" t="s">
        <v>380</v>
      </c>
      <c r="F58" s="30">
        <v>10000</v>
      </c>
      <c r="G58" s="20" t="s">
        <v>16</v>
      </c>
      <c r="H58" s="45" t="s">
        <v>385</v>
      </c>
      <c r="I58" s="14" t="s">
        <v>509</v>
      </c>
      <c r="J58" s="25" t="s">
        <v>510</v>
      </c>
    </row>
    <row r="59" s="14" customFormat="1" ht="15.75" spans="1:10">
      <c r="A59" s="20"/>
      <c r="B59" s="21">
        <v>46191</v>
      </c>
      <c r="C59" s="29" t="s">
        <v>511</v>
      </c>
      <c r="D59" s="20"/>
      <c r="E59" s="20" t="s">
        <v>380</v>
      </c>
      <c r="F59" s="30">
        <v>20000</v>
      </c>
      <c r="G59" s="20" t="s">
        <v>16</v>
      </c>
      <c r="H59" s="45" t="s">
        <v>385</v>
      </c>
      <c r="I59" s="14" t="s">
        <v>512</v>
      </c>
      <c r="J59" s="25" t="s">
        <v>513</v>
      </c>
    </row>
    <row r="60" s="14" customFormat="1" ht="15.75" spans="1:10">
      <c r="A60" s="20"/>
      <c r="B60" s="21">
        <v>46195</v>
      </c>
      <c r="C60" s="29" t="s">
        <v>457</v>
      </c>
      <c r="D60" s="20"/>
      <c r="E60" s="20" t="s">
        <v>380</v>
      </c>
      <c r="F60" s="30">
        <v>10000</v>
      </c>
      <c r="G60" s="20" t="s">
        <v>225</v>
      </c>
      <c r="H60" s="45" t="s">
        <v>385</v>
      </c>
      <c r="I60" s="31" t="s">
        <v>514</v>
      </c>
      <c r="J60" s="37" t="s">
        <v>515</v>
      </c>
    </row>
    <row r="61" s="14" customFormat="1" ht="15.75" spans="1:10">
      <c r="A61" s="20"/>
      <c r="B61" s="21">
        <v>46202</v>
      </c>
      <c r="C61" s="29" t="s">
        <v>516</v>
      </c>
      <c r="D61" s="29"/>
      <c r="E61" s="20" t="s">
        <v>380</v>
      </c>
      <c r="F61" s="30">
        <v>10000</v>
      </c>
      <c r="G61" s="29" t="s">
        <v>225</v>
      </c>
      <c r="H61" s="45" t="s">
        <v>385</v>
      </c>
      <c r="I61" s="14" t="s">
        <v>517</v>
      </c>
      <c r="J61" s="25" t="s">
        <v>518</v>
      </c>
    </row>
    <row r="62" s="14" customFormat="1" ht="15.75" spans="1:10">
      <c r="A62" s="20"/>
      <c r="B62" s="21">
        <v>46202</v>
      </c>
      <c r="C62" s="29" t="s">
        <v>519</v>
      </c>
      <c r="D62" s="29"/>
      <c r="E62" s="20" t="s">
        <v>380</v>
      </c>
      <c r="F62" s="30">
        <v>2000</v>
      </c>
      <c r="G62" s="29" t="s">
        <v>16</v>
      </c>
      <c r="H62" s="42" t="s">
        <v>385</v>
      </c>
      <c r="I62" s="14" t="s">
        <v>520</v>
      </c>
      <c r="J62" s="25" t="s">
        <v>521</v>
      </c>
    </row>
    <row r="63" s="14" customFormat="1" ht="15.75" spans="1:10">
      <c r="A63" s="20"/>
      <c r="B63" s="21"/>
      <c r="C63" s="29"/>
      <c r="D63" s="29"/>
      <c r="E63" s="20"/>
      <c r="F63" s="30"/>
      <c r="G63" s="29"/>
      <c r="H63" s="42"/>
      <c r="I63" s="14"/>
      <c r="J63" s="25"/>
    </row>
    <row r="64" s="14" customFormat="1" ht="15.75" spans="1:10">
      <c r="A64" s="20"/>
      <c r="B64" s="21"/>
      <c r="C64" s="42"/>
      <c r="D64" s="29"/>
      <c r="E64" s="20"/>
      <c r="F64" s="30"/>
      <c r="G64" s="29"/>
      <c r="H64" s="45"/>
      <c r="I64" s="14"/>
      <c r="J64" s="25"/>
    </row>
    <row r="65" s="14" customFormat="1" ht="15.75" spans="1:11">
      <c r="A65" s="20"/>
      <c r="B65" s="21"/>
      <c r="C65" s="29"/>
      <c r="D65" s="29"/>
      <c r="E65" s="20"/>
      <c r="F65" s="30"/>
      <c r="G65" s="29"/>
      <c r="H65" s="45"/>
      <c r="I65" s="14"/>
      <c r="J65" s="25"/>
    </row>
    <row r="66" s="14" customFormat="1" ht="15.75" spans="1:11">
      <c r="A66" s="20"/>
      <c r="B66" s="21"/>
      <c r="C66" s="29"/>
      <c r="D66" s="29"/>
      <c r="E66" s="20"/>
      <c r="F66" s="30"/>
      <c r="G66" s="29"/>
      <c r="H66" s="42"/>
      <c r="I66" s="14"/>
      <c r="J66" s="25"/>
    </row>
    <row r="67" s="14" customFormat="1" ht="15.75" spans="1:11">
      <c r="A67" s="20"/>
      <c r="B67" s="21"/>
      <c r="C67" s="29"/>
      <c r="D67" s="29"/>
      <c r="E67" s="20"/>
      <c r="F67" s="30"/>
      <c r="G67" s="29"/>
      <c r="H67" s="42"/>
      <c r="I67" s="14"/>
      <c r="J67" s="25"/>
    </row>
    <row r="68" s="14" customFormat="1" ht="15.75" spans="1:11">
      <c r="A68" s="20"/>
      <c r="B68" s="21"/>
      <c r="C68" s="29"/>
      <c r="D68" s="20"/>
      <c r="E68" s="20"/>
      <c r="F68" s="30"/>
      <c r="G68" s="20"/>
      <c r="H68" s="45"/>
      <c r="I68" s="14"/>
      <c r="J68" s="25"/>
    </row>
    <row r="69" s="14" customFormat="1" ht="15.75" spans="1:11">
      <c r="A69" s="20"/>
      <c r="B69" s="21"/>
      <c r="C69" s="29"/>
      <c r="D69" s="29"/>
      <c r="E69" s="20"/>
      <c r="F69" s="30"/>
      <c r="G69" s="29"/>
      <c r="H69" s="42"/>
      <c r="J69" s="25"/>
    </row>
    <row r="70" s="14" customFormat="1" ht="15.75" spans="1:11">
      <c r="A70" s="20"/>
      <c r="B70" s="21"/>
      <c r="C70" s="29"/>
      <c r="D70" s="29"/>
      <c r="E70" s="20"/>
      <c r="F70" s="30"/>
      <c r="G70" s="29"/>
      <c r="H70" s="42"/>
      <c r="J70" s="25"/>
    </row>
    <row r="71" s="14" customFormat="1" ht="15.75" spans="1:11">
      <c r="A71" s="20"/>
      <c r="B71" s="21"/>
      <c r="C71" s="29"/>
      <c r="D71" s="29"/>
      <c r="E71" s="20"/>
      <c r="F71" s="30"/>
      <c r="G71" s="29"/>
      <c r="H71" s="42"/>
      <c r="J71" s="25"/>
    </row>
    <row r="72" s="14" customFormat="1" ht="15.75" spans="1:11">
      <c r="A72" s="20"/>
      <c r="B72" s="21"/>
      <c r="C72" s="29"/>
      <c r="D72" s="29"/>
      <c r="E72" s="20"/>
      <c r="F72" s="30"/>
      <c r="G72" s="29"/>
      <c r="H72" s="42"/>
      <c r="J72" s="25"/>
    </row>
    <row r="73" s="14" customFormat="1" ht="15.75" spans="1:11">
      <c r="A73" s="20"/>
      <c r="B73" s="21"/>
      <c r="C73" s="42"/>
      <c r="D73" s="20"/>
      <c r="E73" s="20"/>
      <c r="F73" s="46"/>
      <c r="G73" s="47"/>
      <c r="H73" s="20"/>
      <c r="J73" s="25"/>
    </row>
    <row r="74" spans="1:11">
      <c r="A74" s="20"/>
      <c r="B74" s="36"/>
      <c r="C74" s="48"/>
      <c r="D74" s="49" t="s">
        <v>522</v>
      </c>
      <c r="E74" s="49"/>
      <c r="F74" s="50">
        <f>SUM(F3:F73)</f>
        <v>1038695.1</v>
      </c>
      <c r="G74" s="48"/>
      <c r="H74" s="48"/>
      <c r="K74" s="14"/>
    </row>
    <row r="76" spans="1:11">
      <c r="G76" s="51" t="s">
        <v>523</v>
      </c>
      <c r="H76" s="15"/>
    </row>
    <row r="77" spans="1:11">
      <c r="G77" s="51" t="s">
        <v>524</v>
      </c>
      <c r="H77" s="15"/>
    </row>
    <row r="78" spans="1:11">
      <c r="G78" s="51" t="s">
        <v>88</v>
      </c>
      <c r="H78" s="15">
        <f>SUM(H76:H77)</f>
        <v>0</v>
      </c>
    </row>
  </sheetData>
  <sheetProtection formatCells="0" formatColumns="0" formatRows="0" insertRows="0" insertColumns="0" insertHyperlinks="0" deleteColumns="0" deleteRows="0" sort="0" autoFilter="0" pivotTables="0"/>
  <autoFilter xmlns:etc="http://www.wps.cn/officeDocument/2017/etCustomData" ref="A2:J68" etc:filterBottomFollowUsedRange="0">
    <extLst/>
  </autoFilter>
  <mergeCells count="1">
    <mergeCell ref="A1:H1"/>
  </mergeCells>
  <conditionalFormatting sqref="I24">
    <cfRule type="duplicateValues" dxfId="0" priority="12"/>
  </conditionalFormatting>
  <conditionalFormatting sqref="I25">
    <cfRule type="duplicateValues" dxfId="0" priority="10"/>
  </conditionalFormatting>
  <conditionalFormatting sqref="I26">
    <cfRule type="duplicateValues" dxfId="0" priority="9"/>
  </conditionalFormatting>
  <conditionalFormatting sqref="I27">
    <cfRule type="duplicateValues" dxfId="0" priority="8"/>
  </conditionalFormatting>
  <conditionalFormatting sqref="I28">
    <cfRule type="duplicateValues" dxfId="0" priority="7"/>
  </conditionalFormatting>
  <conditionalFormatting sqref="I29">
    <cfRule type="duplicateValues" dxfId="0" priority="6"/>
  </conditionalFormatting>
  <conditionalFormatting sqref="I39">
    <cfRule type="duplicateValues" dxfId="0" priority="4"/>
  </conditionalFormatting>
  <conditionalFormatting sqref="I41">
    <cfRule type="duplicateValues" dxfId="0" priority="3"/>
  </conditionalFormatting>
  <conditionalFormatting sqref="I51">
    <cfRule type="duplicateValues" dxfId="0" priority="2"/>
  </conditionalFormatting>
  <conditionalFormatting sqref="I56">
    <cfRule type="duplicateValues" dxfId="0" priority="1"/>
  </conditionalFormatting>
  <conditionalFormatting sqref="I30:I31">
    <cfRule type="duplicateValues" dxfId="0" priority="5"/>
  </conditionalFormatting>
  <pageMargins left="0.75" right="0.75" top="1" bottom="1" header="0.5" footer="0.5"/>
  <pageSetup paperSize="9" orientation="portrait"/>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2"/>
  <sheetViews>
    <sheetView workbookViewId="0">
      <selection activeCell="C104" sqref="C104"/>
    </sheetView>
  </sheetViews>
  <sheetFormatPr defaultColWidth="9" defaultRowHeight="13.5" outlineLevelCol="6"/>
  <cols>
    <col min="1" max="1" width="12.8833333333333"/>
    <col min="2" max="2" width="12.0833333333333"/>
    <col min="3" max="3" width="43.1416666666667" customWidth="1"/>
    <col min="4" max="4" width="23.8833333333333"/>
    <col min="6" max="6" width="12.8833333333333"/>
    <col min="7" max="7" width="23.8833333333333"/>
  </cols>
  <sheetData>
    <row r="1" spans="1:7">
      <c r="A1" t="s">
        <v>8</v>
      </c>
      <c r="B1" t="s">
        <v>2</v>
      </c>
      <c r="C1" t="s">
        <v>3</v>
      </c>
      <c r="D1" t="s">
        <v>525</v>
      </c>
      <c r="F1" t="s">
        <v>8</v>
      </c>
      <c r="G1" t="s">
        <v>525</v>
      </c>
    </row>
    <row r="2" spans="1:7">
      <c r="A2" t="s">
        <v>526</v>
      </c>
      <c r="B2" s="18">
        <v>45495</v>
      </c>
      <c r="C2" t="s">
        <v>519</v>
      </c>
      <c r="D2">
        <v>60000</v>
      </c>
      <c r="F2" t="s">
        <v>526</v>
      </c>
      <c r="G2">
        <v>1147032</v>
      </c>
    </row>
    <row r="3" spans="1:7">
      <c r="B3" s="18">
        <v>45503</v>
      </c>
      <c r="C3" t="s">
        <v>93</v>
      </c>
      <c r="D3">
        <v>1087032</v>
      </c>
      <c r="F3" t="s">
        <v>527</v>
      </c>
      <c r="G3">
        <v>584819.09</v>
      </c>
    </row>
    <row r="4" spans="1:7">
      <c r="A4" t="s">
        <v>527</v>
      </c>
      <c r="B4" s="18">
        <v>45477</v>
      </c>
      <c r="C4" t="s">
        <v>528</v>
      </c>
      <c r="D4">
        <v>200000</v>
      </c>
      <c r="F4" t="s">
        <v>281</v>
      </c>
      <c r="G4">
        <v>496517.56</v>
      </c>
    </row>
    <row r="5" spans="1:7">
      <c r="B5" s="18">
        <v>45496</v>
      </c>
      <c r="C5" t="s">
        <v>529</v>
      </c>
      <c r="D5">
        <v>150000</v>
      </c>
      <c r="F5" t="s">
        <v>530</v>
      </c>
      <c r="G5">
        <v>325894</v>
      </c>
    </row>
    <row r="6" spans="1:7">
      <c r="B6" s="18">
        <v>45503</v>
      </c>
      <c r="C6" t="s">
        <v>531</v>
      </c>
      <c r="D6">
        <v>184819.09</v>
      </c>
      <c r="F6" t="s">
        <v>291</v>
      </c>
      <c r="G6">
        <v>318816</v>
      </c>
    </row>
    <row r="7" spans="1:7">
      <c r="B7" s="18">
        <v>45504</v>
      </c>
      <c r="C7" t="s">
        <v>528</v>
      </c>
      <c r="D7">
        <v>50000</v>
      </c>
      <c r="F7" t="s">
        <v>532</v>
      </c>
      <c r="G7">
        <v>193000</v>
      </c>
    </row>
    <row r="8" spans="1:7">
      <c r="A8" t="s">
        <v>281</v>
      </c>
      <c r="B8" s="18">
        <v>45497</v>
      </c>
      <c r="C8" t="s">
        <v>533</v>
      </c>
      <c r="D8">
        <v>46517.56</v>
      </c>
      <c r="F8" t="s">
        <v>534</v>
      </c>
      <c r="G8">
        <v>167000</v>
      </c>
    </row>
    <row r="9" spans="1:7">
      <c r="B9" s="18">
        <v>45502</v>
      </c>
      <c r="C9" t="s">
        <v>533</v>
      </c>
      <c r="D9">
        <v>300000</v>
      </c>
      <c r="F9" t="s">
        <v>535</v>
      </c>
      <c r="G9">
        <v>140158</v>
      </c>
    </row>
    <row r="10" spans="1:7">
      <c r="C10" t="s">
        <v>536</v>
      </c>
      <c r="D10">
        <v>100000</v>
      </c>
      <c r="F10" t="s">
        <v>537</v>
      </c>
      <c r="G10">
        <v>137721</v>
      </c>
    </row>
    <row r="11" spans="1:7">
      <c r="B11" s="18">
        <v>45503</v>
      </c>
      <c r="C11" t="s">
        <v>126</v>
      </c>
      <c r="D11">
        <v>50000</v>
      </c>
      <c r="F11" t="s">
        <v>538</v>
      </c>
      <c r="G11">
        <v>134980</v>
      </c>
    </row>
    <row r="12" spans="1:7">
      <c r="A12" t="s">
        <v>530</v>
      </c>
      <c r="B12" s="18">
        <v>45490</v>
      </c>
      <c r="C12" t="s">
        <v>539</v>
      </c>
      <c r="D12">
        <v>188000</v>
      </c>
      <c r="F12" t="s">
        <v>540</v>
      </c>
      <c r="G12">
        <v>120000</v>
      </c>
    </row>
    <row r="13" spans="1:7">
      <c r="B13" s="18">
        <v>45492</v>
      </c>
      <c r="C13" t="s">
        <v>362</v>
      </c>
      <c r="D13">
        <v>20000</v>
      </c>
      <c r="F13" t="s">
        <v>541</v>
      </c>
      <c r="G13">
        <v>38000</v>
      </c>
    </row>
    <row r="14" spans="1:7">
      <c r="B14" s="18">
        <v>45495</v>
      </c>
      <c r="C14" t="s">
        <v>542</v>
      </c>
      <c r="D14">
        <v>26514</v>
      </c>
      <c r="F14" t="s">
        <v>543</v>
      </c>
      <c r="G14">
        <v>26772</v>
      </c>
    </row>
    <row r="15" spans="1:7">
      <c r="B15" s="18">
        <v>45496</v>
      </c>
      <c r="C15" t="s">
        <v>544</v>
      </c>
      <c r="D15">
        <v>42000</v>
      </c>
      <c r="F15" t="s">
        <v>545</v>
      </c>
      <c r="G15">
        <v>20000</v>
      </c>
    </row>
    <row r="16" spans="1:7">
      <c r="B16" s="18">
        <v>45504</v>
      </c>
      <c r="C16" t="s">
        <v>546</v>
      </c>
      <c r="D16">
        <v>29380</v>
      </c>
      <c r="F16" t="s">
        <v>547</v>
      </c>
      <c r="G16">
        <v>3850709.65</v>
      </c>
    </row>
    <row r="17" spans="1:4">
      <c r="C17" t="s">
        <v>548</v>
      </c>
      <c r="D17">
        <v>20000</v>
      </c>
    </row>
    <row r="18" spans="1:4">
      <c r="A18" t="s">
        <v>291</v>
      </c>
      <c r="B18" s="18">
        <v>45483</v>
      </c>
      <c r="C18" t="s">
        <v>207</v>
      </c>
      <c r="D18">
        <v>48816</v>
      </c>
    </row>
    <row r="19" spans="1:4">
      <c r="B19" s="18">
        <v>45492</v>
      </c>
      <c r="C19" t="s">
        <v>549</v>
      </c>
      <c r="D19">
        <v>50000</v>
      </c>
    </row>
    <row r="20" spans="1:4">
      <c r="B20" s="18">
        <v>45504</v>
      </c>
      <c r="C20" t="s">
        <v>550</v>
      </c>
      <c r="D20">
        <v>220000</v>
      </c>
    </row>
    <row r="21" spans="1:4">
      <c r="A21" t="s">
        <v>532</v>
      </c>
      <c r="B21" s="18">
        <v>45481</v>
      </c>
      <c r="C21" t="s">
        <v>551</v>
      </c>
      <c r="D21">
        <v>193000</v>
      </c>
    </row>
    <row r="22" spans="1:4">
      <c r="A22" t="s">
        <v>534</v>
      </c>
      <c r="B22" s="18">
        <v>45499</v>
      </c>
      <c r="C22" t="s">
        <v>14</v>
      </c>
      <c r="D22">
        <v>72000</v>
      </c>
    </row>
    <row r="23" spans="1:4">
      <c r="B23" s="18">
        <v>45502</v>
      </c>
      <c r="C23" t="s">
        <v>14</v>
      </c>
      <c r="D23">
        <v>95000</v>
      </c>
    </row>
    <row r="24" spans="1:4">
      <c r="A24" t="s">
        <v>535</v>
      </c>
      <c r="B24" s="18">
        <v>45482</v>
      </c>
      <c r="C24" t="s">
        <v>552</v>
      </c>
      <c r="D24">
        <v>35158</v>
      </c>
    </row>
    <row r="25" spans="1:4">
      <c r="B25" s="18">
        <v>45488</v>
      </c>
      <c r="C25" t="s">
        <v>552</v>
      </c>
      <c r="D25">
        <v>5000</v>
      </c>
    </row>
    <row r="26" spans="1:4">
      <c r="B26" s="18">
        <v>45496</v>
      </c>
      <c r="C26" t="s">
        <v>553</v>
      </c>
      <c r="D26">
        <v>100000</v>
      </c>
    </row>
    <row r="27" spans="1:4">
      <c r="A27" t="s">
        <v>537</v>
      </c>
      <c r="B27" s="18">
        <v>45476</v>
      </c>
      <c r="C27" t="s">
        <v>107</v>
      </c>
      <c r="D27">
        <v>61750</v>
      </c>
    </row>
    <row r="28" spans="1:4">
      <c r="B28" s="18">
        <v>45488</v>
      </c>
      <c r="C28" t="s">
        <v>554</v>
      </c>
      <c r="D28">
        <v>2980</v>
      </c>
    </row>
    <row r="29" spans="1:4">
      <c r="B29" s="18">
        <v>45499</v>
      </c>
      <c r="C29" t="s">
        <v>555</v>
      </c>
      <c r="D29">
        <v>64000</v>
      </c>
    </row>
    <row r="30" spans="1:4">
      <c r="B30" s="18">
        <v>45504</v>
      </c>
      <c r="C30" t="s">
        <v>556</v>
      </c>
      <c r="D30">
        <v>8991</v>
      </c>
    </row>
    <row r="31" spans="1:4">
      <c r="A31" t="s">
        <v>538</v>
      </c>
      <c r="B31" s="18">
        <v>45492</v>
      </c>
      <c r="C31" t="s">
        <v>557</v>
      </c>
      <c r="D31">
        <v>60980</v>
      </c>
    </row>
    <row r="32" spans="1:4">
      <c r="B32" s="18">
        <v>45503</v>
      </c>
      <c r="C32" t="s">
        <v>558</v>
      </c>
      <c r="D32">
        <v>24000</v>
      </c>
    </row>
    <row r="33" spans="1:4">
      <c r="C33" t="s">
        <v>559</v>
      </c>
      <c r="D33">
        <v>50000</v>
      </c>
    </row>
    <row r="34" spans="1:4">
      <c r="A34" t="s">
        <v>540</v>
      </c>
      <c r="B34" s="18">
        <v>45478</v>
      </c>
      <c r="C34" t="s">
        <v>560</v>
      </c>
      <c r="D34">
        <v>100000</v>
      </c>
    </row>
    <row r="35" spans="1:4">
      <c r="B35" s="18">
        <v>45504</v>
      </c>
      <c r="C35" t="s">
        <v>561</v>
      </c>
      <c r="D35">
        <v>20000</v>
      </c>
    </row>
    <row r="36" spans="1:4">
      <c r="A36" t="s">
        <v>541</v>
      </c>
      <c r="B36" s="18">
        <v>45504</v>
      </c>
      <c r="C36" t="s">
        <v>550</v>
      </c>
      <c r="D36">
        <v>38000</v>
      </c>
    </row>
    <row r="37" spans="1:4">
      <c r="A37" t="s">
        <v>543</v>
      </c>
      <c r="B37" s="18">
        <v>45478</v>
      </c>
      <c r="C37" t="s">
        <v>562</v>
      </c>
      <c r="D37">
        <v>8272</v>
      </c>
    </row>
    <row r="38" spans="1:4">
      <c r="B38" s="18">
        <v>45485</v>
      </c>
      <c r="C38" t="s">
        <v>563</v>
      </c>
      <c r="D38">
        <v>2700</v>
      </c>
    </row>
    <row r="39" spans="1:4">
      <c r="B39" s="18">
        <v>45499</v>
      </c>
      <c r="C39" t="s">
        <v>564</v>
      </c>
      <c r="D39">
        <v>15800</v>
      </c>
    </row>
    <row r="40" spans="1:4">
      <c r="B40" t="s">
        <v>543</v>
      </c>
      <c r="C40" t="s">
        <v>543</v>
      </c>
    </row>
    <row r="41" spans="1:4">
      <c r="A41" t="s">
        <v>545</v>
      </c>
      <c r="B41" s="18">
        <v>45497</v>
      </c>
      <c r="C41" t="s">
        <v>565</v>
      </c>
      <c r="D41">
        <v>20000</v>
      </c>
    </row>
    <row r="42" spans="1:4">
      <c r="A42" t="s">
        <v>547</v>
      </c>
      <c r="D42">
        <v>3850709.65</v>
      </c>
    </row>
  </sheetData>
  <sheetProtection formatCells="0" formatColumns="0" formatRows="0" insertRows="0" insertColumns="0" insertHyperlinks="0" deleteColumns="0" deleteRows="0" sort="0" autoFilter="0" pivotTables="0"/>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700"/>
  <sheetViews>
    <sheetView showZeros="0" workbookViewId="0">
      <pane xSplit="1" ySplit="1" topLeftCell="B107" activePane="bottomRight" state="frozen"/>
      <selection/>
      <selection pane="topRight"/>
      <selection pane="bottomLeft"/>
      <selection pane="bottomRight" activeCell="M8" sqref="M8"/>
    </sheetView>
  </sheetViews>
  <sheetFormatPr defaultColWidth="8.61666666666667" defaultRowHeight="13.5"/>
  <cols>
    <col min="1" max="1" width="8.61666666666667" style="3"/>
    <col min="2" max="2" width="11.7" style="4"/>
    <col min="3" max="3" width="27.1083333333333" style="3" customWidth="1"/>
    <col min="4" max="4" width="22.2416666666667" style="3" customWidth="1"/>
    <col min="5" max="5" width="13.5083333333333" style="3" customWidth="1"/>
    <col min="6" max="6" width="24.0166666666667" style="3" customWidth="1"/>
    <col min="7" max="8" width="8.61666666666667" style="3"/>
    <col min="9" max="9" width="18.6166666666667" style="3" customWidth="1"/>
    <col min="10" max="10" width="8.61666666666667" style="3"/>
    <col min="13" max="13" width="10.55"/>
    <col min="15" max="15" width="8.61666666666667" style="14"/>
    <col min="16" max="16" width="12.7833333333333"/>
  </cols>
  <sheetData>
    <row r="1" spans="1:17">
      <c r="A1" s="5" t="s">
        <v>1</v>
      </c>
      <c r="B1" s="5" t="s">
        <v>2</v>
      </c>
      <c r="C1" s="6" t="s">
        <v>3</v>
      </c>
      <c r="D1" s="6" t="s">
        <v>4</v>
      </c>
      <c r="E1" s="7" t="s">
        <v>5</v>
      </c>
      <c r="F1" s="8" t="s">
        <v>6</v>
      </c>
      <c r="G1" s="6" t="s">
        <v>7</v>
      </c>
      <c r="H1" s="6" t="s">
        <v>8</v>
      </c>
      <c r="I1" s="6" t="s">
        <v>9</v>
      </c>
      <c r="J1" s="6" t="s">
        <v>10</v>
      </c>
      <c r="O1" s="15" t="s">
        <v>342</v>
      </c>
      <c r="P1" s="3" t="s">
        <v>566</v>
      </c>
      <c r="Q1" s="3"/>
    </row>
    <row r="2" spans="1:17">
      <c r="A2" s="3">
        <f t="array" ref="A2:J368">_xlfn._xlws.FILTER(_xlfn._xlws.SORT(_xlfn.VSTACK('1月:12月'!A3:J300),2,1),_xlfn._xlws.SORT(_xlfn.VSTACK('1月:12月'!B3:B300),1,1)&lt;&gt;"")</f>
        <v>1</v>
      </c>
      <c r="B2" s="4">
        <v>46027</v>
      </c>
      <c r="C2" s="3" t="str">
        <v>福建鼎信实业有限公司</v>
      </c>
      <c r="D2" s="3" t="str">
        <v>KMX241112-104-XF</v>
      </c>
      <c r="E2" s="3">
        <v>102103.2</v>
      </c>
      <c r="F2" s="3" t="str">
        <v>武汉华夏</v>
      </c>
      <c r="G2" s="3">
        <v>0</v>
      </c>
      <c r="H2" s="3">
        <v>0</v>
      </c>
      <c r="I2" s="3">
        <v>0</v>
      </c>
      <c r="J2" s="3">
        <v>0</v>
      </c>
      <c r="N2">
        <v>2026</v>
      </c>
      <c r="O2" s="15">
        <v>1</v>
      </c>
      <c r="P2" s="3">
        <f>SUMIFS(E:E,B:B,"&gt;="&amp;DATE($N$2,O2,1),B:B,"&lt;"&amp;DATE($N$2,O2+1,1))</f>
        <v>3482551.73</v>
      </c>
      <c r="Q2" s="3"/>
    </row>
    <row r="3" spans="1:17">
      <c r="A3" s="3">
        <v>2</v>
      </c>
      <c r="B3" s="4">
        <v>46029</v>
      </c>
      <c r="C3" s="3" t="str">
        <v>青海发投碱业有限公司</v>
      </c>
      <c r="D3" s="3" t="str">
        <v>KMX250416-027-XF</v>
      </c>
      <c r="E3" s="3">
        <v>30000</v>
      </c>
      <c r="F3" s="3" t="str">
        <v>武汉浦发</v>
      </c>
      <c r="G3" s="3" t="str">
        <v>林全意转款</v>
      </c>
      <c r="H3" s="3">
        <v>0</v>
      </c>
      <c r="I3" s="3">
        <v>0</v>
      </c>
      <c r="J3" s="3">
        <v>0</v>
      </c>
      <c r="O3" s="15">
        <v>2</v>
      </c>
      <c r="P3" s="3">
        <f t="shared" ref="P3:P14" si="0">SUMIFS(E:E,B:B,"&gt;="&amp;DATE($N$2,O3,1),B:B,"&lt;"&amp;DATE($N$2,O3+1,1))</f>
        <v>5526329.13</v>
      </c>
      <c r="Q3" s="3"/>
    </row>
    <row r="4" spans="1:17">
      <c r="A4" s="3">
        <v>3</v>
      </c>
      <c r="B4" s="4">
        <v>46030</v>
      </c>
      <c r="C4" s="3" t="str">
        <v>东方希望重庆水泥有限公司</v>
      </c>
      <c r="D4" s="3" t="str">
        <v>KMX250701-054</v>
      </c>
      <c r="E4" s="3">
        <v>20725</v>
      </c>
      <c r="F4" s="3" t="str">
        <v>武汉汉口</v>
      </c>
      <c r="G4" s="3">
        <v>0</v>
      </c>
      <c r="H4" s="3">
        <v>0</v>
      </c>
      <c r="I4" s="3" t="str">
        <v>东方希望重庆水泥丰泥焊接修复 2#立磨断裂的摇臂项目</v>
      </c>
      <c r="J4" s="3">
        <v>0</v>
      </c>
      <c r="O4" s="15">
        <v>3</v>
      </c>
      <c r="P4" s="16">
        <f t="shared" si="0"/>
        <v>1351144.09</v>
      </c>
      <c r="Q4" s="3"/>
    </row>
    <row r="5" spans="1:17">
      <c r="A5" s="3">
        <v>4</v>
      </c>
      <c r="B5" s="4">
        <v>46035</v>
      </c>
      <c r="C5" s="3" t="str">
        <v>内蒙古君正能源化工集团股份有限公司</v>
      </c>
      <c r="D5" s="3" t="str">
        <v>KMX250721-060</v>
      </c>
      <c r="E5" s="3">
        <v>9932.4</v>
      </c>
      <c r="F5" s="3" t="str">
        <v>武汉华夏</v>
      </c>
      <c r="G5" s="3">
        <v>0</v>
      </c>
      <c r="H5" s="3">
        <v>0</v>
      </c>
      <c r="I5" s="3" t="str">
        <v>2025年8月水泥分公司设备大修项目</v>
      </c>
      <c r="J5" s="3">
        <v>0</v>
      </c>
      <c r="O5" s="15">
        <v>4</v>
      </c>
      <c r="P5" s="3">
        <f t="shared" si="0"/>
        <v>1353673.3</v>
      </c>
      <c r="Q5" s="3"/>
    </row>
    <row r="6" spans="1:17">
      <c r="A6" s="3">
        <v>5</v>
      </c>
      <c r="B6" s="4">
        <v>46035</v>
      </c>
      <c r="C6" s="3" t="str">
        <v>内蒙古君正能源化工集团股份有限公司</v>
      </c>
      <c r="D6" s="3" t="str">
        <v>KMX250721-060</v>
      </c>
      <c r="E6" s="3">
        <v>190125.53</v>
      </c>
      <c r="F6" s="3" t="str">
        <v>武汉浦发</v>
      </c>
      <c r="G6" s="3">
        <v>0</v>
      </c>
      <c r="H6" s="3">
        <v>0</v>
      </c>
      <c r="I6" s="3" t="str">
        <v>2025年8月水泥分公司设备大修项目</v>
      </c>
      <c r="J6" s="3">
        <v>0</v>
      </c>
      <c r="O6" s="15">
        <v>5</v>
      </c>
      <c r="P6" s="3">
        <f t="shared" si="0"/>
        <v>1242352</v>
      </c>
      <c r="Q6" s="3"/>
    </row>
    <row r="7" spans="1:17">
      <c r="A7" s="3">
        <v>6</v>
      </c>
      <c r="B7" s="4">
        <v>46035</v>
      </c>
      <c r="C7" s="3" t="str">
        <v>内蒙古君正能源化工集团股份有限公司</v>
      </c>
      <c r="D7" s="3" t="str">
        <v>KMX250721-060</v>
      </c>
      <c r="E7" s="3">
        <v>200000</v>
      </c>
      <c r="F7" s="3" t="str">
        <v>武汉浦发</v>
      </c>
      <c r="G7" s="3">
        <v>0</v>
      </c>
      <c r="H7" s="3">
        <v>0</v>
      </c>
      <c r="I7" s="3" t="str">
        <v>2025年8月水泥分公司设备大修项目</v>
      </c>
      <c r="J7" s="3">
        <v>0</v>
      </c>
      <c r="O7" s="15">
        <v>6</v>
      </c>
      <c r="P7" s="3">
        <f t="shared" si="0"/>
        <v>1227592.2</v>
      </c>
      <c r="Q7" s="3"/>
    </row>
    <row r="8" spans="1:17">
      <c r="A8" s="3">
        <v>7</v>
      </c>
      <c r="B8" s="4">
        <v>46035</v>
      </c>
      <c r="C8" s="3" t="str">
        <v>内蒙古君正能源化工集团股份有限公司</v>
      </c>
      <c r="D8" s="3" t="str">
        <v>KMX250721-060</v>
      </c>
      <c r="E8" s="3">
        <v>200000</v>
      </c>
      <c r="F8" s="3" t="str">
        <v>招商银行</v>
      </c>
      <c r="G8" s="3">
        <v>0</v>
      </c>
      <c r="H8" s="3">
        <v>0</v>
      </c>
      <c r="I8" s="3" t="str">
        <v>2025年8月水泥分公司设备大修项目</v>
      </c>
      <c r="J8" s="3">
        <v>0</v>
      </c>
      <c r="O8" s="15">
        <v>7</v>
      </c>
      <c r="P8" s="3">
        <f t="shared" si="0"/>
        <v>0</v>
      </c>
      <c r="Q8" s="3"/>
    </row>
    <row r="9" spans="1:17">
      <c r="A9" s="3">
        <v>8</v>
      </c>
      <c r="B9" s="4">
        <v>46035</v>
      </c>
      <c r="C9" s="3" t="str">
        <v>福建鼎信实业有限公司</v>
      </c>
      <c r="D9" s="3" t="str">
        <v>KMX250529-040</v>
      </c>
      <c r="E9" s="3">
        <v>24120.5</v>
      </c>
      <c r="F9" s="3" t="str">
        <v>武汉华夏</v>
      </c>
      <c r="G9" s="3">
        <v>0</v>
      </c>
      <c r="H9" s="3">
        <v>0</v>
      </c>
      <c r="I9" s="3" t="str">
        <v>福建鼎信实业托轮修补项目</v>
      </c>
      <c r="J9" s="3">
        <v>0</v>
      </c>
      <c r="O9" s="15">
        <v>8</v>
      </c>
      <c r="P9" s="3">
        <f t="shared" si="0"/>
        <v>0</v>
      </c>
      <c r="Q9" s="3"/>
    </row>
    <row r="10" spans="1:17">
      <c r="A10" s="3">
        <v>9</v>
      </c>
      <c r="B10" s="4">
        <v>46035</v>
      </c>
      <c r="C10" s="3" t="str">
        <v>联峰钢铁（张家港）有限公司（江苏永钢）</v>
      </c>
      <c r="D10" s="3" t="str">
        <v>KMX250329-026-XF</v>
      </c>
      <c r="E10" s="3">
        <v>90000</v>
      </c>
      <c r="F10" s="3" t="str">
        <v>武汉浦发</v>
      </c>
      <c r="G10" s="3">
        <v>0</v>
      </c>
      <c r="H10" s="3">
        <v>0</v>
      </c>
      <c r="I10" s="3" t="str">
        <v>将混料筒给矿端及排矿端的圈带进行修复，对混料筒的 4 个托辊、2 个侧挡辊、大齿圈和小齿轮进行整体调整，并出具检测数据等</v>
      </c>
      <c r="J10" s="3">
        <v>0</v>
      </c>
      <c r="O10" s="15">
        <v>9</v>
      </c>
      <c r="P10" s="3">
        <f t="shared" si="0"/>
        <v>0</v>
      </c>
      <c r="Q10" s="3"/>
    </row>
    <row r="11" spans="1:17">
      <c r="A11" s="3">
        <v>10</v>
      </c>
      <c r="B11" s="4">
        <v>46035</v>
      </c>
      <c r="C11" s="3" t="str">
        <v>喀什红旗水泥有限责任公司</v>
      </c>
      <c r="D11" s="3" t="str">
        <v>KMX211028-410-XF</v>
      </c>
      <c r="E11" s="3">
        <v>50000</v>
      </c>
      <c r="F11" s="3" t="str">
        <v>武汉浦发</v>
      </c>
      <c r="G11" s="3">
        <v>0</v>
      </c>
      <c r="H11" s="3">
        <v>0</v>
      </c>
      <c r="I11" s="3" t="str">
        <v>2500T/D回转窑检修（轮带垫板加垫（甲供材料）；托轮、轮带剥落掉块修复；
托轮车削；轮带磨削；轮带侧面磨削；
液压挡轮车削；回转窑动、静态检测；
回转窑动态托轮受力及窑体中心线调整；
大齿圈翻面及弹簧板更换（甲供材料）及大齿圈销轴镗孔；小齿轮更换及校正（不含压装）；
</v>
      </c>
      <c r="J11" s="3">
        <v>0</v>
      </c>
      <c r="O11" s="15">
        <v>10</v>
      </c>
      <c r="P11" s="3">
        <f t="shared" si="0"/>
        <v>0</v>
      </c>
      <c r="Q11" s="3"/>
    </row>
    <row r="12" spans="1:17">
      <c r="A12" s="3">
        <v>11</v>
      </c>
      <c r="B12" s="4">
        <v>46035</v>
      </c>
      <c r="C12" s="3" t="str">
        <v>江苏永钢集团物资贸易有限公司</v>
      </c>
      <c r="D12" s="3" t="str">
        <v>KMX241205-108-XF</v>
      </c>
      <c r="E12" s="3">
        <v>110000</v>
      </c>
      <c r="F12" s="3" t="str">
        <v>武汉浦发</v>
      </c>
      <c r="G12" s="3" t="str">
        <v>银行承兑汇票（新）</v>
      </c>
      <c r="H12" s="3">
        <v>0</v>
      </c>
      <c r="I12" s="3" t="str">
        <v>石灰车间二窑回转窑调整项目</v>
      </c>
      <c r="J12" s="3">
        <v>0</v>
      </c>
      <c r="O12" s="15">
        <v>11</v>
      </c>
      <c r="P12" s="3">
        <f t="shared" si="0"/>
        <v>0</v>
      </c>
      <c r="Q12" s="3"/>
    </row>
    <row r="13" spans="1:17">
      <c r="A13" s="3">
        <v>12</v>
      </c>
      <c r="B13" s="4">
        <v>46035</v>
      </c>
      <c r="C13" s="3" t="str">
        <v>张家港市联泰科技有限公司（江苏永钢）</v>
      </c>
      <c r="D13" s="3" t="str">
        <v>KMX231018-239-XF</v>
      </c>
      <c r="E13" s="3">
        <v>100000</v>
      </c>
      <c r="F13" s="3" t="str">
        <v>武汉浦发</v>
      </c>
      <c r="G13" s="3" t="str">
        <v>银行承兑汇票（新）</v>
      </c>
      <c r="H13" s="3">
        <v>0</v>
      </c>
      <c r="I13" s="3" t="str">
        <v>球团车间烘干机区域检修工程（1、轮带及配套挡轮更换1套；2、烘干机托轮修复4个；3、烘干机整体调窑；4、大齿圈齿面在线精磨；5、下轮带在线磨削；6、筒体裂纹修补；7、烘干燃烧室火道口铁板更换，耐材砌筑制作；8、外部料斗制作更换；9、内部料斗更换；10、内部扬料板更换；11、螺旋板更换；12、烘干机头尾部鱼鳞片更换；13、割废）</v>
      </c>
      <c r="J13" s="3">
        <v>0</v>
      </c>
      <c r="O13" s="15">
        <v>12</v>
      </c>
      <c r="P13" s="3">
        <f t="shared" si="0"/>
        <v>0</v>
      </c>
      <c r="Q13" s="3"/>
    </row>
    <row r="14" spans="1:17">
      <c r="A14" s="3">
        <v>13</v>
      </c>
      <c r="B14" s="4">
        <v>46035</v>
      </c>
      <c r="C14" s="3" t="str">
        <v>张家港市联泰科技有限公司（江苏永钢）</v>
      </c>
      <c r="D14" s="3" t="str">
        <v>KMX231018-239-XF</v>
      </c>
      <c r="E14" s="3">
        <v>4581</v>
      </c>
      <c r="F14" s="3" t="str">
        <v>武汉浦发</v>
      </c>
      <c r="G14" s="3" t="str">
        <v>银行承兑汇票（新）</v>
      </c>
      <c r="H14" s="3">
        <v>0</v>
      </c>
      <c r="I14" s="3" t="str">
        <v>球团车间烘干机区域检修工程（1、轮带及配套挡轮更换1套；2、烘干机托轮修复4个；3、烘干机整体调窑；4、大齿圈齿面在线精磨；5、下轮带在线磨削；6、筒体裂纹修补；7、烘干燃烧室火道口铁板更换，耐材砌筑制作；8、外部料斗制作更换；9、内部料斗更换；10、内部扬料板更换；11、螺旋板更换；12、烘干机头尾部鱼鳞片更换；13、割废）</v>
      </c>
      <c r="J14" s="3">
        <v>0</v>
      </c>
      <c r="O14" s="15"/>
      <c r="P14" s="3">
        <f t="shared" si="0"/>
        <v>0</v>
      </c>
      <c r="Q14" s="3"/>
    </row>
    <row r="15" spans="1:17">
      <c r="A15" s="3">
        <v>14</v>
      </c>
      <c r="B15" s="4">
        <v>46038</v>
      </c>
      <c r="C15" s="3" t="str">
        <v>冀东海德堡(扶风)水泥有限公司</v>
      </c>
      <c r="D15" s="3" t="str">
        <v>KMX211204-478-XF</v>
      </c>
      <c r="E15" s="3">
        <v>5369.87</v>
      </c>
      <c r="F15" s="3" t="str">
        <v>湖北工行西山</v>
      </c>
      <c r="G15" s="3">
        <v>0</v>
      </c>
      <c r="H15" s="3">
        <v>0</v>
      </c>
      <c r="I15" s="3" t="str">
        <v>5000/D回转窑大齿圈单面磨损修复</v>
      </c>
      <c r="J15" s="3">
        <v>0</v>
      </c>
      <c r="O15" s="15" t="s">
        <v>88</v>
      </c>
      <c r="P15" s="3">
        <f>SUM(P2:P14)</f>
        <v>14183642.45</v>
      </c>
      <c r="Q15" s="3"/>
    </row>
    <row r="16" spans="1:17">
      <c r="A16" s="3">
        <v>16</v>
      </c>
      <c r="B16" s="4">
        <v>46045</v>
      </c>
      <c r="C16" s="3" t="str">
        <v>新疆伊犁钢铁有限责任公司</v>
      </c>
      <c r="D16" s="3" t="str">
        <v>KMX231117-250-XF</v>
      </c>
      <c r="E16" s="3">
        <v>22036</v>
      </c>
      <c r="F16" s="3" t="str">
        <v>通宝</v>
      </c>
      <c r="G16" s="3">
        <v>0</v>
      </c>
      <c r="H16" s="3">
        <v>0</v>
      </c>
      <c r="I16" s="3" t="str">
        <v>伊犁钢铁炼铁厂高炉年修维修工程项目</v>
      </c>
      <c r="J16" s="3">
        <v>0</v>
      </c>
    </row>
    <row r="17" spans="1:10">
      <c r="A17" s="3">
        <v>17</v>
      </c>
      <c r="B17" s="4">
        <v>46048</v>
      </c>
      <c r="C17" s="3" t="str">
        <v>富蕴天山水泥有限责任公司</v>
      </c>
      <c r="D17" s="3" t="str">
        <v>KMX240604-071-XF</v>
      </c>
      <c r="E17" s="3">
        <v>104925.25</v>
      </c>
      <c r="F17" s="3" t="str">
        <v>武汉浦发</v>
      </c>
      <c r="G17" s="3" t="str">
        <v>银行承兑汇票（新）</v>
      </c>
      <c r="H17" s="3">
        <v>0</v>
      </c>
      <c r="I17" s="3" t="str">
        <v>齿轮更换间隙调整</v>
      </c>
      <c r="J17" s="3">
        <v>0</v>
      </c>
    </row>
    <row r="18" spans="1:10">
      <c r="A18" s="3">
        <v>26</v>
      </c>
      <c r="B18" s="4">
        <v>46050</v>
      </c>
      <c r="C18" s="3" t="str">
        <v>江苏金峰水泥集团有限公司</v>
      </c>
      <c r="D18" s="3">
        <v>0</v>
      </c>
      <c r="E18" s="3">
        <v>65686.5</v>
      </c>
      <c r="F18" s="3">
        <v>0</v>
      </c>
      <c r="G18" s="3">
        <v>0</v>
      </c>
      <c r="H18" s="3">
        <v>0</v>
      </c>
      <c r="I18" s="3">
        <v>0</v>
      </c>
      <c r="J18" s="3">
        <v>0</v>
      </c>
    </row>
    <row r="19" spans="1:10">
      <c r="A19" s="3">
        <v>27</v>
      </c>
      <c r="B19" s="4">
        <v>46050</v>
      </c>
      <c r="C19" s="3" t="str">
        <v>湖北京兰水泥集团有限公司</v>
      </c>
      <c r="D19" s="3" t="str">
        <v>KMX202615-001</v>
      </c>
      <c r="E19" s="3">
        <v>380000</v>
      </c>
      <c r="F19" s="3" t="str">
        <v>武汉华夏</v>
      </c>
      <c r="G19" s="3" t="str">
        <v>银行承兑汇票（新）</v>
      </c>
      <c r="H19" s="3">
        <v>0</v>
      </c>
      <c r="I19" s="3" t="str">
        <v>石灰石辊喂机NWG2324-给料辊耐磨堆焊</v>
      </c>
      <c r="J19" s="3">
        <v>0</v>
      </c>
    </row>
    <row r="20" spans="1:10">
      <c r="A20" s="3">
        <v>32</v>
      </c>
      <c r="B20" s="4">
        <v>46050</v>
      </c>
      <c r="C20" s="3" t="str">
        <v>青海发投碱业有限公司</v>
      </c>
      <c r="D20" s="3" t="str">
        <v>KMX240109-010-XF</v>
      </c>
      <c r="E20" s="3">
        <v>244617.52</v>
      </c>
      <c r="F20" s="3">
        <v>0</v>
      </c>
      <c r="G20" s="3">
        <v>0</v>
      </c>
      <c r="H20" s="3">
        <v>0</v>
      </c>
      <c r="I20" s="3" t="str">
        <v>重碱车间2023年新增离心机节能增效技术改造项目（设备、电气、仪表、管道安装）</v>
      </c>
      <c r="J20" s="3">
        <v>0</v>
      </c>
    </row>
    <row r="21" spans="1:10">
      <c r="A21" s="3">
        <v>33</v>
      </c>
      <c r="B21" s="4">
        <v>46050</v>
      </c>
      <c r="C21" s="3" t="str">
        <v>青海发投碱业有限公司</v>
      </c>
      <c r="D21" s="3" t="str">
        <v>KMX2503018-019-XF</v>
      </c>
      <c r="E21" s="3">
        <v>85610</v>
      </c>
      <c r="F21" s="3">
        <v>0</v>
      </c>
      <c r="G21" s="3">
        <v>0</v>
      </c>
      <c r="H21" s="3">
        <v>0</v>
      </c>
      <c r="I21" s="3" t="str">
        <v>青海发投碱业有限公司重碱车间一座碳化塔更新项目施工总承包合同</v>
      </c>
      <c r="J21" s="3">
        <v>0</v>
      </c>
    </row>
    <row r="22" spans="1:10">
      <c r="A22" s="3">
        <v>34</v>
      </c>
      <c r="B22" s="4">
        <v>46050</v>
      </c>
      <c r="C22" s="3" t="str">
        <v>青海发投碱业有限公司</v>
      </c>
      <c r="D22" s="3" t="str">
        <v>KMX250416-027-XF</v>
      </c>
      <c r="E22" s="3">
        <v>100030.4</v>
      </c>
      <c r="F22" s="3">
        <v>0</v>
      </c>
      <c r="G22" s="3">
        <v>0</v>
      </c>
      <c r="H22" s="3">
        <v>0</v>
      </c>
      <c r="I22" s="3" t="str">
        <v>青海发投碱业有限公司煅烧车间轻、重灰闪发器更新项目及轻灰一闪总管、重灰煅烧炉进气总管技改项目施工项目</v>
      </c>
      <c r="J22" s="3">
        <v>0</v>
      </c>
    </row>
    <row r="23" spans="1:10">
      <c r="A23" s="3">
        <v>35</v>
      </c>
      <c r="B23" s="4">
        <v>46050</v>
      </c>
      <c r="C23" s="3" t="str">
        <v>青海发投碱业有限公司</v>
      </c>
      <c r="D23" s="3" t="str">
        <v>KMX250307-014-XF</v>
      </c>
      <c r="E23" s="3">
        <v>160249.8</v>
      </c>
      <c r="F23" s="3">
        <v>0</v>
      </c>
      <c r="G23" s="3">
        <v>0</v>
      </c>
      <c r="H23" s="3">
        <v>0</v>
      </c>
      <c r="I23" s="3" t="str">
        <v>青海发投碱业有限公司重灰2#、3#、5#重灰炉炉头总成技改项目</v>
      </c>
      <c r="J23" s="3">
        <v>0</v>
      </c>
    </row>
    <row r="24" spans="1:10">
      <c r="A24" s="3">
        <v>36</v>
      </c>
      <c r="B24" s="4">
        <v>46050</v>
      </c>
      <c r="C24" s="3" t="str">
        <v>青海发投碱业有限公司</v>
      </c>
      <c r="D24" s="3" t="str">
        <v>KMX250429-033</v>
      </c>
      <c r="E24" s="3">
        <v>130000</v>
      </c>
      <c r="F24" s="3">
        <v>0</v>
      </c>
      <c r="G24" s="3">
        <v>0</v>
      </c>
      <c r="H24" s="3">
        <v>0</v>
      </c>
      <c r="I24" s="3" t="str">
        <v>青海发投碱业有限公司供压缩 3.82MPA蒸汽管线优化改造及新增重灰减温减压装置(安装)</v>
      </c>
      <c r="J24" s="3">
        <v>0</v>
      </c>
    </row>
    <row r="25" spans="1:10">
      <c r="A25" s="3">
        <v>37</v>
      </c>
      <c r="B25" s="4">
        <v>46050</v>
      </c>
      <c r="C25" s="3" t="str">
        <v>青海发投碱业有限公司</v>
      </c>
      <c r="D25" s="3" t="str">
        <v>KMX2503018-020-XF</v>
      </c>
      <c r="E25" s="3">
        <v>100000</v>
      </c>
      <c r="F25" s="3">
        <v>0</v>
      </c>
      <c r="G25" s="3">
        <v>0</v>
      </c>
      <c r="H25" s="3">
        <v>0</v>
      </c>
      <c r="I25" s="3" t="str">
        <v>青海发投碱业有限公司一期渣场二、三、四级泵站出口平台母管更换项目施工总承包合同</v>
      </c>
      <c r="J25" s="3">
        <v>0</v>
      </c>
    </row>
    <row r="26" spans="1:10">
      <c r="A26" s="3">
        <v>38</v>
      </c>
      <c r="B26" s="4">
        <v>46050</v>
      </c>
      <c r="C26" s="3" t="str">
        <v>青海发投碱业有限公司</v>
      </c>
      <c r="D26" s="3" t="str">
        <v>KMX250618-049</v>
      </c>
      <c r="E26" s="3">
        <v>55415.7</v>
      </c>
      <c r="F26" s="3">
        <v>0</v>
      </c>
      <c r="G26" s="3">
        <v>0</v>
      </c>
      <c r="H26" s="3">
        <v>0</v>
      </c>
      <c r="I26" s="3" t="str">
        <v>青海发投碱业有限公司重碱车间压缩系统节能降碳技术改造项目窑气管线移位及管线甩头项目</v>
      </c>
      <c r="J26" s="3">
        <v>0</v>
      </c>
    </row>
    <row r="27" spans="1:10">
      <c r="A27" s="3">
        <v>39</v>
      </c>
      <c r="B27" s="4">
        <v>46050</v>
      </c>
      <c r="C27" s="3" t="str">
        <v>青海发投碱业有限公司</v>
      </c>
      <c r="D27" s="3" t="str">
        <v>KMX250618-046</v>
      </c>
      <c r="E27" s="3">
        <v>30925.3</v>
      </c>
      <c r="F27" s="3">
        <v>0</v>
      </c>
      <c r="G27" s="3">
        <v>0</v>
      </c>
      <c r="H27" s="3">
        <v>0</v>
      </c>
      <c r="I27" s="3" t="str">
        <v>青海发投碱业有限公司重碱车间管线及阀门更换项目</v>
      </c>
      <c r="J27" s="3">
        <v>0</v>
      </c>
    </row>
    <row r="28" spans="1:10">
      <c r="A28" s="3">
        <v>40</v>
      </c>
      <c r="B28" s="4">
        <v>46050</v>
      </c>
      <c r="C28" s="3" t="str">
        <v>青海发投碱业有限公司</v>
      </c>
      <c r="D28" s="3" t="str">
        <v>KMX250618-048</v>
      </c>
      <c r="E28" s="3">
        <v>28539.1</v>
      </c>
      <c r="F28" s="3">
        <v>0</v>
      </c>
      <c r="G28" s="3">
        <v>0</v>
      </c>
      <c r="H28" s="3">
        <v>0</v>
      </c>
      <c r="I28" s="3" t="str">
        <v>青海发投碱业有限公司重碱车间压缩工段阀门管线更换、新增系统甩头项目</v>
      </c>
      <c r="J28" s="3">
        <v>0</v>
      </c>
    </row>
    <row r="29" spans="1:10">
      <c r="A29" s="3">
        <v>41</v>
      </c>
      <c r="B29" s="4">
        <v>46050</v>
      </c>
      <c r="C29" s="3" t="str">
        <v>青海发投碱业有限公司</v>
      </c>
      <c r="D29" s="3" t="str">
        <v>KMX250618-047</v>
      </c>
      <c r="E29" s="3">
        <v>22872.7</v>
      </c>
      <c r="F29" s="3">
        <v>0</v>
      </c>
      <c r="G29" s="3">
        <v>0</v>
      </c>
      <c r="H29" s="3">
        <v>0</v>
      </c>
      <c r="I29" s="3" t="str">
        <v>青海发投碱业有限公司重碱车间蒸吸工段阀门及管线更换项目</v>
      </c>
      <c r="J29" s="3">
        <v>0</v>
      </c>
    </row>
    <row r="30" spans="1:10">
      <c r="A30" s="3">
        <v>42</v>
      </c>
      <c r="B30" s="4">
        <v>46050</v>
      </c>
      <c r="C30" s="3" t="str">
        <v>青海发投碱业有限公司</v>
      </c>
      <c r="D30" s="3" t="str">
        <v>KMX250114-003-XF</v>
      </c>
      <c r="E30" s="3">
        <v>96124.5</v>
      </c>
      <c r="F30" s="3">
        <v>0</v>
      </c>
      <c r="G30" s="3">
        <v>0</v>
      </c>
      <c r="H30" s="3">
        <v>0</v>
      </c>
      <c r="I30" s="3" t="str">
        <v>青海发投碱业有限公司2025 年零星设备维修、安装、更换项目</v>
      </c>
      <c r="J30" s="3">
        <v>0</v>
      </c>
    </row>
    <row r="31" spans="1:10">
      <c r="A31" s="3">
        <v>43</v>
      </c>
      <c r="B31" s="4">
        <v>46050</v>
      </c>
      <c r="C31" s="3" t="str">
        <v>青海发投碱业有限公司</v>
      </c>
      <c r="D31" s="3" t="str">
        <v>KMX240508-064-XF</v>
      </c>
      <c r="E31" s="3">
        <v>21838.8</v>
      </c>
      <c r="F31" s="3">
        <v>0</v>
      </c>
      <c r="G31" s="3">
        <v>0</v>
      </c>
      <c r="H31" s="3">
        <v>0</v>
      </c>
      <c r="I31" s="3" t="str">
        <v>水气车间阀门、管线、伸缩节更换项目</v>
      </c>
      <c r="J31" s="3">
        <v>0</v>
      </c>
    </row>
    <row r="32" spans="1:10">
      <c r="A32" s="3">
        <v>28</v>
      </c>
      <c r="B32" s="4">
        <v>46051</v>
      </c>
      <c r="C32" s="3" t="str">
        <v>内蒙古宜化化工有限公司</v>
      </c>
      <c r="D32" s="3" t="str">
        <v>KMX250419-028</v>
      </c>
      <c r="E32" s="3">
        <v>596722.66</v>
      </c>
      <c r="F32" s="3">
        <v>0</v>
      </c>
      <c r="G32" s="3" t="str">
        <v>银行承兑汇票（新）</v>
      </c>
      <c r="H32" s="3">
        <v>0</v>
      </c>
      <c r="I32" s="3" t="str">
        <v>内蒙古宜化化工有限公司新1号炉中修施工项目施工合同</v>
      </c>
      <c r="J32" s="3">
        <v>0</v>
      </c>
    </row>
    <row r="33" spans="1:10">
      <c r="A33" s="3">
        <v>45</v>
      </c>
      <c r="B33" s="4">
        <v>46051</v>
      </c>
      <c r="C33" s="3" t="str">
        <v>安钢集团信阳钢铁有限责任公司</v>
      </c>
      <c r="D33" s="3" t="str">
        <v>KMX160226-57-NM</v>
      </c>
      <c r="E33" s="3">
        <v>50000</v>
      </c>
      <c r="F33" s="3" t="str">
        <v>武汉浦发</v>
      </c>
      <c r="G33" s="3" t="str">
        <v>银行承兑汇票（新）</v>
      </c>
      <c r="H33" s="3">
        <v>0</v>
      </c>
      <c r="I33" s="3" t="str">
        <v>锤头1件(离线）</v>
      </c>
      <c r="J33" s="3">
        <v>0</v>
      </c>
    </row>
    <row r="34" spans="1:10">
      <c r="A34" s="3">
        <v>44</v>
      </c>
      <c r="B34" s="4">
        <v>46052</v>
      </c>
      <c r="C34" s="3" t="str">
        <v>中盐内蒙古建材有限公司</v>
      </c>
      <c r="D34" s="3" t="str">
        <v>KMX250530-041</v>
      </c>
      <c r="E34" s="3">
        <v>50000</v>
      </c>
      <c r="F34" s="3" t="str">
        <v>武汉浦发</v>
      </c>
      <c r="G34" s="3" t="str">
        <v>银行承兑汇票（新）</v>
      </c>
      <c r="H34" s="3">
        <v>0</v>
      </c>
      <c r="I34" s="3" t="str">
        <v>中盐内蒙古建材回转窑检测维修项目</v>
      </c>
      <c r="J34" s="3">
        <v>0</v>
      </c>
    </row>
    <row r="35" spans="1:10">
      <c r="A35" s="3">
        <v>0</v>
      </c>
      <c r="B35" s="4">
        <v>46055</v>
      </c>
      <c r="C35" s="3" t="str">
        <v>天瑞集团汝州水泥有限公司</v>
      </c>
      <c r="D35" s="3" t="str">
        <v>KMX250310-015-XF</v>
      </c>
      <c r="E35" s="3">
        <v>22420</v>
      </c>
      <c r="F35" s="3" t="str">
        <v>武汉浦发</v>
      </c>
      <c r="G35" s="3">
        <v>0</v>
      </c>
      <c r="H35" s="3">
        <v>0</v>
      </c>
      <c r="I35" s="3" t="str">
        <v>天瑞集团汝州水泥有限公司一线三档托轮3#瓦、4瓦维修</v>
      </c>
      <c r="J35" s="3">
        <v>0</v>
      </c>
    </row>
    <row r="36" spans="1:10">
      <c r="A36" s="3">
        <v>0</v>
      </c>
      <c r="B36" s="4">
        <v>46055</v>
      </c>
      <c r="C36" s="3" t="str">
        <v>日照钢铁有限公司</v>
      </c>
      <c r="D36" s="3" t="str">
        <v>KMX240507-063-XF</v>
      </c>
      <c r="E36" s="3">
        <v>1864190</v>
      </c>
      <c r="F36" s="3" t="str">
        <v>武汉浦发</v>
      </c>
      <c r="G36" s="3" t="str">
        <v>银行承兑汇票（新）</v>
      </c>
      <c r="H36" s="3">
        <v>0</v>
      </c>
      <c r="I36" s="3" t="str">
        <v>循环经济部石灰工场回转窑在线维修</v>
      </c>
      <c r="J36" s="3">
        <v>0</v>
      </c>
    </row>
    <row r="37" spans="1:10">
      <c r="A37" s="3">
        <v>0</v>
      </c>
      <c r="B37" s="4">
        <v>46057</v>
      </c>
      <c r="C37" s="3" t="str">
        <v>云南澜沧三环建材有限公司</v>
      </c>
      <c r="D37" s="3" t="str">
        <v>KMX240705-079-XF</v>
      </c>
      <c r="E37" s="3">
        <v>7310.4</v>
      </c>
      <c r="F37" s="3" t="str">
        <v>武汉浦发</v>
      </c>
      <c r="G37" s="3" t="str">
        <v>质保金</v>
      </c>
      <c r="H37" s="3">
        <v>0</v>
      </c>
      <c r="I37" s="3">
        <v>0</v>
      </c>
      <c r="J37" s="3">
        <v>0</v>
      </c>
    </row>
    <row r="38" spans="1:10">
      <c r="A38" s="3">
        <v>0</v>
      </c>
      <c r="B38" s="4">
        <v>46058</v>
      </c>
      <c r="C38" s="3" t="str">
        <v>池州恒鑫材料科技有限公司</v>
      </c>
      <c r="D38" s="3" t="str">
        <v>KMX250721-061</v>
      </c>
      <c r="E38" s="3">
        <v>87986.29</v>
      </c>
      <c r="F38" s="3" t="str">
        <v>武汉浦发</v>
      </c>
      <c r="G38" s="3" t="str">
        <v>银行承兑汇票（新）</v>
      </c>
      <c r="H38" s="3">
        <v>0</v>
      </c>
      <c r="I38" s="3" t="str">
        <v>回转窑托轮、挡轮更换和维修项目</v>
      </c>
      <c r="J38" s="3">
        <v>0</v>
      </c>
    </row>
    <row r="39" spans="1:10">
      <c r="A39" s="3">
        <v>0</v>
      </c>
      <c r="B39" s="4">
        <v>46058</v>
      </c>
      <c r="C39" s="3" t="str">
        <v>池州恒鑫材料科技有限公司</v>
      </c>
      <c r="D39" s="3" t="str">
        <v>KMX20251222 - 085</v>
      </c>
      <c r="E39" s="3">
        <v>40500</v>
      </c>
      <c r="F39" s="3" t="str">
        <v>武汉浦发</v>
      </c>
      <c r="G39" s="3" t="str">
        <v>银行承兑汇票（新）</v>
      </c>
      <c r="H39" s="3">
        <v>0</v>
      </c>
      <c r="I39" s="3" t="str">
        <v>回转窑下挡轮紧急更换项目</v>
      </c>
      <c r="J39" s="3">
        <v>0</v>
      </c>
    </row>
    <row r="40" spans="1:10">
      <c r="A40" s="3">
        <v>0</v>
      </c>
      <c r="B40" s="4">
        <v>46058</v>
      </c>
      <c r="C40" s="3" t="str">
        <v>池州恒鑫材料科技有限公司</v>
      </c>
      <c r="D40" s="3" t="str">
        <v>KMX250721-061</v>
      </c>
      <c r="E40" s="3">
        <v>18013.71</v>
      </c>
      <c r="F40" s="3" t="str">
        <v>武汉浦发</v>
      </c>
      <c r="G40" s="3">
        <v>0</v>
      </c>
      <c r="H40" s="3">
        <v>0</v>
      </c>
      <c r="I40" s="3" t="str">
        <v>回转窑托轮、挡轮更换和维修项目</v>
      </c>
      <c r="J40" s="3">
        <v>0</v>
      </c>
    </row>
    <row r="41" spans="1:10">
      <c r="A41" s="3">
        <v>0</v>
      </c>
      <c r="B41" s="4">
        <v>46063</v>
      </c>
      <c r="C41" s="3" t="str">
        <v>新疆宜化化工有限公司</v>
      </c>
      <c r="D41" s="3" t="str">
        <v>KMX202595-064</v>
      </c>
      <c r="E41" s="3">
        <v>906584</v>
      </c>
      <c r="F41" s="3" t="str">
        <v>武汉浦发</v>
      </c>
      <c r="G41" s="3" t="str">
        <v>银行承兑汇票（新）</v>
      </c>
      <c r="H41" s="3">
        <v>0</v>
      </c>
      <c r="I41" s="3" t="str">
        <v>新疆宜化5#电石炉大修项目</v>
      </c>
      <c r="J41" s="3">
        <v>0</v>
      </c>
    </row>
    <row r="42" spans="1:10">
      <c r="A42" s="3">
        <v>0</v>
      </c>
      <c r="B42" s="4">
        <v>46063</v>
      </c>
      <c r="C42" s="3" t="str">
        <v>新疆宜化化工有限公司</v>
      </c>
      <c r="D42" s="3" t="str">
        <v>KMX202595-064</v>
      </c>
      <c r="E42" s="3">
        <v>9612.04</v>
      </c>
      <c r="F42" s="3" t="str">
        <v>武汉浦发</v>
      </c>
      <c r="G42" s="3">
        <v>0</v>
      </c>
      <c r="H42" s="3">
        <v>0</v>
      </c>
      <c r="I42" s="3" t="str">
        <v>新疆宜化5#电石炉大修项目</v>
      </c>
      <c r="J42" s="3">
        <v>0</v>
      </c>
    </row>
    <row r="43" spans="1:10">
      <c r="A43" s="3">
        <v>0</v>
      </c>
      <c r="B43" s="4">
        <v>46063</v>
      </c>
      <c r="C43" s="3" t="str">
        <v>江西亚东水泥有限公司</v>
      </c>
      <c r="D43" s="3" t="str">
        <v>KMX20251024-077</v>
      </c>
      <c r="E43" s="3">
        <v>133340</v>
      </c>
      <c r="F43" s="3" t="str">
        <v>武汉华夏</v>
      </c>
      <c r="G43" s="3">
        <v>0</v>
      </c>
      <c r="H43" s="3">
        <v>0</v>
      </c>
      <c r="I43" s="3" t="str">
        <v>江西亚东破碎机转子离线修复项目</v>
      </c>
      <c r="J43" s="3">
        <v>0</v>
      </c>
    </row>
    <row r="44" spans="1:10">
      <c r="A44" s="3">
        <v>0</v>
      </c>
      <c r="B44" s="4">
        <v>46064</v>
      </c>
      <c r="C44" s="3" t="str">
        <v>日照钢铁有限公司</v>
      </c>
      <c r="D44" s="3" t="str">
        <v>KMX240524-070-XF</v>
      </c>
      <c r="E44" s="3">
        <v>715900</v>
      </c>
      <c r="F44" s="3" t="str">
        <v>武汉浦发</v>
      </c>
      <c r="G44" s="3" t="str">
        <v>银行承兑汇票（新）</v>
      </c>
      <c r="H44" s="3">
        <v>0</v>
      </c>
      <c r="I44" s="3" t="str">
        <v>除尘灰处理工场提锌窑维修项目</v>
      </c>
      <c r="J44" s="3">
        <v>0</v>
      </c>
    </row>
    <row r="45" spans="1:10">
      <c r="A45" s="3">
        <v>0</v>
      </c>
      <c r="B45" s="4">
        <v>46064</v>
      </c>
      <c r="C45" s="3" t="str">
        <v>洛阳黄河同力水泥有限责任公司</v>
      </c>
      <c r="D45" s="3">
        <v>0</v>
      </c>
      <c r="E45" s="3">
        <v>32544</v>
      </c>
      <c r="F45" s="3" t="str">
        <v>武汉彤烨中信</v>
      </c>
      <c r="G45" s="3" t="str">
        <v>银行承兑汇票（新）</v>
      </c>
      <c r="H45" s="3">
        <v>0</v>
      </c>
      <c r="I45" s="3">
        <v>0</v>
      </c>
      <c r="J45" s="3">
        <v>0</v>
      </c>
    </row>
    <row r="46" spans="1:10">
      <c r="A46" s="3">
        <v>0</v>
      </c>
      <c r="B46" s="4">
        <v>46064</v>
      </c>
      <c r="C46" s="3" t="str">
        <v>洛阳黄河同力水泥有限责任公司</v>
      </c>
      <c r="D46" s="3">
        <v>0</v>
      </c>
      <c r="E46" s="3">
        <v>37543.8</v>
      </c>
      <c r="F46" s="3" t="str">
        <v>武汉彤烨中信</v>
      </c>
      <c r="G46" s="3" t="str">
        <v>银行承兑汇票（新）</v>
      </c>
      <c r="H46" s="3">
        <v>0</v>
      </c>
      <c r="I46" s="3">
        <v>0</v>
      </c>
      <c r="J46" s="3">
        <v>0</v>
      </c>
    </row>
    <row r="47" spans="1:10">
      <c r="A47" s="3">
        <v>0</v>
      </c>
      <c r="B47" s="4">
        <v>46064</v>
      </c>
      <c r="C47" s="3" t="str">
        <v>湖北双环科技股份有限公司</v>
      </c>
      <c r="D47" s="3" t="str">
        <v>KMX250806 -065</v>
      </c>
      <c r="E47" s="3">
        <v>178000</v>
      </c>
      <c r="F47" s="3" t="str">
        <v>武汉浦发</v>
      </c>
      <c r="G47" s="3" t="str">
        <v>银行承兑汇票（新）</v>
      </c>
      <c r="H47" s="3">
        <v>0</v>
      </c>
      <c r="I47" s="3" t="str">
        <v>湖北双环零星维修项目施工合同（2025）</v>
      </c>
      <c r="J47" s="3">
        <v>0</v>
      </c>
    </row>
    <row r="48" spans="1:10">
      <c r="A48" s="3">
        <v>0</v>
      </c>
      <c r="B48" s="4">
        <v>46064</v>
      </c>
      <c r="C48" s="3" t="str">
        <v>贵州金久水泥有限公司</v>
      </c>
      <c r="D48" s="3" t="str">
        <v>KMX210201-068-XF</v>
      </c>
      <c r="E48" s="3">
        <v>6841.29</v>
      </c>
      <c r="F48" s="3" t="str">
        <v>武汉华夏</v>
      </c>
      <c r="G48" s="3" t="str">
        <v>质保金</v>
      </c>
      <c r="H48" s="3">
        <v>0</v>
      </c>
      <c r="I48" s="3">
        <v>0</v>
      </c>
      <c r="J48" s="3">
        <v>0</v>
      </c>
    </row>
    <row r="49" spans="1:10">
      <c r="A49" s="3">
        <v>0</v>
      </c>
      <c r="B49" s="4">
        <v>46065</v>
      </c>
      <c r="C49" s="3" t="str">
        <v>新疆伊犁钢铁有限责任公司</v>
      </c>
      <c r="D49" s="3" t="str">
        <v>KMX240930-100-XF</v>
      </c>
      <c r="E49" s="3">
        <v>19256.6</v>
      </c>
      <c r="F49" s="3" t="str">
        <v>通宝</v>
      </c>
      <c r="G49" s="3">
        <v>0</v>
      </c>
      <c r="H49" s="3">
        <v>0</v>
      </c>
      <c r="I49" s="3" t="str">
        <v>炼铁厂竖炉2024年设备功能精度恢复</v>
      </c>
      <c r="J49" s="3">
        <v>0</v>
      </c>
    </row>
    <row r="50" spans="1:10">
      <c r="A50" s="3">
        <v>0</v>
      </c>
      <c r="B50" s="4">
        <v>46065</v>
      </c>
      <c r="C50" s="3" t="str">
        <v>新疆伊犁钢铁有限责任公司</v>
      </c>
      <c r="D50" s="3" t="str">
        <v>KMX240930-099-XF</v>
      </c>
      <c r="E50" s="3">
        <v>86634.1</v>
      </c>
      <c r="F50" s="3" t="str">
        <v>通宝</v>
      </c>
      <c r="G50" s="3">
        <v>0</v>
      </c>
      <c r="H50" s="3">
        <v>0</v>
      </c>
      <c r="I50" s="3" t="str">
        <v>炼铁厂高炉、烧结2024年设备功能精度恢复</v>
      </c>
      <c r="J50" s="3">
        <v>0</v>
      </c>
    </row>
    <row r="51" spans="1:10">
      <c r="A51" s="3">
        <v>0</v>
      </c>
      <c r="B51" s="4">
        <v>46065</v>
      </c>
      <c r="C51" s="3" t="str">
        <v>新疆伊犁钢铁有限责任公司</v>
      </c>
      <c r="D51" s="3" t="str">
        <v>KMX240930-101-XF</v>
      </c>
      <c r="E51" s="3">
        <v>4299.92</v>
      </c>
      <c r="F51" s="3" t="str">
        <v>通宝</v>
      </c>
      <c r="G51" s="3">
        <v>0</v>
      </c>
      <c r="H51" s="3">
        <v>0</v>
      </c>
      <c r="I51" s="3" t="str">
        <v>炼铁厂捞渣机、高炉主垄沟2024年设备功能精度恢复</v>
      </c>
      <c r="J51" s="3">
        <v>0</v>
      </c>
    </row>
    <row r="52" spans="1:10">
      <c r="A52" s="3">
        <v>0</v>
      </c>
      <c r="B52" s="4">
        <v>46065</v>
      </c>
      <c r="C52" s="3" t="str">
        <v>日照钢铁有限公司</v>
      </c>
      <c r="D52" s="3" t="str">
        <v>KMX240524-070-XF</v>
      </c>
      <c r="E52" s="3">
        <v>147000</v>
      </c>
      <c r="F52" s="3" t="str">
        <v>武汉浦发</v>
      </c>
      <c r="G52" s="3" t="str">
        <v>银行承兑汇票（新）</v>
      </c>
      <c r="H52" s="3">
        <v>0</v>
      </c>
      <c r="I52" s="3" t="str">
        <v>除尘灰处理工场提锌窑维修项目</v>
      </c>
      <c r="J52" s="3">
        <v>0</v>
      </c>
    </row>
    <row r="53" spans="1:10">
      <c r="A53" s="3">
        <v>0</v>
      </c>
      <c r="B53" s="4">
        <v>46065</v>
      </c>
      <c r="C53" s="3" t="str">
        <v>湖北双环科技股份有限公司</v>
      </c>
      <c r="D53" s="3" t="str">
        <v>KMX250806 -065</v>
      </c>
      <c r="E53" s="3">
        <v>22000</v>
      </c>
      <c r="F53" s="3" t="str">
        <v>武汉浦发</v>
      </c>
      <c r="G53" s="3" t="str">
        <v>银行承兑汇票（新）</v>
      </c>
      <c r="H53" s="3">
        <v>0</v>
      </c>
      <c r="I53" s="3" t="str">
        <v>湖北双环零星维修项目施工合同（2025）</v>
      </c>
      <c r="J53" s="3">
        <v>0</v>
      </c>
    </row>
    <row r="54" spans="1:10">
      <c r="A54" s="3">
        <v>0</v>
      </c>
      <c r="B54" s="4">
        <v>46065</v>
      </c>
      <c r="C54" s="3" t="str">
        <v>湖北双环科技股份有限公司</v>
      </c>
      <c r="D54" s="3" t="str">
        <v>KMX250806 -065</v>
      </c>
      <c r="E54" s="3">
        <v>100000</v>
      </c>
      <c r="F54" s="3" t="str">
        <v>武汉浦发</v>
      </c>
      <c r="G54" s="3" t="str">
        <v>银行承兑汇票（新）</v>
      </c>
      <c r="H54" s="3">
        <v>0</v>
      </c>
      <c r="I54" s="3" t="str">
        <v>湖北双环零星维修项目施工合同（2025）</v>
      </c>
      <c r="J54" s="3">
        <v>0</v>
      </c>
    </row>
    <row r="55" spans="1:10">
      <c r="A55" s="3">
        <v>0</v>
      </c>
      <c r="B55" s="4">
        <v>46065</v>
      </c>
      <c r="C55" s="3" t="str">
        <v>湖北双环科技股份有限公司</v>
      </c>
      <c r="D55" s="3" t="str">
        <v>KMX250806 -065</v>
      </c>
      <c r="E55" s="3">
        <v>100000</v>
      </c>
      <c r="F55" s="3" t="str">
        <v>武汉浦发</v>
      </c>
      <c r="G55" s="3" t="str">
        <v>银行承兑汇票（新）</v>
      </c>
      <c r="H55" s="3">
        <v>0</v>
      </c>
      <c r="I55" s="3" t="str">
        <v>湖北双环零星维修项目施工合同（2025）</v>
      </c>
      <c r="J55" s="3">
        <v>0</v>
      </c>
    </row>
    <row r="56" spans="1:10">
      <c r="A56" s="3">
        <v>0</v>
      </c>
      <c r="B56" s="4">
        <v>46065</v>
      </c>
      <c r="C56" s="3" t="str">
        <v>湖北双环科技股份有限公司</v>
      </c>
      <c r="D56" s="3" t="str">
        <v>KMX250806 -065</v>
      </c>
      <c r="E56" s="3">
        <v>100000</v>
      </c>
      <c r="F56" s="3" t="str">
        <v>武汉浦发</v>
      </c>
      <c r="G56" s="3" t="str">
        <v>银行承兑汇票（新）</v>
      </c>
      <c r="H56" s="3">
        <v>0</v>
      </c>
      <c r="I56" s="3" t="str">
        <v>湖北双环零星维修项目施工合同（2025）</v>
      </c>
      <c r="J56" s="3">
        <v>0</v>
      </c>
    </row>
    <row r="57" spans="1:10">
      <c r="A57" s="3">
        <v>0</v>
      </c>
      <c r="B57" s="4">
        <v>46065</v>
      </c>
      <c r="C57" s="3" t="str">
        <v>湖北恒博机械科技有限公司（华新水泥（恩施）有限公司）</v>
      </c>
      <c r="D57" s="3" t="str">
        <v>KMX211216-497-XF</v>
      </c>
      <c r="E57" s="3">
        <v>15059.18</v>
      </c>
      <c r="F57" s="3" t="str">
        <v>武汉浦发</v>
      </c>
      <c r="G57" s="3" t="str">
        <v>银行承兑汇票（新）</v>
      </c>
      <c r="H57" s="3">
        <v>0</v>
      </c>
      <c r="I57" s="3" t="str">
        <v>2个托轮离线修复：1.托轮一（直径1.2米）修复内容：1、探伤，2.止推盘被推了，做个止推环安装好（必须是过盈配合），3.轴磨损修复和油封磨损修复，4.剥落掉块和和裂纹修复。
托轮二（直径1.3米），修复内容：1.探伤，2.轴处理光洁度，密封磨损修复，3.剥落掉块修复。</v>
      </c>
      <c r="J57" s="3">
        <v>0</v>
      </c>
    </row>
    <row r="58" spans="1:10">
      <c r="A58" s="3">
        <v>0</v>
      </c>
      <c r="B58" s="4">
        <v>46065</v>
      </c>
      <c r="C58" s="3" t="str">
        <v>玉溪新平永发新型建材有限公司（元江县永发水泥有限公司）</v>
      </c>
      <c r="D58" s="3" t="str">
        <v>KMX190805-289-XF</v>
      </c>
      <c r="E58" s="3">
        <v>20000</v>
      </c>
      <c r="F58" s="3" t="str">
        <v>武汉浦发</v>
      </c>
      <c r="G58" s="3">
        <v>0</v>
      </c>
      <c r="H58" s="3">
        <v>0</v>
      </c>
      <c r="I58" s="3" t="str">
        <v>3.2米磨机大齿圈单面磨损修复</v>
      </c>
      <c r="J58" s="3">
        <v>0</v>
      </c>
    </row>
    <row r="59" spans="1:10">
      <c r="A59" s="3">
        <v>0</v>
      </c>
      <c r="B59" s="4">
        <v>46066</v>
      </c>
      <c r="C59" s="3" t="str">
        <v>内乡县万基水泥有限公司</v>
      </c>
      <c r="D59" s="3" t="str">
        <v>KMX210720-281-XF</v>
      </c>
      <c r="E59" s="3">
        <v>10000</v>
      </c>
      <c r="F59" s="3" t="str">
        <v>武汉浦发</v>
      </c>
      <c r="G59" s="3">
        <v>0</v>
      </c>
      <c r="H59" s="3">
        <v>0</v>
      </c>
      <c r="I59" s="3" t="str">
        <v>磨机前后端滑履磨削2条</v>
      </c>
      <c r="J59" s="3">
        <v>0</v>
      </c>
    </row>
    <row r="60" spans="1:10">
      <c r="A60" s="3">
        <v>0</v>
      </c>
      <c r="B60" s="4">
        <v>46066</v>
      </c>
      <c r="C60" s="3" t="str">
        <v>新疆宜化化工有限公司</v>
      </c>
      <c r="D60" s="3" t="str">
        <v>KMX2025121-080</v>
      </c>
      <c r="E60" s="3">
        <v>80000</v>
      </c>
      <c r="F60" s="3" t="str">
        <v>武汉浦发</v>
      </c>
      <c r="G60" s="3" t="str">
        <v>银行承兑汇票（新）</v>
      </c>
      <c r="H60" s="3">
        <v>0</v>
      </c>
      <c r="I60" s="3" t="str">
        <v>新建宜化4#5#电石炉技改项目安装工程</v>
      </c>
      <c r="J60" s="3">
        <v>0</v>
      </c>
    </row>
    <row r="61" spans="1:10">
      <c r="A61" s="3">
        <v>0</v>
      </c>
      <c r="B61" s="4">
        <v>46066</v>
      </c>
      <c r="C61" s="3" t="str">
        <v>新疆宜化化工有限公司</v>
      </c>
      <c r="D61" s="3" t="str">
        <v>KMX2025121-080</v>
      </c>
      <c r="E61" s="3">
        <v>15300</v>
      </c>
      <c r="F61" s="3" t="str">
        <v>武汉浦发</v>
      </c>
      <c r="G61" s="3">
        <v>0</v>
      </c>
      <c r="H61" s="3">
        <v>0</v>
      </c>
      <c r="I61" s="3" t="str">
        <v>新建宜化4#5#电石炉技改项目安装工程</v>
      </c>
      <c r="J61" s="3">
        <v>0</v>
      </c>
    </row>
    <row r="62" spans="1:10">
      <c r="A62" s="3">
        <v>0</v>
      </c>
      <c r="B62" s="4">
        <v>46066</v>
      </c>
      <c r="C62" s="3" t="str">
        <v>崇阳县昌华实业有限公司</v>
      </c>
      <c r="D62" s="3" t="str">
        <v>KMX250121-005-XF</v>
      </c>
      <c r="E62" s="3">
        <v>26148.5</v>
      </c>
      <c r="F62" s="3" t="str">
        <v>武汉浦发</v>
      </c>
      <c r="G62" s="3">
        <v>0</v>
      </c>
      <c r="H62" s="3">
        <v>0</v>
      </c>
      <c r="I62" s="3" t="str">
        <v>崇阳县昌华实业有限公司破碎机+托轮焊补</v>
      </c>
      <c r="J62" s="3">
        <v>0</v>
      </c>
    </row>
    <row r="63" spans="1:10">
      <c r="A63" s="3">
        <v>0</v>
      </c>
      <c r="B63" s="4">
        <v>46066</v>
      </c>
      <c r="C63" s="3" t="str">
        <v>崇阳县昌华实业有限公司</v>
      </c>
      <c r="D63" s="3" t="str">
        <v>KMX20251222 -084</v>
      </c>
      <c r="E63" s="3">
        <v>33851.5</v>
      </c>
      <c r="F63" s="3" t="str">
        <v>武汉浦发</v>
      </c>
      <c r="G63" s="3">
        <v>0</v>
      </c>
      <c r="H63" s="3">
        <v>0</v>
      </c>
      <c r="I63" s="3" t="str">
        <v>破碎机转子耐磨堆焊</v>
      </c>
      <c r="J63" s="3">
        <v>0</v>
      </c>
    </row>
    <row r="64" spans="1:10">
      <c r="A64" s="3">
        <v>0</v>
      </c>
      <c r="B64" s="4">
        <v>46068</v>
      </c>
      <c r="C64" s="3" t="str">
        <v>海西顺达物流有限公司</v>
      </c>
      <c r="D64" s="3" t="str">
        <v>KMX200318-052-XF</v>
      </c>
      <c r="E64" s="3">
        <v>10000</v>
      </c>
      <c r="F64" s="3" t="str">
        <v>武汉浦发</v>
      </c>
      <c r="G64" s="3">
        <v>0</v>
      </c>
      <c r="H64" s="3">
        <v>0</v>
      </c>
      <c r="I64" s="3" t="str">
        <v>回转窑托轮剥落掉块修复；托轮车削；轮带磨削；筒体裂纹修复，一条长323CM</v>
      </c>
      <c r="J64" s="3">
        <v>0</v>
      </c>
    </row>
    <row r="65" spans="1:10">
      <c r="A65" s="3">
        <v>0</v>
      </c>
      <c r="B65" s="4">
        <v>46077</v>
      </c>
      <c r="C65" s="3" t="str">
        <v>大冶市成美贸易有限公司</v>
      </c>
      <c r="D65" s="3" t="str">
        <v>KMX230221-057-XF</v>
      </c>
      <c r="E65" s="3">
        <v>20000</v>
      </c>
      <c r="F65" s="3" t="str">
        <v>武汉浦发</v>
      </c>
      <c r="G65" s="3" t="str">
        <v>银行承兑汇票（新）</v>
      </c>
      <c r="H65" s="3">
        <v>0</v>
      </c>
      <c r="I65" s="3" t="str">
        <v>磨机滑履1台拆装检查、清理、滑履瓦刮研2片</v>
      </c>
      <c r="J65" s="3">
        <v>0</v>
      </c>
    </row>
    <row r="66" spans="1:10">
      <c r="A66" s="3">
        <v>0</v>
      </c>
      <c r="B66" s="4">
        <v>46081</v>
      </c>
      <c r="C66" s="3" t="str">
        <v>青海发投碱业有限公司</v>
      </c>
      <c r="D66" s="3" t="str">
        <v>KMX250307-014-XF</v>
      </c>
      <c r="E66" s="3">
        <v>160249.8</v>
      </c>
      <c r="F66" s="3" t="str">
        <v>武汉浦发</v>
      </c>
      <c r="G66" s="3" t="str">
        <v>银行承兑汇票（新）</v>
      </c>
      <c r="H66" s="3">
        <v>0</v>
      </c>
      <c r="I66" s="3" t="str">
        <v>青海发投碱业有限公司重灰2#、3#、5#重灰炉炉头总成技改项目</v>
      </c>
      <c r="J66" s="3">
        <v>0</v>
      </c>
    </row>
    <row r="67" spans="1:10">
      <c r="A67" s="3">
        <v>0</v>
      </c>
      <c r="B67" s="4">
        <v>46081</v>
      </c>
      <c r="C67" s="3" t="str">
        <v>青海发投碱业有限公司</v>
      </c>
      <c r="D67" s="3" t="str">
        <v>KMX250429-033</v>
      </c>
      <c r="E67" s="3">
        <v>53207.2</v>
      </c>
      <c r="F67" s="3" t="str">
        <v>武汉浦发</v>
      </c>
      <c r="G67" s="3" t="str">
        <v>银行承兑汇票（新）</v>
      </c>
      <c r="H67" s="3">
        <v>0</v>
      </c>
      <c r="I67" s="3" t="str">
        <v>青海发投碱业有限公司供压缩 3.82MPA蒸汽管线优化改造及新增重灰减温减压装置(安装)</v>
      </c>
      <c r="J67" s="3">
        <v>0</v>
      </c>
    </row>
    <row r="68" spans="1:10">
      <c r="A68" s="3">
        <v>0</v>
      </c>
      <c r="B68" s="4">
        <v>46081</v>
      </c>
      <c r="C68" s="3" t="str">
        <v>青海发投碱业有限公司</v>
      </c>
      <c r="D68" s="3" t="str">
        <v>KMX2503018-020-XF</v>
      </c>
      <c r="E68" s="3">
        <v>106640.7</v>
      </c>
      <c r="F68" s="3" t="str">
        <v>武汉浦发</v>
      </c>
      <c r="G68" s="3" t="str">
        <v>银行承兑汇票（新）</v>
      </c>
      <c r="H68" s="3">
        <v>0</v>
      </c>
      <c r="I68" s="3" t="str">
        <v>青海发投碱业有限公司一期渣场二、三、四级泵站出口平台母管更换项目施工总承包合同</v>
      </c>
      <c r="J68" s="3">
        <v>0</v>
      </c>
    </row>
    <row r="69" spans="1:10">
      <c r="A69" s="3">
        <v>0</v>
      </c>
      <c r="B69" s="4">
        <v>46081</v>
      </c>
      <c r="C69" s="3" t="str">
        <v>青海发投碱业有限公司</v>
      </c>
      <c r="D69" s="3" t="str">
        <v>KMX240313-048-XF</v>
      </c>
      <c r="E69" s="3">
        <v>84914.6</v>
      </c>
      <c r="F69" s="3" t="str">
        <v>武汉浦发</v>
      </c>
      <c r="G69" s="3" t="str">
        <v>银行承兑汇票（新）</v>
      </c>
      <c r="H69" s="3">
        <v>0</v>
      </c>
      <c r="I69" s="3" t="str">
        <v>青海发投热电车间5台脱硫塔入口烟道更换项目</v>
      </c>
      <c r="J69" s="3">
        <v>0</v>
      </c>
    </row>
    <row r="70" spans="1:10">
      <c r="A70" s="3">
        <v>0</v>
      </c>
      <c r="B70" s="4">
        <v>46081</v>
      </c>
      <c r="C70" s="3" t="str">
        <v>青海发投碱业有限公司</v>
      </c>
      <c r="D70" s="3" t="str">
        <v>KMX250114-003-XF</v>
      </c>
      <c r="E70" s="3">
        <v>84122.1</v>
      </c>
      <c r="F70" s="3" t="str">
        <v>武汉浦发</v>
      </c>
      <c r="G70" s="3" t="str">
        <v>银行承兑汇票（新）</v>
      </c>
      <c r="H70" s="3">
        <v>0</v>
      </c>
      <c r="I70" s="3" t="str">
        <v>青海发投碱业有限公司2025 年零星设备维修、安装、更换项目</v>
      </c>
      <c r="J70" s="3">
        <v>0</v>
      </c>
    </row>
    <row r="71" spans="1:10">
      <c r="A71" s="3">
        <v>0</v>
      </c>
      <c r="B71" s="4">
        <v>46081</v>
      </c>
      <c r="C71" s="3" t="str">
        <v>青海发投碱业有限公司</v>
      </c>
      <c r="D71" s="3" t="str">
        <v>KMX240122-019-XF</v>
      </c>
      <c r="E71" s="3">
        <v>166859.4</v>
      </c>
      <c r="F71" s="3" t="str">
        <v>武汉浦发</v>
      </c>
      <c r="G71" s="3" t="str">
        <v>银行承兑汇票（新）</v>
      </c>
      <c r="H71" s="3">
        <v>0</v>
      </c>
      <c r="I71" s="3" t="str">
        <v>青海发投热电车间引风机出口烟道更换项目 5台</v>
      </c>
      <c r="J71" s="3">
        <v>0</v>
      </c>
    </row>
    <row r="72" spans="1:10">
      <c r="A72" s="3">
        <v>0</v>
      </c>
      <c r="B72" s="4">
        <v>46083</v>
      </c>
      <c r="C72" s="3" t="str">
        <v>中盐内蒙古建材有限公司</v>
      </c>
      <c r="D72" s="3" t="str">
        <v>KMX250530-041</v>
      </c>
      <c r="E72" s="3">
        <v>30000</v>
      </c>
      <c r="F72" s="3" t="str">
        <v>岚丹中信</v>
      </c>
      <c r="G72" s="3" t="str">
        <v>银行承兑汇票（新）</v>
      </c>
      <c r="H72" s="3">
        <v>0</v>
      </c>
      <c r="I72" s="3" t="str">
        <v>中盐内蒙古建材回转窑检测维修项目</v>
      </c>
      <c r="J72" s="3">
        <v>0</v>
      </c>
    </row>
    <row r="73" spans="1:10">
      <c r="A73" s="3">
        <v>0</v>
      </c>
      <c r="B73" s="4">
        <v>46090</v>
      </c>
      <c r="C73" s="3" t="str">
        <v>联峰钢铁（张家港）有限公司</v>
      </c>
      <c r="D73" s="3" t="str">
        <v>KMX220720-289-XF</v>
      </c>
      <c r="E73" s="3">
        <v>18800</v>
      </c>
      <c r="F73" s="3" t="str">
        <v>武汉浦发</v>
      </c>
      <c r="G73" s="3">
        <v>0</v>
      </c>
      <c r="H73" s="3">
        <v>0</v>
      </c>
      <c r="I73" s="3" t="str">
        <v>450二期循环风机叶轮在线修复（叶片耐磨堆焊及动平衡调整）</v>
      </c>
      <c r="J73" s="3">
        <v>0</v>
      </c>
    </row>
    <row r="74" spans="1:10">
      <c r="A74" s="3">
        <v>0</v>
      </c>
      <c r="B74" s="4">
        <v>46090</v>
      </c>
      <c r="C74" s="3" t="str">
        <v>江西福丰新材料科技有限公司</v>
      </c>
      <c r="D74" s="3" t="str">
        <v>KMX2026127-008</v>
      </c>
      <c r="E74" s="3">
        <v>150000</v>
      </c>
      <c r="F74" s="3" t="str">
        <v>武汉浦发</v>
      </c>
      <c r="G74" s="3" t="str">
        <v>银行承兑汇票（新）</v>
      </c>
      <c r="H74" s="3">
        <v>0</v>
      </c>
      <c r="I74" s="3" t="str">
        <v>江西福丰新材料科技有限公司反应炉托轮、轮带维修及调整项目26-008</v>
      </c>
      <c r="J74" s="3">
        <v>0</v>
      </c>
    </row>
    <row r="75" spans="1:10">
      <c r="A75" s="3">
        <v>0</v>
      </c>
      <c r="B75" s="4">
        <v>46101</v>
      </c>
      <c r="C75" s="3" t="str">
        <v>湖北双环科技股份有限公司</v>
      </c>
      <c r="D75" s="3" t="str">
        <v>KMX250806 -065</v>
      </c>
      <c r="E75" s="3">
        <v>2085.43</v>
      </c>
      <c r="F75" s="3" t="str">
        <v>武汉浦发</v>
      </c>
      <c r="G75" s="3">
        <v>0</v>
      </c>
      <c r="H75" s="3">
        <v>0</v>
      </c>
      <c r="I75" s="3" t="str">
        <v>湖北双环零星维修项目施工合同（2025</v>
      </c>
      <c r="J75" s="3">
        <v>0</v>
      </c>
    </row>
    <row r="76" spans="1:10">
      <c r="A76" s="3">
        <v>0</v>
      </c>
      <c r="B76" s="4">
        <v>46104</v>
      </c>
      <c r="C76" s="3" t="str">
        <v>湖北双环科技股份有限公司</v>
      </c>
      <c r="D76" s="3" t="str">
        <v>KMX250806 -065</v>
      </c>
      <c r="E76" s="3">
        <v>35050</v>
      </c>
      <c r="F76" s="3" t="str">
        <v>武汉浦发</v>
      </c>
      <c r="G76" s="3" t="str">
        <v>银行承兑汇票（新）</v>
      </c>
      <c r="H76" s="3">
        <v>0</v>
      </c>
      <c r="I76" s="3" t="str">
        <v>湖北双环零星维修项目施工合同（2025</v>
      </c>
      <c r="J76" s="3">
        <v>0</v>
      </c>
    </row>
    <row r="77" spans="1:10">
      <c r="A77" s="3">
        <v>0</v>
      </c>
      <c r="B77" s="4">
        <v>46104</v>
      </c>
      <c r="C77" s="3" t="str">
        <v>湖北双环科技股份有限公司</v>
      </c>
      <c r="D77" s="3" t="str">
        <v>KMX250806 -065</v>
      </c>
      <c r="E77" s="3">
        <v>46274.57</v>
      </c>
      <c r="F77" s="3" t="str">
        <v>武汉浦发</v>
      </c>
      <c r="G77" s="3" t="str">
        <v>银行承兑汇票（新）</v>
      </c>
      <c r="H77" s="3">
        <v>0</v>
      </c>
      <c r="I77" s="3" t="str">
        <v>湖北双环零星维修项目施工合同（2025</v>
      </c>
      <c r="J77" s="3">
        <v>0</v>
      </c>
    </row>
    <row r="78" spans="1:10">
      <c r="A78" s="3">
        <v>0</v>
      </c>
      <c r="B78" s="4">
        <v>46105</v>
      </c>
      <c r="C78" s="3" t="str">
        <v>东方希望重庆水泥有限公司</v>
      </c>
      <c r="D78" s="3" t="str">
        <v>KMX250505-034</v>
      </c>
      <c r="E78" s="3">
        <v>7800</v>
      </c>
      <c r="F78" s="3" t="str">
        <v>武汉汉口</v>
      </c>
      <c r="G78" s="3">
        <v>0</v>
      </c>
      <c r="H78" s="3">
        <v>0</v>
      </c>
      <c r="I78" s="3" t="str">
        <v>东方希望重庆水泥丰泥3#立磨摇臂轴承座及立柱裂焊修复</v>
      </c>
      <c r="J78" s="3">
        <v>0</v>
      </c>
    </row>
    <row r="79" spans="1:10">
      <c r="A79" s="3">
        <v>0</v>
      </c>
      <c r="B79" s="4">
        <v>46105</v>
      </c>
      <c r="C79" s="3" t="str">
        <v>东方希望重庆水泥有限公司</v>
      </c>
      <c r="D79" s="3" t="str">
        <v>KMX231209-270-XF</v>
      </c>
      <c r="E79" s="3">
        <v>7930</v>
      </c>
      <c r="F79" s="3" t="str">
        <v>武汉汉口</v>
      </c>
      <c r="G79" s="3">
        <v>0</v>
      </c>
      <c r="H79" s="3">
        <v>0</v>
      </c>
      <c r="I79" s="3" t="str">
        <v>3#线三挡轮带表面、侧面磨削；三挡两个托轮磨削；液压挡轮斜面磨削</v>
      </c>
      <c r="J79" s="3">
        <v>0</v>
      </c>
    </row>
    <row r="80" spans="1:10">
      <c r="A80" s="3">
        <v>0</v>
      </c>
      <c r="B80" s="4">
        <v>46105</v>
      </c>
      <c r="C80" s="3" t="str">
        <v>东方希望重庆水泥有限公司</v>
      </c>
      <c r="D80" s="3" t="str">
        <v>KMX250715-062</v>
      </c>
      <c r="E80" s="3">
        <v>2600</v>
      </c>
      <c r="F80" s="3" t="str">
        <v>武汉汉口</v>
      </c>
      <c r="G80" s="3">
        <v>0</v>
      </c>
      <c r="H80" s="3">
        <v>0</v>
      </c>
      <c r="I80" s="3" t="str">
        <v>挡轮带震动纹车削、磨削维修项目</v>
      </c>
      <c r="J80" s="3">
        <v>0</v>
      </c>
    </row>
    <row r="81" spans="1:10">
      <c r="A81" s="3">
        <v>0</v>
      </c>
      <c r="B81" s="4">
        <v>46106</v>
      </c>
      <c r="C81" s="3" t="str">
        <v>山东泰山钢铁集团有限公司管理人</v>
      </c>
      <c r="D81" s="3" t="str">
        <v>KMX240328-051-XF</v>
      </c>
      <c r="E81" s="3">
        <v>200000</v>
      </c>
      <c r="F81" s="3" t="str">
        <v>武汉浦发</v>
      </c>
      <c r="G81" s="3">
        <v>0</v>
      </c>
      <c r="H81" s="3">
        <v>0</v>
      </c>
      <c r="I81" s="3" t="str">
        <v>回转窑轮带4.3*30m、烘干筒轮带维修3m*20m（含动态测窑、调整，轮带堆焊、磨削、垫板更换）</v>
      </c>
      <c r="J81" s="3">
        <v>0</v>
      </c>
    </row>
    <row r="82" spans="1:10">
      <c r="A82" s="3">
        <v>0</v>
      </c>
      <c r="B82" s="4">
        <v>46106</v>
      </c>
      <c r="C82" s="3" t="str">
        <v>内蒙古兴发科技有限公司</v>
      </c>
      <c r="D82" s="3" t="str">
        <v>KMX250829-063</v>
      </c>
      <c r="E82" s="3">
        <v>9232.41</v>
      </c>
      <c r="F82" s="3" t="str">
        <v>岚丹中信</v>
      </c>
      <c r="G82" s="3">
        <v>0</v>
      </c>
      <c r="H82" s="3">
        <v>0</v>
      </c>
      <c r="I82" s="3" t="str">
        <v>内蒙兴发冷渣机检测车削调整项目</v>
      </c>
      <c r="J82" s="3">
        <v>0</v>
      </c>
    </row>
    <row r="83" spans="1:10">
      <c r="A83" s="3">
        <v>0</v>
      </c>
      <c r="B83" s="4">
        <v>46106</v>
      </c>
      <c r="C83" s="3" t="str">
        <v>内蒙古兴发科技有限公司</v>
      </c>
      <c r="D83" s="3" t="str">
        <v>KMX250829-063</v>
      </c>
      <c r="E83" s="3">
        <v>31600</v>
      </c>
      <c r="F83" s="3" t="str">
        <v>岚丹中信</v>
      </c>
      <c r="G83" s="3" t="str">
        <v>银行承兑汇票（新）</v>
      </c>
      <c r="H83" s="3">
        <v>0</v>
      </c>
      <c r="I83" s="3" t="str">
        <v>内蒙兴发冷渣机检测车削调整项目</v>
      </c>
      <c r="J83" s="3">
        <v>0</v>
      </c>
    </row>
    <row r="84" spans="1:10">
      <c r="A84" s="3">
        <v>0</v>
      </c>
      <c r="B84" s="4">
        <v>46106</v>
      </c>
      <c r="C84" s="3" t="str">
        <v>内蒙古兴发科技有限公司</v>
      </c>
      <c r="D84" s="3" t="str">
        <v>KMX250829-063</v>
      </c>
      <c r="E84" s="3">
        <v>18567.59</v>
      </c>
      <c r="F84" s="3" t="str">
        <v>岚丹中信</v>
      </c>
      <c r="G84" s="3" t="str">
        <v>银行承兑汇票（新）</v>
      </c>
      <c r="H84" s="3">
        <v>0</v>
      </c>
      <c r="I84" s="3" t="str">
        <v>内蒙兴发冷渣机检测车削调整项目</v>
      </c>
      <c r="J84" s="3">
        <v>0</v>
      </c>
    </row>
    <row r="85" spans="1:10">
      <c r="A85" s="3">
        <v>0</v>
      </c>
      <c r="B85" s="4">
        <v>46107</v>
      </c>
      <c r="C85" s="3" t="str">
        <v>东方希望重庆水泥有限公司</v>
      </c>
      <c r="D85" s="3" t="str">
        <v>KMX250715-062</v>
      </c>
      <c r="E85" s="3">
        <v>16575</v>
      </c>
      <c r="F85" s="3" t="str">
        <v>武汉汉口</v>
      </c>
      <c r="G85" s="3">
        <v>0</v>
      </c>
      <c r="H85" s="3">
        <v>0</v>
      </c>
      <c r="I85" s="3" t="str">
        <v>挡轮带震动纹车削、磨削维修项目</v>
      </c>
      <c r="J85" s="3">
        <v>0</v>
      </c>
    </row>
    <row r="86" spans="1:10">
      <c r="A86" s="3">
        <v>0</v>
      </c>
      <c r="B86" s="4">
        <v>46108</v>
      </c>
      <c r="C86" s="3" t="str">
        <v>广州市越堡水泥有限公司</v>
      </c>
      <c r="D86" s="3" t="str">
        <v>KMX231106-247-XF</v>
      </c>
      <c r="E86" s="3">
        <v>5500</v>
      </c>
      <c r="F86" s="3" t="str">
        <v>武汉浦发</v>
      </c>
      <c r="G86" s="3">
        <v>0</v>
      </c>
      <c r="H86" s="3">
        <v>0</v>
      </c>
      <c r="I86" s="3" t="str">
        <v>6000T/D回转窑二档托轮车削2个，三档轮带侧面及液压挡轮磨削</v>
      </c>
      <c r="J86" s="3">
        <v>0</v>
      </c>
    </row>
    <row r="87" spans="1:10">
      <c r="A87" s="3">
        <v>0</v>
      </c>
      <c r="B87" s="4">
        <v>46111</v>
      </c>
      <c r="C87" s="3" t="str">
        <v>新疆伊犁钢铁有限责任公司</v>
      </c>
      <c r="D87" s="3" t="str">
        <v>KMX250624-052</v>
      </c>
      <c r="E87" s="3">
        <v>260000</v>
      </c>
      <c r="F87" s="3" t="str">
        <v>通宝</v>
      </c>
      <c r="G87" s="3">
        <v>0</v>
      </c>
      <c r="H87" s="3">
        <v>0</v>
      </c>
      <c r="I87" s="3" t="str">
        <v>新疆伊犁钢铁炼钢厂烘烤器改造项目</v>
      </c>
      <c r="J87" s="3">
        <v>0</v>
      </c>
    </row>
    <row r="88" spans="1:10">
      <c r="A88" s="3">
        <v>0</v>
      </c>
      <c r="B88" s="4">
        <v>46111</v>
      </c>
      <c r="C88" s="3" t="str">
        <v>新疆伊犁钢铁有限责任公司</v>
      </c>
      <c r="D88" s="3" t="str">
        <v>KMX240218-035-XF</v>
      </c>
      <c r="E88" s="17">
        <v>165404.21</v>
      </c>
      <c r="F88" s="3" t="str">
        <v>通宝</v>
      </c>
      <c r="G88" s="3">
        <v>0</v>
      </c>
      <c r="H88" s="3">
        <v>0</v>
      </c>
      <c r="I88" s="3" t="str">
        <v>伊犁钢铁炼铁厂产能提升项目</v>
      </c>
      <c r="J88" s="3">
        <v>0</v>
      </c>
    </row>
    <row r="89" spans="1:10">
      <c r="A89" s="3">
        <v>0</v>
      </c>
      <c r="B89" s="4">
        <v>46111</v>
      </c>
      <c r="C89" s="3" t="str">
        <v>新疆伊犁钢铁有限责任公司</v>
      </c>
      <c r="D89" s="3" t="str">
        <v>KMX240930-100-XF</v>
      </c>
      <c r="E89" s="3">
        <v>20838.4</v>
      </c>
      <c r="F89" s="3" t="str">
        <v>武汉浦发</v>
      </c>
      <c r="G89" s="3" t="str">
        <v>银行承兑汇票（新）</v>
      </c>
      <c r="H89" s="3">
        <v>0</v>
      </c>
      <c r="I89" s="3" t="str">
        <v>炼铁厂竖炉2024年设备功能精度恢复</v>
      </c>
      <c r="J89" s="3">
        <v>0</v>
      </c>
    </row>
    <row r="90" spans="1:10">
      <c r="A90" s="3">
        <v>0</v>
      </c>
      <c r="B90" s="4">
        <v>46111</v>
      </c>
      <c r="C90" s="3" t="str">
        <v>新疆伊犁钢铁有限责任公司</v>
      </c>
      <c r="D90" s="3" t="str">
        <v>KMX240930-099-XF</v>
      </c>
      <c r="E90" s="3">
        <v>25536.9</v>
      </c>
      <c r="F90" s="3" t="str">
        <v>武汉浦发</v>
      </c>
      <c r="G90" s="3" t="str">
        <v>银行承兑汇票（新）</v>
      </c>
      <c r="H90" s="3">
        <v>0</v>
      </c>
      <c r="I90" s="3" t="str">
        <v>伊犁钢铁炼铁厂产能提升项目</v>
      </c>
      <c r="J90" s="3">
        <v>0</v>
      </c>
    </row>
    <row r="91" spans="1:10">
      <c r="A91" s="3">
        <v>0</v>
      </c>
      <c r="B91" s="4">
        <v>46111</v>
      </c>
      <c r="C91" s="3" t="str">
        <v>新疆伊犁钢铁有限责任公司</v>
      </c>
      <c r="D91" s="3" t="str">
        <v>KMX240930-101-XF</v>
      </c>
      <c r="E91" s="3">
        <v>4644.08</v>
      </c>
      <c r="F91" s="3" t="str">
        <v>武汉浦发</v>
      </c>
      <c r="G91" s="3" t="str">
        <v>银行承兑汇票（新）</v>
      </c>
      <c r="H91" s="3">
        <v>0</v>
      </c>
      <c r="I91" s="3" t="str">
        <v>炼铁厂捞渣机、高炉主垄沟2024年设备功能精度恢复</v>
      </c>
      <c r="J91" s="3">
        <v>0</v>
      </c>
    </row>
    <row r="92" spans="1:10">
      <c r="A92" s="3">
        <v>0</v>
      </c>
      <c r="B92" s="4">
        <v>46111</v>
      </c>
      <c r="C92" s="3" t="str">
        <v>青海发投碱业有限公司</v>
      </c>
      <c r="D92" s="3" t="str">
        <v>KMX250307-014-XF</v>
      </c>
      <c r="E92" s="3">
        <v>160249.6</v>
      </c>
      <c r="F92" s="3" t="str">
        <v>武汉浦发</v>
      </c>
      <c r="G92" s="3" t="str">
        <v>银行承兑汇票（新）</v>
      </c>
      <c r="H92" s="3">
        <v>0</v>
      </c>
      <c r="I92" s="3" t="str">
        <v>青海发投碱业有限公司重灰2#、3#、5#重灰炉炉头总成技改项目</v>
      </c>
      <c r="J92" s="3">
        <v>0</v>
      </c>
    </row>
    <row r="93" spans="1:10">
      <c r="A93" s="3">
        <v>0</v>
      </c>
      <c r="B93" s="4">
        <v>46111</v>
      </c>
      <c r="C93" s="3" t="str">
        <v>青海发投碱业有限公司</v>
      </c>
      <c r="D93" s="3" t="str">
        <v>KMX250114-003-XF</v>
      </c>
      <c r="E93" s="3">
        <v>84122.1</v>
      </c>
      <c r="F93" s="3" t="str">
        <v>武汉浦发</v>
      </c>
      <c r="G93" s="3" t="str">
        <v>银行承兑汇票（新）</v>
      </c>
      <c r="H93" s="3">
        <v>0</v>
      </c>
      <c r="I93" s="3" t="str">
        <v>青海发投碱业有限公司2025 年零星设备维修、安装、更换项目</v>
      </c>
      <c r="J93" s="3">
        <v>0</v>
      </c>
    </row>
    <row r="94" spans="1:10">
      <c r="A94" s="3">
        <v>0</v>
      </c>
      <c r="B94" s="4">
        <v>46111</v>
      </c>
      <c r="C94" s="3" t="str">
        <v>青海发投碱业有限公司</v>
      </c>
      <c r="D94" s="3" t="str">
        <v>KMX240229-042-XF</v>
      </c>
      <c r="E94" s="3">
        <v>25864.5</v>
      </c>
      <c r="F94" s="3" t="str">
        <v>武汉浦发</v>
      </c>
      <c r="G94" s="3" t="str">
        <v>银行承兑汇票（新）</v>
      </c>
      <c r="H94" s="3">
        <v>0</v>
      </c>
      <c r="I94" s="3" t="str">
        <v>盐水车间精盐水罐面及杂水罐花架平台更换项目</v>
      </c>
      <c r="J94" s="3">
        <v>0</v>
      </c>
    </row>
    <row r="95" spans="1:10">
      <c r="A95" s="3">
        <v>0</v>
      </c>
      <c r="B95" s="4">
        <v>46111</v>
      </c>
      <c r="C95" s="3" t="str">
        <v>青海发投碱业有限公司</v>
      </c>
      <c r="D95" s="3" t="str">
        <v>KMX231208-265-XF</v>
      </c>
      <c r="E95" s="3">
        <v>22469.3</v>
      </c>
      <c r="F95" s="3">
        <v>0</v>
      </c>
      <c r="G95" s="3">
        <v>0</v>
      </c>
      <c r="H95" s="3">
        <v>0</v>
      </c>
      <c r="I95" s="3" t="str">
        <v>盐水车间1#-4#化盐桶北侧地埋进水管线更换项目</v>
      </c>
      <c r="J95" s="3">
        <v>0</v>
      </c>
    </row>
    <row r="96" spans="1:10">
      <c r="A96" s="3">
        <v>0</v>
      </c>
      <c r="B96" s="4">
        <v>46119</v>
      </c>
      <c r="C96" s="3" t="str">
        <v>四川峨胜水泥集团股份有限公司</v>
      </c>
      <c r="D96" s="3" t="str">
        <v>KMX250325-024-XF</v>
      </c>
      <c r="E96" s="3">
        <v>14760</v>
      </c>
      <c r="F96" s="3" t="str">
        <v>武汉浦发</v>
      </c>
      <c r="G96" s="3">
        <v>0</v>
      </c>
      <c r="H96" s="3">
        <v>0</v>
      </c>
      <c r="I96" s="3" t="str">
        <v>四川峨胜水泥3#水泥滑履磨端面R角裂纹修复</v>
      </c>
      <c r="J96" s="3">
        <v>0</v>
      </c>
    </row>
    <row r="97" spans="1:10">
      <c r="A97" s="3">
        <v>0</v>
      </c>
      <c r="B97" s="4">
        <v>46119</v>
      </c>
      <c r="C97" s="3" t="str">
        <v>四川峨胜水泥集团股份有限公司</v>
      </c>
      <c r="D97" s="3" t="str">
        <v>KMX250210-009-XF</v>
      </c>
      <c r="E97" s="3">
        <v>2500</v>
      </c>
      <c r="F97" s="3" t="str">
        <v>武汉浦发</v>
      </c>
      <c r="G97" s="3">
        <v>0</v>
      </c>
      <c r="H97" s="3">
        <v>0</v>
      </c>
      <c r="I97" s="3" t="str">
        <v>四川峨胜水泥集团股份有限公司滑履磨削</v>
      </c>
      <c r="J97" s="3">
        <v>0</v>
      </c>
    </row>
    <row r="98" spans="1:10">
      <c r="A98" s="3">
        <v>0</v>
      </c>
      <c r="B98" s="4">
        <v>46119</v>
      </c>
      <c r="C98" s="3" t="str">
        <v>日照京华新型建材有限公司</v>
      </c>
      <c r="D98" s="3" t="str">
        <v>KMX250606-042</v>
      </c>
      <c r="E98" s="3">
        <v>141510</v>
      </c>
      <c r="F98" s="3" t="str">
        <v>武汉浦发</v>
      </c>
      <c r="G98" s="3" t="str">
        <v>银行承兑汇票（新）</v>
      </c>
      <c r="H98" s="3">
        <v>0</v>
      </c>
      <c r="I98" s="3" t="str">
        <v>日照钢铁建材厂石灰工场回转窑及附属设施维修项目</v>
      </c>
      <c r="J98" s="3">
        <v>0</v>
      </c>
    </row>
    <row r="99" spans="1:10">
      <c r="A99" s="3">
        <v>0</v>
      </c>
      <c r="B99" s="4">
        <v>46121</v>
      </c>
      <c r="C99" s="3" t="str">
        <v>新洋丰农业科技股份有限公司</v>
      </c>
      <c r="D99" s="3" t="str">
        <v>KMX250613-044</v>
      </c>
      <c r="E99" s="3">
        <v>63000</v>
      </c>
      <c r="F99" s="3" t="str">
        <v>武汉浦发</v>
      </c>
      <c r="G99" s="3">
        <v>0</v>
      </c>
      <c r="H99" s="3">
        <v>0</v>
      </c>
      <c r="I99" s="3" t="str">
        <v>新洋丰2025年硫酸钾厂中修非标工程项目</v>
      </c>
      <c r="J99" s="3">
        <v>0</v>
      </c>
    </row>
    <row r="100" spans="1:10">
      <c r="A100" s="3">
        <v>0</v>
      </c>
      <c r="B100" s="4">
        <v>46121</v>
      </c>
      <c r="C100" s="3" t="str">
        <v>新洋丰农业科技股份有限公司</v>
      </c>
      <c r="D100" s="3" t="str">
        <v>KMX2025922 -071</v>
      </c>
      <c r="E100" s="3">
        <v>140500</v>
      </c>
      <c r="F100" s="3" t="str">
        <v>武汉浦发</v>
      </c>
      <c r="G100" s="3">
        <v>0</v>
      </c>
      <c r="H100" s="3">
        <v>0</v>
      </c>
      <c r="I100" s="3" t="str">
        <v>新洋丰2025年硫酸钾厂大修非标工程（硫酸钾厂大修工程-三线造粒机更换机头拖带、大齿圈、弹力板及四线造粒机更换弹力板 ）</v>
      </c>
      <c r="J100" s="3">
        <v>0</v>
      </c>
    </row>
    <row r="101" spans="1:10">
      <c r="A101" s="3">
        <v>0</v>
      </c>
      <c r="B101" s="4">
        <v>46128</v>
      </c>
      <c r="C101" s="3" t="str">
        <v>湖北双环科技股份有限公司</v>
      </c>
      <c r="D101" s="3" t="str">
        <v>KMX250806 -065</v>
      </c>
      <c r="E101" s="3">
        <v>200000</v>
      </c>
      <c r="F101" s="3" t="str">
        <v>武汉浦发</v>
      </c>
      <c r="G101" s="3" t="str">
        <v>银行承兑汇票（新）</v>
      </c>
      <c r="H101" s="3">
        <v>0</v>
      </c>
      <c r="I101" s="3" t="str">
        <v>湖北双环零星维修项目施工合同（2025</v>
      </c>
      <c r="J101" s="3">
        <v>0</v>
      </c>
    </row>
    <row r="102" spans="1:10">
      <c r="A102" s="3">
        <v>0</v>
      </c>
      <c r="B102" s="4">
        <v>46135</v>
      </c>
      <c r="C102" s="3" t="str">
        <v>江西亚东水泥有限公司</v>
      </c>
      <c r="D102" s="3" t="str">
        <v>KMX240708-081-XF</v>
      </c>
      <c r="E102" s="3">
        <v>4246.1</v>
      </c>
      <c r="F102" s="3" t="str">
        <v>武汉华夏 </v>
      </c>
      <c r="G102" s="3">
        <v>0</v>
      </c>
      <c r="H102" s="3">
        <v>0</v>
      </c>
      <c r="I102" s="3">
        <v>0</v>
      </c>
      <c r="J102" s="3">
        <v>0</v>
      </c>
    </row>
    <row r="103" spans="1:10">
      <c r="A103" s="3">
        <v>0</v>
      </c>
      <c r="B103" s="4">
        <v>46135</v>
      </c>
      <c r="C103" s="3" t="str">
        <v>江西赣锋锂业集团股份有限公司（马洪分公司）</v>
      </c>
      <c r="D103" s="3" t="str">
        <v>KMX240701-076-XF</v>
      </c>
      <c r="E103" s="3">
        <v>424092.6</v>
      </c>
      <c r="F103" s="3" t="str">
        <v>武汉浦发</v>
      </c>
      <c r="G103" s="3" t="str">
        <v>银行承兑汇票（新）</v>
      </c>
      <c r="H103" s="3">
        <v>0</v>
      </c>
      <c r="I103" s="3" t="str">
        <v>一期回转窑检修</v>
      </c>
      <c r="J103" s="3">
        <v>0</v>
      </c>
    </row>
    <row r="104" spans="1:10">
      <c r="A104" s="3">
        <v>0</v>
      </c>
      <c r="B104" s="4">
        <v>46136</v>
      </c>
      <c r="C104" s="3" t="str">
        <v>青海发投碱业有限公司</v>
      </c>
      <c r="D104" s="3" t="str">
        <v>KMX231127-260-XF</v>
      </c>
      <c r="E104" s="3">
        <v>6954</v>
      </c>
      <c r="F104" s="3" t="str">
        <v>武汉浦发</v>
      </c>
      <c r="G104" s="3" t="str">
        <v>银行承兑汇票（新）</v>
      </c>
      <c r="H104" s="3">
        <v>0</v>
      </c>
      <c r="I104" s="3" t="str">
        <v>水气车间液氨站安装尾气回收装置土建及设备安装项目</v>
      </c>
      <c r="J104" s="3">
        <v>0</v>
      </c>
    </row>
    <row r="105" spans="1:10">
      <c r="A105" s="3">
        <v>0</v>
      </c>
      <c r="B105" s="4">
        <v>46136</v>
      </c>
      <c r="C105" s="3" t="str">
        <v>青海发投碱业有限公司</v>
      </c>
      <c r="D105" s="3" t="str">
        <v>KMX231127-260-XF</v>
      </c>
      <c r="E105" s="3">
        <v>10779.93</v>
      </c>
      <c r="F105" s="3" t="str">
        <v>武汉浦发</v>
      </c>
      <c r="G105" s="3" t="str">
        <v>银行承兑汇票（新）</v>
      </c>
      <c r="H105" s="3">
        <v>0</v>
      </c>
      <c r="I105" s="3" t="str">
        <v>水气车间液氨站安装尾气回收装置土建及设备安装项目</v>
      </c>
      <c r="J105" s="3">
        <v>0</v>
      </c>
    </row>
    <row r="106" spans="1:10">
      <c r="A106" s="3">
        <v>0</v>
      </c>
      <c r="B106" s="4">
        <v>46136</v>
      </c>
      <c r="C106" s="3" t="str">
        <v>青海发投碱业有限公司</v>
      </c>
      <c r="D106" s="3" t="str">
        <v>KMX231127-260-XF</v>
      </c>
      <c r="E106" s="3">
        <v>214.67</v>
      </c>
      <c r="F106" s="3" t="str">
        <v>武汉浦发</v>
      </c>
      <c r="G106" s="3">
        <v>0</v>
      </c>
      <c r="H106" s="3">
        <v>0</v>
      </c>
      <c r="I106" s="3" t="str">
        <v>水气车间液氨站安装尾气回收装置土建及设备安装项目</v>
      </c>
      <c r="J106" s="3">
        <v>0</v>
      </c>
    </row>
    <row r="107" spans="1:10">
      <c r="A107" s="3">
        <v>0</v>
      </c>
      <c r="B107" s="4">
        <v>46139</v>
      </c>
      <c r="C107" s="3" t="str">
        <v>台泥（重庆）水泥有限公司</v>
      </c>
      <c r="D107" s="3" t="str">
        <v>KMX240326-050-XF</v>
      </c>
      <c r="E107" s="3">
        <v>5424</v>
      </c>
      <c r="F107" s="3" t="str">
        <v>武汉浦发</v>
      </c>
      <c r="G107" s="3">
        <v>0</v>
      </c>
      <c r="H107" s="3">
        <v>0</v>
      </c>
      <c r="I107" s="3" t="str">
        <v>水泥分厂辊压机辊子主轴轴肩位修复（对轴肩磨损区域进行堆焊后进行车削处理）</v>
      </c>
      <c r="J107" s="3">
        <v>0</v>
      </c>
    </row>
    <row r="108" spans="1:10">
      <c r="A108" s="3">
        <v>0</v>
      </c>
      <c r="B108" s="4">
        <v>46139</v>
      </c>
      <c r="C108" s="3" t="str">
        <v>广安昌兴水泥有限公司</v>
      </c>
      <c r="D108" s="3" t="str">
        <v>KMX20251119-079</v>
      </c>
      <c r="E108" s="3">
        <v>216455</v>
      </c>
      <c r="F108" s="3" t="str">
        <v>武汉浦发</v>
      </c>
      <c r="G108" s="3">
        <v>0</v>
      </c>
      <c r="H108" s="3">
        <v>0</v>
      </c>
      <c r="I108" s="3" t="str">
        <v>广安台泥回转窑调整及拖轮/轮带在线调整合同</v>
      </c>
      <c r="J108" s="3">
        <v>0</v>
      </c>
    </row>
    <row r="109" spans="1:10">
      <c r="A109" s="3">
        <v>0</v>
      </c>
      <c r="B109" s="4">
        <v>46140</v>
      </c>
      <c r="C109" s="3" t="str">
        <v>青海发投碱业有限公司</v>
      </c>
      <c r="D109" s="3" t="str">
        <v>KMX240115-014-XF</v>
      </c>
      <c r="E109" s="3">
        <v>19.2</v>
      </c>
      <c r="F109" s="3" t="str">
        <v>武汉浦发</v>
      </c>
      <c r="G109" s="3">
        <v>0</v>
      </c>
      <c r="H109" s="3">
        <v>0</v>
      </c>
      <c r="I109" s="3" t="str">
        <v>煅烧车间炉气冷凝洗涤塔至炉气横管短接及三通更换项目</v>
      </c>
      <c r="J109" s="3">
        <v>0</v>
      </c>
    </row>
    <row r="110" spans="1:10">
      <c r="A110" s="3">
        <v>0</v>
      </c>
      <c r="B110" s="4">
        <v>46141</v>
      </c>
      <c r="C110" s="3" t="str">
        <v>青海发投碱业有限公司</v>
      </c>
      <c r="D110" s="3" t="str">
        <v>KMX240115-014-XF</v>
      </c>
      <c r="E110" s="3">
        <v>5950.8</v>
      </c>
      <c r="F110" s="3" t="str">
        <v>武汉浦发</v>
      </c>
      <c r="G110" s="3" t="str">
        <v>银行承兑汇票（新）</v>
      </c>
      <c r="H110" s="3">
        <v>0</v>
      </c>
      <c r="I110" s="3" t="str">
        <v>煅烧车间炉气冷凝洗涤塔至炉气横管短接及三通更换项目</v>
      </c>
      <c r="J110" s="3">
        <v>0</v>
      </c>
    </row>
    <row r="111" spans="1:10">
      <c r="A111" s="3">
        <v>0</v>
      </c>
      <c r="B111" s="4">
        <v>46141</v>
      </c>
      <c r="C111" s="3" t="str">
        <v>山东圣川新材料科技股份有限公司</v>
      </c>
      <c r="D111" s="3" t="str">
        <v>KMX2025125 -081</v>
      </c>
      <c r="E111" s="3">
        <v>60000</v>
      </c>
      <c r="F111" s="3" t="str">
        <v>武汉华夏</v>
      </c>
      <c r="G111" s="3" t="str">
        <v>银行承兑汇票5张（新）</v>
      </c>
      <c r="H111" s="3">
        <v>0</v>
      </c>
      <c r="I111" s="3" t="str">
        <v>回转窑检修合同</v>
      </c>
      <c r="J111" s="3">
        <v>0</v>
      </c>
    </row>
    <row r="112" spans="1:10">
      <c r="A112" s="3">
        <v>0</v>
      </c>
      <c r="B112" s="4">
        <v>46141</v>
      </c>
      <c r="C112" s="3" t="str">
        <v>新余市汇益信新型材料有限公司</v>
      </c>
      <c r="D112" s="3" t="str">
        <v>KMX250225-011-XF</v>
      </c>
      <c r="E112" s="3">
        <v>3900</v>
      </c>
      <c r="F112" s="3" t="str">
        <v>武汉浦发</v>
      </c>
      <c r="G112" s="3">
        <v>0</v>
      </c>
      <c r="H112" s="3">
        <v>0</v>
      </c>
      <c r="I112" s="3" t="str">
        <v>回转窑轮带局部剥落掉块</v>
      </c>
      <c r="J112" s="3">
        <v>0</v>
      </c>
    </row>
    <row r="113" spans="1:10">
      <c r="A113" s="3">
        <v>0</v>
      </c>
      <c r="B113" s="4">
        <v>46142</v>
      </c>
      <c r="C113" s="3" t="str">
        <v>中盐内蒙古化工股份有限公司盐碱分公司</v>
      </c>
      <c r="D113" s="3" t="str">
        <v>KMX241218-112-XF</v>
      </c>
      <c r="E113" s="3">
        <v>28167</v>
      </c>
      <c r="F113" s="3" t="str">
        <v>武汉浦发</v>
      </c>
      <c r="G113" s="3" t="str">
        <v>银行承兑汇票（新）</v>
      </c>
      <c r="H113" s="3">
        <v>0</v>
      </c>
      <c r="I113" s="3" t="str">
        <v>制碱车间 2”、3"碳化塔更新拆解</v>
      </c>
      <c r="J113" s="3">
        <v>0</v>
      </c>
    </row>
    <row r="114" spans="1:10">
      <c r="A114" s="3">
        <v>0</v>
      </c>
      <c r="B114" s="4">
        <v>46142</v>
      </c>
      <c r="C114" s="3" t="str">
        <v>中盐内蒙古建材有限公司</v>
      </c>
      <c r="D114" s="3" t="str">
        <v>KMX250530-041</v>
      </c>
      <c r="E114" s="3">
        <v>25200</v>
      </c>
      <c r="F114" s="3" t="str">
        <v>湖北岚丹中信</v>
      </c>
      <c r="G114" s="3" t="str">
        <v>银行承兑汇票（新）</v>
      </c>
      <c r="H114" s="3">
        <v>0</v>
      </c>
      <c r="I114" s="3" t="str">
        <v>中盐内蒙古建材回转窑检测维修项目</v>
      </c>
      <c r="J114" s="3">
        <v>0</v>
      </c>
    </row>
    <row r="115" spans="1:10">
      <c r="A115" s="3">
        <v>0</v>
      </c>
      <c r="B115" s="4">
        <v>46155</v>
      </c>
      <c r="C115" s="3" t="str">
        <v>玉溪新平永发新型建材有限公司（元江县永发水泥有限公司）</v>
      </c>
      <c r="D115" s="3" t="str">
        <v>KMX190805-289-XF</v>
      </c>
      <c r="E115" s="3">
        <v>10000</v>
      </c>
      <c r="F115" s="3" t="str">
        <v>武汉浦发</v>
      </c>
      <c r="G115" s="3">
        <v>0</v>
      </c>
      <c r="H115" s="3">
        <v>0</v>
      </c>
      <c r="I115" s="3" t="str">
        <v>3.2米磨机大齿圈单面磨损修复</v>
      </c>
      <c r="J115" s="3">
        <v>0</v>
      </c>
    </row>
    <row r="116" spans="1:10">
      <c r="A116" s="3">
        <v>0</v>
      </c>
      <c r="B116" s="4">
        <v>46161</v>
      </c>
      <c r="C116" s="3" t="str">
        <v>福建韩研环保科技有限公司</v>
      </c>
      <c r="D116" s="3" t="str">
        <v>KMX2026429-017</v>
      </c>
      <c r="E116" s="3">
        <v>94050</v>
      </c>
      <c r="F116" s="3" t="str">
        <v>湖北开明工行</v>
      </c>
      <c r="G116" s="3">
        <v>0</v>
      </c>
      <c r="H116" s="3">
        <v>0</v>
      </c>
      <c r="I116" s="3" t="str">
        <v>福建韩研环保-炉子滚圈维修及检测调整工程</v>
      </c>
      <c r="J116" s="3">
        <v>0</v>
      </c>
    </row>
    <row r="117" spans="1:10">
      <c r="A117" s="3">
        <v>0</v>
      </c>
      <c r="B117" s="4">
        <v>46161</v>
      </c>
      <c r="C117" s="3" t="str">
        <v>湖北双环科技股份有限公司</v>
      </c>
      <c r="D117" s="3" t="str">
        <v>KMX250806 -065</v>
      </c>
      <c r="E117" s="3">
        <v>200000</v>
      </c>
      <c r="F117" s="3" t="str">
        <v>武汉浦发</v>
      </c>
      <c r="G117" s="3" t="str">
        <v>银行承兑汇票（新）</v>
      </c>
      <c r="H117" s="3">
        <v>0</v>
      </c>
      <c r="I117" s="3" t="str">
        <v>湖北双环零星维修项目施工合同（2025</v>
      </c>
      <c r="J117" s="3">
        <v>0</v>
      </c>
    </row>
    <row r="118" spans="1:10">
      <c r="A118" s="3">
        <v>0</v>
      </c>
      <c r="B118" s="4">
        <v>46162</v>
      </c>
      <c r="C118" s="3" t="str">
        <v>湖北双环科技股份有限公司</v>
      </c>
      <c r="D118" s="3" t="str">
        <v>KMX20251011-074</v>
      </c>
      <c r="E118" s="3">
        <v>195</v>
      </c>
      <c r="F118" s="3" t="str">
        <v>武汉浦发</v>
      </c>
      <c r="G118" s="3">
        <v>0</v>
      </c>
      <c r="H118" s="3">
        <v>0</v>
      </c>
      <c r="I118" s="3" t="str">
        <v>湖北双环热电分厂5#锅炉磨机对开齿轮更换施工施工合同</v>
      </c>
      <c r="J118" s="3">
        <v>0</v>
      </c>
    </row>
    <row r="119" spans="1:10">
      <c r="A119" s="3">
        <v>0</v>
      </c>
      <c r="B119" s="4">
        <v>46163</v>
      </c>
      <c r="C119" s="3" t="str">
        <v>湖北双环科技股份有限公司</v>
      </c>
      <c r="D119" s="3" t="str">
        <v>KMX20251011-074</v>
      </c>
      <c r="E119" s="3">
        <v>69925</v>
      </c>
      <c r="F119" s="3" t="str">
        <v>武汉浦发</v>
      </c>
      <c r="G119" s="3" t="str">
        <v>银行承兑汇票（新）</v>
      </c>
      <c r="H119" s="3">
        <v>0</v>
      </c>
      <c r="I119" s="3" t="str">
        <v>湖北双环热电分厂5#锅炉磨机对开齿轮更换施工施工合同</v>
      </c>
      <c r="J119" s="3">
        <v>0</v>
      </c>
    </row>
    <row r="120" spans="1:10">
      <c r="A120" s="3">
        <v>0</v>
      </c>
      <c r="B120" s="4">
        <v>46163</v>
      </c>
      <c r="C120" s="3" t="str">
        <v>湖北双环科技股份有限公司</v>
      </c>
      <c r="D120" s="3" t="str">
        <v>KMX20251011-074</v>
      </c>
      <c r="E120" s="3">
        <v>23000</v>
      </c>
      <c r="F120" s="3" t="str">
        <v>武汉浦发</v>
      </c>
      <c r="G120" s="3" t="str">
        <v>银行承兑汇票（新）</v>
      </c>
      <c r="H120" s="3">
        <v>0</v>
      </c>
      <c r="I120" s="3" t="str">
        <v>湖北双环热电分厂5#锅炉磨机对开齿轮更换施工施工合同</v>
      </c>
      <c r="J120" s="3">
        <v>0</v>
      </c>
    </row>
    <row r="121" spans="1:10">
      <c r="A121" s="3">
        <v>0</v>
      </c>
      <c r="B121" s="4">
        <v>46164</v>
      </c>
      <c r="C121" s="3" t="str">
        <v>辽宁银盛水泥集团有限公司</v>
      </c>
      <c r="D121" s="3" t="str">
        <v>KMX241119-106-XF</v>
      </c>
      <c r="E121" s="3">
        <v>110000</v>
      </c>
      <c r="F121" s="3" t="str">
        <v>武汉浦发</v>
      </c>
      <c r="G121" s="3">
        <v>0</v>
      </c>
      <c r="H121" s="3">
        <v>0</v>
      </c>
      <c r="I121" s="3" t="str">
        <v>轮带拖轮补焊修复</v>
      </c>
      <c r="J121" s="3">
        <v>0</v>
      </c>
    </row>
    <row r="122" spans="1:10">
      <c r="A122" s="3">
        <v>0</v>
      </c>
      <c r="B122" s="4">
        <v>46168</v>
      </c>
      <c r="C122" s="3" t="str">
        <v>福建鼎信实业有限公司</v>
      </c>
      <c r="D122" s="3" t="str">
        <v>KMX2026112-002</v>
      </c>
      <c r="E122" s="3">
        <v>137940</v>
      </c>
      <c r="F122" s="3" t="str">
        <v>武汉华夏</v>
      </c>
      <c r="G122" s="3">
        <v>0</v>
      </c>
      <c r="H122" s="3">
        <v>0</v>
      </c>
      <c r="I122" s="3" t="str">
        <v>福建鼎信实业-AOD摇炉大齿轮磨损修复26-002</v>
      </c>
      <c r="J122" s="3">
        <v>0</v>
      </c>
    </row>
    <row r="123" spans="1:10">
      <c r="A123" s="3">
        <v>0</v>
      </c>
      <c r="B123" s="4">
        <v>46168</v>
      </c>
      <c r="C123" s="3" t="str">
        <v>福建鼎信实业有限公司</v>
      </c>
      <c r="D123" s="3" t="str">
        <v>KMX2026116-003</v>
      </c>
      <c r="E123" s="3">
        <v>44042</v>
      </c>
      <c r="F123" s="3" t="str">
        <v>武汉华夏</v>
      </c>
      <c r="G123" s="3">
        <v>0</v>
      </c>
      <c r="H123" s="3">
        <v>0</v>
      </c>
      <c r="I123" s="3" t="str">
        <v>托轮轮带焊补维修</v>
      </c>
      <c r="J123" s="3">
        <v>0</v>
      </c>
    </row>
    <row r="124" spans="1:10">
      <c r="A124" s="3">
        <v>0</v>
      </c>
      <c r="B124" s="4">
        <v>46168</v>
      </c>
      <c r="C124" s="3" t="str">
        <v>河南晋开化工投资控股集团有限责任公司</v>
      </c>
      <c r="D124" s="3" t="str">
        <v>KMX250109-002-XF</v>
      </c>
      <c r="E124" s="3">
        <v>13200</v>
      </c>
      <c r="F124" s="3" t="str">
        <v>武汉浦发</v>
      </c>
      <c r="G124" s="3" t="str">
        <v>银行承兑汇票（新）</v>
      </c>
      <c r="H124" s="3">
        <v>0</v>
      </c>
      <c r="I124" s="3" t="str">
        <v>河南晋开化工投资控股集团有限责任公司二分公司硝铵车间干燥转筒滚圈断裂维修项目</v>
      </c>
      <c r="J124" s="3">
        <v>0</v>
      </c>
    </row>
    <row r="125" spans="1:10">
      <c r="A125" s="3">
        <v>0</v>
      </c>
      <c r="B125" s="4">
        <v>46168</v>
      </c>
      <c r="C125" s="3" t="str">
        <v>海南逸盛石化有限公司</v>
      </c>
      <c r="D125" s="3" t="str">
        <v>KMX220504-185-XF</v>
      </c>
      <c r="E125" s="3">
        <v>12900</v>
      </c>
      <c r="F125" s="3" t="str">
        <v>武汉浦发</v>
      </c>
      <c r="G125" s="3">
        <v>0</v>
      </c>
      <c r="H125" s="3" t="str">
        <v>余永昕</v>
      </c>
      <c r="I125" s="3" t="str">
        <v>干燥机出料端滚圈点蚀剥落掉块修复及在线磨削共2台</v>
      </c>
      <c r="J125" s="3">
        <v>0</v>
      </c>
    </row>
    <row r="126" spans="1:10">
      <c r="A126" s="3">
        <v>0</v>
      </c>
      <c r="B126" s="4">
        <v>46168</v>
      </c>
      <c r="C126" s="3" t="str">
        <v>海南逸盛石化有限公司</v>
      </c>
      <c r="D126" s="3" t="str">
        <v>KMX220527-223-XF</v>
      </c>
      <c r="E126" s="3">
        <v>30000</v>
      </c>
      <c r="F126" s="3" t="str">
        <v>武汉浦发</v>
      </c>
      <c r="G126" s="3">
        <v>0</v>
      </c>
      <c r="H126" s="3" t="str">
        <v>余永昕</v>
      </c>
      <c r="I126" s="3" t="str">
        <v>干燥机滚圈贯穿性裂纹修复1条；PTA 干燥机出料端滚圈修复</v>
      </c>
      <c r="J126" s="3">
        <v>0</v>
      </c>
    </row>
    <row r="127" spans="1:10">
      <c r="A127" s="3">
        <v>0</v>
      </c>
      <c r="B127" s="4">
        <v>46168</v>
      </c>
      <c r="C127" s="3" t="str">
        <v>海南逸盛石化有限公司</v>
      </c>
      <c r="D127" s="3" t="str">
        <v>KMX221213-437-XF</v>
      </c>
      <c r="E127" s="3">
        <v>8000</v>
      </c>
      <c r="F127" s="3" t="str">
        <v>武汉浦发</v>
      </c>
      <c r="G127" s="3">
        <v>0</v>
      </c>
      <c r="H127" s="3" t="str">
        <v>余永昕</v>
      </c>
      <c r="I127" s="3" t="str">
        <v>精制车间滚圈裂纹修复4条，滚圈磨削1条</v>
      </c>
      <c r="J127" s="3">
        <v>0</v>
      </c>
    </row>
    <row r="128" spans="1:10">
      <c r="A128" s="3">
        <v>0</v>
      </c>
      <c r="B128" s="4">
        <v>46168</v>
      </c>
      <c r="C128" s="3" t="str">
        <v>海南逸盛石化有限公司</v>
      </c>
      <c r="D128" s="3" t="str">
        <v>KMX231208-268-XF</v>
      </c>
      <c r="E128" s="3">
        <v>5900</v>
      </c>
      <c r="F128" s="3" t="str">
        <v>武汉浦发</v>
      </c>
      <c r="G128" s="3">
        <v>0</v>
      </c>
      <c r="H128" s="3" t="str">
        <v>余永昕</v>
      </c>
      <c r="I128" s="3" t="str">
        <v>干燥机1条滚圈堆焊+磨削，2条滚圈磨削</v>
      </c>
      <c r="J128" s="3">
        <v>0</v>
      </c>
    </row>
    <row r="129" spans="1:10">
      <c r="A129" s="3">
        <v>0</v>
      </c>
      <c r="B129" s="4">
        <v>46170</v>
      </c>
      <c r="C129" s="3" t="str">
        <v>新疆宜化化工有限公司</v>
      </c>
      <c r="D129" s="3" t="str">
        <v>KMX2025121-080</v>
      </c>
      <c r="E129" s="3">
        <v>483000</v>
      </c>
      <c r="F129" s="3" t="str">
        <v>武汉浦发</v>
      </c>
      <c r="G129" s="3" t="str">
        <v>银行承兑汇票（新）</v>
      </c>
      <c r="H129" s="3">
        <v>0</v>
      </c>
      <c r="I129" s="3" t="str">
        <v>新建宜化4#5#电石炉技改项目安装工程</v>
      </c>
      <c r="J129" s="3">
        <v>0</v>
      </c>
    </row>
    <row r="130" spans="1:10">
      <c r="A130" s="3">
        <v>0</v>
      </c>
      <c r="B130" s="4">
        <v>46171</v>
      </c>
      <c r="C130" s="3" t="str">
        <v>新疆宜化化工有限公司</v>
      </c>
      <c r="D130" s="3" t="str">
        <v>KMX2025121-080</v>
      </c>
      <c r="E130" s="3">
        <v>200</v>
      </c>
      <c r="F130" s="3" t="str">
        <v>武汉浦发</v>
      </c>
      <c r="G130" s="3">
        <v>0</v>
      </c>
      <c r="H130" s="3">
        <v>0</v>
      </c>
      <c r="I130" s="3" t="str">
        <v>新建宜化4#5#电石炉技改项目安装工程</v>
      </c>
      <c r="J130" s="3">
        <v>0</v>
      </c>
    </row>
    <row r="131" spans="1:10">
      <c r="A131" s="3">
        <v>0</v>
      </c>
      <c r="B131" s="4">
        <v>46177</v>
      </c>
      <c r="C131" s="3" t="str">
        <v>黄冈亚东水泥有限公司</v>
      </c>
      <c r="D131" s="3" t="str">
        <v>KMX241223-114-XF</v>
      </c>
      <c r="E131" s="3">
        <v>21470</v>
      </c>
      <c r="F131" s="3" t="str">
        <v>武汉华夏</v>
      </c>
      <c r="G131" s="3">
        <v>0</v>
      </c>
      <c r="H131" s="3">
        <v>0</v>
      </c>
      <c r="I131" s="3" t="str">
        <v>TG-23079 窑壳切换等工作</v>
      </c>
      <c r="J131" s="3">
        <v>0</v>
      </c>
    </row>
    <row r="132" spans="1:10">
      <c r="A132" s="3">
        <v>0</v>
      </c>
      <c r="B132" s="4">
        <v>46184</v>
      </c>
      <c r="C132" s="3" t="str">
        <v>江西亚东水泥有限公司</v>
      </c>
      <c r="D132" s="3" t="str">
        <v>KMX240430-060-XF</v>
      </c>
      <c r="E132" s="3">
        <v>3250</v>
      </c>
      <c r="F132" s="3" t="str">
        <v>武汉华夏</v>
      </c>
      <c r="G132" s="3">
        <v>0</v>
      </c>
      <c r="H132" s="3">
        <v>0</v>
      </c>
      <c r="I132" s="3" t="str">
        <v>辊压机主轴返厂修复
</v>
      </c>
      <c r="J132" s="3">
        <v>0</v>
      </c>
    </row>
    <row r="133" spans="1:10">
      <c r="A133" s="3">
        <v>0</v>
      </c>
      <c r="B133" s="4">
        <v>46184</v>
      </c>
      <c r="C133" s="3" t="str">
        <v>贵州黔西中水发电有限公司</v>
      </c>
      <c r="D133" s="3" t="str">
        <v>KMX210810-310-XF</v>
      </c>
      <c r="E133" s="3">
        <v>24000</v>
      </c>
      <c r="F133" s="3" t="str">
        <v>武汉浦发</v>
      </c>
      <c r="G133" s="3">
        <v>0</v>
      </c>
      <c r="H133" s="3">
        <v>0</v>
      </c>
      <c r="I133" s="3" t="str">
        <v>2、3号炉磨煤机大齿轮断齿修复</v>
      </c>
      <c r="J133" s="3">
        <v>0</v>
      </c>
    </row>
    <row r="134" spans="1:10">
      <c r="A134" s="3">
        <v>0</v>
      </c>
      <c r="B134" s="4">
        <v>46184</v>
      </c>
      <c r="C134" s="3" t="str">
        <v>贵州黔西中水发电有限公司</v>
      </c>
      <c r="D134" s="3" t="str">
        <v>KMX220401-157-XF</v>
      </c>
      <c r="E134" s="3">
        <v>25600</v>
      </c>
      <c r="F134" s="3" t="str">
        <v>武汉浦发</v>
      </c>
      <c r="G134" s="3">
        <v>0</v>
      </c>
      <c r="H134" s="3">
        <v>0</v>
      </c>
      <c r="I134" s="3" t="str">
        <v>磨煤机大齿轮断齿修复，磨煤机大齿轮轮毂裂纹修复</v>
      </c>
      <c r="J134" s="3">
        <v>0</v>
      </c>
    </row>
    <row r="135" spans="1:10">
      <c r="A135" s="3">
        <v>0</v>
      </c>
      <c r="B135" s="4">
        <v>46184</v>
      </c>
      <c r="C135" s="3" t="str">
        <v>贵州黔西中水发电有限公司</v>
      </c>
      <c r="D135" s="3" t="str">
        <v>KMX230915-225-XF</v>
      </c>
      <c r="E135" s="3">
        <v>55800</v>
      </c>
      <c r="F135" s="3" t="str">
        <v>武汉浦发</v>
      </c>
      <c r="G135" s="3">
        <v>0</v>
      </c>
      <c r="H135" s="3">
        <v>0</v>
      </c>
      <c r="I135" s="3" t="str">
        <v>2023-2024年度1-4号炉磨煤机大齿轮修复</v>
      </c>
      <c r="J135" s="3">
        <v>0</v>
      </c>
    </row>
    <row r="136" spans="1:10">
      <c r="A136" s="3">
        <v>0</v>
      </c>
      <c r="B136" s="4">
        <v>46184</v>
      </c>
      <c r="C136" s="3" t="str">
        <v>贵州黔西中水发电有限公司</v>
      </c>
      <c r="D136" s="3" t="str">
        <v>KMX230915-225-XF</v>
      </c>
      <c r="E136" s="3">
        <v>69750</v>
      </c>
      <c r="F136" s="3" t="str">
        <v>武汉浦发</v>
      </c>
      <c r="G136" s="3">
        <v>0</v>
      </c>
      <c r="H136" s="3">
        <v>0</v>
      </c>
      <c r="I136" s="3" t="str">
        <v>2023-2024年度1-4号炉磨煤机大齿轮修复</v>
      </c>
      <c r="J136" s="3">
        <v>0</v>
      </c>
    </row>
    <row r="137" spans="1:10">
      <c r="A137" s="3">
        <v>0</v>
      </c>
      <c r="B137" s="4">
        <v>46191</v>
      </c>
      <c r="C137" s="3" t="str">
        <v>联峰钢铁（张家港）有限公司（江苏永钢）</v>
      </c>
      <c r="D137" s="3" t="str">
        <v>KMX230609-156-XF</v>
      </c>
      <c r="E137" s="3">
        <v>21800</v>
      </c>
      <c r="F137" s="3" t="str">
        <v>武汉浦发</v>
      </c>
      <c r="G137" s="3" t="str">
        <v>银行承兑汇票（新）</v>
      </c>
      <c r="H137" s="3">
        <v>0</v>
      </c>
      <c r="I137" s="3" t="str">
        <v>液压挡轮装置总成离线修复；托轮轴承组总成离线修复</v>
      </c>
      <c r="J137" s="3">
        <v>0</v>
      </c>
    </row>
    <row r="138" spans="1:10">
      <c r="A138" s="3">
        <v>0</v>
      </c>
      <c r="B138" s="4">
        <v>46191</v>
      </c>
      <c r="C138" s="3" t="str">
        <v>北京金隅琉水环保科技有限公司</v>
      </c>
      <c r="D138" s="3" t="str">
        <v>KMX220510-190-XF</v>
      </c>
      <c r="E138" s="3">
        <v>24000</v>
      </c>
      <c r="F138" s="3" t="str">
        <v>湖北开明工行</v>
      </c>
      <c r="G138" s="3">
        <v>0</v>
      </c>
      <c r="H138" s="3">
        <v>0</v>
      </c>
      <c r="I138" s="3" t="str">
        <v>二线窑2500T/D回转窑一档西托轮更换（含托轮瓦刮研2片），一二档轮带档铁和支撑单板更换及轮带复位，三档更换部分支撑垫板</v>
      </c>
      <c r="J138" s="3">
        <v>0</v>
      </c>
    </row>
    <row r="139" spans="1:10">
      <c r="A139" s="3">
        <v>0</v>
      </c>
      <c r="B139" s="4">
        <v>46198</v>
      </c>
      <c r="C139" s="3" t="str">
        <v>新疆宜化化工有限公司</v>
      </c>
      <c r="D139" s="3" t="str">
        <v>KMX2025121-080</v>
      </c>
      <c r="E139" s="3">
        <v>270676</v>
      </c>
      <c r="F139" s="3" t="str">
        <v>武汉浦发</v>
      </c>
      <c r="G139" s="3" t="str">
        <v>银行承兑汇票（新）</v>
      </c>
      <c r="H139" s="3">
        <v>0</v>
      </c>
      <c r="I139" s="3" t="str">
        <v>新建宜化4#5#电石炉技改项目安装工程</v>
      </c>
      <c r="J139" s="3">
        <v>0</v>
      </c>
    </row>
    <row r="140" spans="1:10">
      <c r="A140" s="3">
        <v>0</v>
      </c>
      <c r="B140" s="4">
        <v>46198</v>
      </c>
      <c r="C140" s="3" t="str">
        <v>新疆宜化化工有限公司</v>
      </c>
      <c r="D140" s="3" t="str">
        <v>KMX2025121-080</v>
      </c>
      <c r="E140" s="3">
        <v>208084.39</v>
      </c>
      <c r="F140" s="3" t="str">
        <v>武汉浦发</v>
      </c>
      <c r="G140" s="3" t="str">
        <v>银行承兑汇票（新）</v>
      </c>
      <c r="H140" s="3">
        <v>0</v>
      </c>
      <c r="I140" s="3" t="str">
        <v>新建宜化4#5#电石炉技改项目安装工程</v>
      </c>
      <c r="J140" s="3">
        <v>0</v>
      </c>
    </row>
    <row r="141" spans="1:10">
      <c r="A141" s="3">
        <v>0</v>
      </c>
      <c r="B141" s="4">
        <v>46198</v>
      </c>
      <c r="C141" s="3" t="str">
        <v>新疆宜化化工有限公司</v>
      </c>
      <c r="D141" s="3" t="str">
        <v>KMX2025121-080</v>
      </c>
      <c r="E141" s="3">
        <v>100000</v>
      </c>
      <c r="F141" s="3" t="str">
        <v>武汉浦发</v>
      </c>
      <c r="G141" s="3" t="str">
        <v>银行承兑汇票（新）</v>
      </c>
      <c r="H141" s="3">
        <v>0</v>
      </c>
      <c r="I141" s="3" t="str">
        <v>新建宜化4#5#电石炉技改项目安装工程</v>
      </c>
      <c r="J141" s="3">
        <v>0</v>
      </c>
    </row>
    <row r="142" spans="1:10">
      <c r="A142" s="3">
        <v>0</v>
      </c>
      <c r="B142" s="4">
        <v>46198</v>
      </c>
      <c r="C142" s="3" t="str">
        <v>新疆宜化化工有限公司</v>
      </c>
      <c r="D142" s="3" t="str">
        <v>KMX2025121-080</v>
      </c>
      <c r="E142" s="3">
        <v>239.61</v>
      </c>
      <c r="F142" s="3" t="str">
        <v>武汉浦发</v>
      </c>
      <c r="G142" s="3">
        <v>0</v>
      </c>
      <c r="H142" s="3">
        <v>0</v>
      </c>
      <c r="I142" s="3" t="str">
        <v>新建宜化4#5#电石炉技改项目安装工程</v>
      </c>
      <c r="J142" s="3">
        <v>0</v>
      </c>
    </row>
    <row r="143" spans="1:10">
      <c r="A143" s="3">
        <v>0</v>
      </c>
      <c r="B143" s="4">
        <v>46198</v>
      </c>
      <c r="C143" s="3" t="str">
        <v>湖北双环科技股份有限公司</v>
      </c>
      <c r="D143" s="3" t="str">
        <v>KMX250806 -065</v>
      </c>
      <c r="E143" s="3">
        <v>170000</v>
      </c>
      <c r="F143" s="3" t="str">
        <v>武汉浦发</v>
      </c>
      <c r="G143" s="3" t="str">
        <v>银行承兑汇票（新）</v>
      </c>
      <c r="H143" s="3">
        <v>0</v>
      </c>
      <c r="I143" s="3" t="str">
        <v>湖北双环零星维修项目施工合同（2025）</v>
      </c>
      <c r="J143" s="3">
        <v>0</v>
      </c>
    </row>
    <row r="144" spans="1:10">
      <c r="A144" s="3">
        <v>0</v>
      </c>
      <c r="B144" s="4">
        <v>46199</v>
      </c>
      <c r="C144" s="3" t="str">
        <v>大冶市成美贸易有限公司</v>
      </c>
      <c r="D144" s="3" t="str">
        <v>KMX230221-057-XF</v>
      </c>
      <c r="E144" s="3">
        <v>28000</v>
      </c>
      <c r="F144" s="3" t="str">
        <v>武汉浦发</v>
      </c>
      <c r="G144" s="3">
        <v>0</v>
      </c>
      <c r="H144" s="3">
        <v>0</v>
      </c>
      <c r="I144" s="3" t="str">
        <v>磨机滑履1台拆装检查、清理、滑履瓦刮研2片</v>
      </c>
      <c r="J144" s="3">
        <v>0</v>
      </c>
    </row>
    <row r="145" spans="1:10">
      <c r="A145" s="3">
        <v>0</v>
      </c>
      <c r="B145" s="4">
        <v>46202</v>
      </c>
      <c r="C145" s="3" t="str">
        <v>尼勒克县瑞祥焦化有限责任公司（属伊伊犁钢铁分公司）</v>
      </c>
      <c r="D145" s="3" t="str">
        <v>KMX240105-007-XF</v>
      </c>
      <c r="E145" s="3">
        <v>194678.2</v>
      </c>
      <c r="F145" s="3" t="str">
        <v>武汉浦发</v>
      </c>
      <c r="G145" s="3" t="str">
        <v>银行承兑汇票（新）</v>
      </c>
      <c r="H145" s="3">
        <v>0</v>
      </c>
      <c r="I145" s="3" t="str">
        <v>瑞祥焦化煤气发电1号炉空预器抢修项目</v>
      </c>
      <c r="J145" s="3">
        <v>0</v>
      </c>
    </row>
    <row r="146" spans="1:10">
      <c r="A146" s="3">
        <v>0</v>
      </c>
      <c r="B146" s="4">
        <v>46203</v>
      </c>
      <c r="C146" s="3" t="str">
        <v>江西贵溪南方水泥有限公司</v>
      </c>
      <c r="D146" s="3" t="str">
        <v>KMX231023-240-XF</v>
      </c>
      <c r="E146" s="3">
        <v>10244</v>
      </c>
      <c r="F146" s="3" t="str">
        <v>武汉农商行</v>
      </c>
      <c r="G146" s="3">
        <v>0</v>
      </c>
      <c r="H146" s="3">
        <v>0</v>
      </c>
      <c r="I146" s="3" t="str">
        <v>辊压机轴磨损修复（前直径450mm，后直径460mm，轴长前、后各200mm）</v>
      </c>
      <c r="J146" s="3">
        <v>0</v>
      </c>
    </row>
    <row r="147" spans="1:10">
      <c r="A147" s="3" t="e">
        <v>#N/A</v>
      </c>
      <c r="B147" s="4" t="e">
        <v>#N/A</v>
      </c>
      <c r="C147" s="3" t="e">
        <v>#N/A</v>
      </c>
      <c r="D147" s="3" t="e">
        <v>#N/A</v>
      </c>
      <c r="E147" s="3" t="e">
        <v>#N/A</v>
      </c>
      <c r="F147" s="3" t="e">
        <v>#N/A</v>
      </c>
      <c r="G147" s="3" t="e">
        <v>#N/A</v>
      </c>
      <c r="H147" s="3" t="e">
        <v>#N/A</v>
      </c>
      <c r="I147" s="3" t="e">
        <v>#N/A</v>
      </c>
      <c r="J147" s="3" t="e">
        <v>#N/A</v>
      </c>
    </row>
    <row r="148" spans="1:10">
      <c r="A148" s="3" t="e">
        <v>#N/A</v>
      </c>
      <c r="B148" s="4" t="e">
        <v>#N/A</v>
      </c>
      <c r="C148" s="3" t="e">
        <v>#N/A</v>
      </c>
      <c r="D148" s="3" t="e">
        <v>#N/A</v>
      </c>
      <c r="E148" s="3" t="e">
        <v>#N/A</v>
      </c>
      <c r="F148" s="3" t="e">
        <v>#N/A</v>
      </c>
      <c r="G148" s="3" t="e">
        <v>#N/A</v>
      </c>
      <c r="H148" s="3" t="e">
        <v>#N/A</v>
      </c>
      <c r="I148" s="3" t="e">
        <v>#N/A</v>
      </c>
      <c r="J148" s="3" t="e">
        <v>#N/A</v>
      </c>
    </row>
    <row r="149" spans="1:10">
      <c r="A149" s="3" t="e">
        <v>#N/A</v>
      </c>
      <c r="B149" s="4" t="e">
        <v>#N/A</v>
      </c>
      <c r="C149" s="3" t="e">
        <v>#N/A</v>
      </c>
      <c r="D149" s="3" t="e">
        <v>#N/A</v>
      </c>
      <c r="E149" s="3" t="e">
        <v>#N/A</v>
      </c>
      <c r="F149" s="3" t="e">
        <v>#N/A</v>
      </c>
      <c r="G149" s="3" t="e">
        <v>#N/A</v>
      </c>
      <c r="H149" s="3" t="e">
        <v>#N/A</v>
      </c>
      <c r="I149" s="3" t="e">
        <v>#N/A</v>
      </c>
      <c r="J149" s="3" t="e">
        <v>#N/A</v>
      </c>
    </row>
    <row r="150" spans="1:10">
      <c r="A150" s="3" t="e">
        <v>#N/A</v>
      </c>
      <c r="B150" s="4" t="e">
        <v>#N/A</v>
      </c>
      <c r="C150" s="3" t="e">
        <v>#N/A</v>
      </c>
      <c r="D150" s="3" t="e">
        <v>#N/A</v>
      </c>
      <c r="E150" s="3" t="e">
        <v>#N/A</v>
      </c>
      <c r="F150" s="3" t="e">
        <v>#N/A</v>
      </c>
      <c r="G150" s="3" t="e">
        <v>#N/A</v>
      </c>
      <c r="H150" s="3" t="e">
        <v>#N/A</v>
      </c>
      <c r="I150" s="3" t="e">
        <v>#N/A</v>
      </c>
      <c r="J150" s="3" t="e">
        <v>#N/A</v>
      </c>
    </row>
    <row r="151" spans="1:10">
      <c r="A151" s="3" t="e">
        <v>#N/A</v>
      </c>
      <c r="B151" s="4" t="e">
        <v>#N/A</v>
      </c>
      <c r="C151" s="3" t="e">
        <v>#N/A</v>
      </c>
      <c r="D151" s="3" t="e">
        <v>#N/A</v>
      </c>
      <c r="E151" s="3" t="e">
        <v>#N/A</v>
      </c>
      <c r="F151" s="3" t="e">
        <v>#N/A</v>
      </c>
      <c r="G151" s="3" t="e">
        <v>#N/A</v>
      </c>
      <c r="H151" s="3" t="e">
        <v>#N/A</v>
      </c>
      <c r="I151" s="3" t="e">
        <v>#N/A</v>
      </c>
      <c r="J151" s="3" t="e">
        <v>#N/A</v>
      </c>
    </row>
    <row r="152" spans="1:10">
      <c r="A152" s="3" t="e">
        <v>#N/A</v>
      </c>
      <c r="B152" s="4" t="e">
        <v>#N/A</v>
      </c>
      <c r="C152" s="3" t="e">
        <v>#N/A</v>
      </c>
      <c r="D152" s="3" t="e">
        <v>#N/A</v>
      </c>
      <c r="E152" s="3" t="e">
        <v>#N/A</v>
      </c>
      <c r="F152" s="3" t="e">
        <v>#N/A</v>
      </c>
      <c r="G152" s="3" t="e">
        <v>#N/A</v>
      </c>
      <c r="H152" s="3" t="e">
        <v>#N/A</v>
      </c>
      <c r="I152" s="3" t="e">
        <v>#N/A</v>
      </c>
      <c r="J152" s="3" t="e">
        <v>#N/A</v>
      </c>
    </row>
    <row r="153" spans="1:10">
      <c r="A153" s="3" t="e">
        <v>#N/A</v>
      </c>
      <c r="B153" s="4" t="e">
        <v>#N/A</v>
      </c>
      <c r="C153" s="3" t="e">
        <v>#N/A</v>
      </c>
      <c r="D153" s="3" t="e">
        <v>#N/A</v>
      </c>
      <c r="E153" s="3" t="e">
        <v>#N/A</v>
      </c>
      <c r="F153" s="3" t="e">
        <v>#N/A</v>
      </c>
      <c r="G153" s="3" t="e">
        <v>#N/A</v>
      </c>
      <c r="H153" s="3" t="e">
        <v>#N/A</v>
      </c>
      <c r="I153" s="3" t="e">
        <v>#N/A</v>
      </c>
      <c r="J153" s="3" t="e">
        <v>#N/A</v>
      </c>
    </row>
    <row r="154" spans="1:10">
      <c r="A154" s="3" t="e">
        <v>#N/A</v>
      </c>
      <c r="B154" s="4" t="e">
        <v>#N/A</v>
      </c>
      <c r="C154" s="3" t="e">
        <v>#N/A</v>
      </c>
      <c r="D154" s="3" t="e">
        <v>#N/A</v>
      </c>
      <c r="E154" s="3" t="e">
        <v>#N/A</v>
      </c>
      <c r="F154" s="3" t="e">
        <v>#N/A</v>
      </c>
      <c r="G154" s="3" t="e">
        <v>#N/A</v>
      </c>
      <c r="H154" s="3" t="e">
        <v>#N/A</v>
      </c>
      <c r="I154" s="3" t="e">
        <v>#N/A</v>
      </c>
      <c r="J154" s="3" t="e">
        <v>#N/A</v>
      </c>
    </row>
    <row r="155" spans="1:10">
      <c r="A155" s="3" t="e">
        <v>#N/A</v>
      </c>
      <c r="B155" s="4" t="e">
        <v>#N/A</v>
      </c>
      <c r="C155" s="3" t="e">
        <v>#N/A</v>
      </c>
      <c r="D155" s="3" t="e">
        <v>#N/A</v>
      </c>
      <c r="E155" s="3" t="e">
        <v>#N/A</v>
      </c>
      <c r="F155" s="3" t="e">
        <v>#N/A</v>
      </c>
      <c r="G155" s="3" t="e">
        <v>#N/A</v>
      </c>
      <c r="H155" s="3" t="e">
        <v>#N/A</v>
      </c>
      <c r="I155" s="3" t="e">
        <v>#N/A</v>
      </c>
      <c r="J155" s="3" t="e">
        <v>#N/A</v>
      </c>
    </row>
    <row r="156" spans="1:10">
      <c r="A156" s="3" t="e">
        <v>#N/A</v>
      </c>
      <c r="B156" s="4" t="e">
        <v>#N/A</v>
      </c>
      <c r="C156" s="3" t="e">
        <v>#N/A</v>
      </c>
      <c r="D156" s="3" t="e">
        <v>#N/A</v>
      </c>
      <c r="E156" s="3" t="e">
        <v>#N/A</v>
      </c>
      <c r="F156" s="3" t="e">
        <v>#N/A</v>
      </c>
      <c r="G156" s="3" t="e">
        <v>#N/A</v>
      </c>
      <c r="H156" s="3" t="e">
        <v>#N/A</v>
      </c>
      <c r="I156" s="3" t="e">
        <v>#N/A</v>
      </c>
      <c r="J156" s="3" t="e">
        <v>#N/A</v>
      </c>
    </row>
    <row r="157" spans="1:10">
      <c r="A157" s="3" t="e">
        <v>#N/A</v>
      </c>
      <c r="B157" s="4" t="e">
        <v>#N/A</v>
      </c>
      <c r="C157" s="3" t="e">
        <v>#N/A</v>
      </c>
      <c r="D157" s="3" t="e">
        <v>#N/A</v>
      </c>
      <c r="E157" s="3" t="e">
        <v>#N/A</v>
      </c>
      <c r="F157" s="3" t="e">
        <v>#N/A</v>
      </c>
      <c r="G157" s="3" t="e">
        <v>#N/A</v>
      </c>
      <c r="H157" s="3" t="e">
        <v>#N/A</v>
      </c>
      <c r="I157" s="3" t="e">
        <v>#N/A</v>
      </c>
      <c r="J157" s="3" t="e">
        <v>#N/A</v>
      </c>
    </row>
    <row r="158" spans="1:10">
      <c r="A158" s="3" t="e">
        <v>#N/A</v>
      </c>
      <c r="B158" s="4" t="e">
        <v>#N/A</v>
      </c>
      <c r="C158" s="3" t="e">
        <v>#N/A</v>
      </c>
      <c r="D158" s="3" t="e">
        <v>#N/A</v>
      </c>
      <c r="E158" s="3" t="e">
        <v>#N/A</v>
      </c>
      <c r="F158" s="3" t="e">
        <v>#N/A</v>
      </c>
      <c r="G158" s="3" t="e">
        <v>#N/A</v>
      </c>
      <c r="H158" s="3" t="e">
        <v>#N/A</v>
      </c>
      <c r="I158" s="3" t="e">
        <v>#N/A</v>
      </c>
      <c r="J158" s="3" t="e">
        <v>#N/A</v>
      </c>
    </row>
    <row r="159" spans="1:10">
      <c r="A159" s="3" t="e">
        <v>#N/A</v>
      </c>
      <c r="B159" s="4" t="e">
        <v>#N/A</v>
      </c>
      <c r="C159" s="3" t="e">
        <v>#N/A</v>
      </c>
      <c r="D159" s="3" t="e">
        <v>#N/A</v>
      </c>
      <c r="E159" s="3" t="e">
        <v>#N/A</v>
      </c>
      <c r="F159" s="3" t="e">
        <v>#N/A</v>
      </c>
      <c r="G159" s="3" t="e">
        <v>#N/A</v>
      </c>
      <c r="H159" s="3" t="e">
        <v>#N/A</v>
      </c>
      <c r="I159" s="3" t="e">
        <v>#N/A</v>
      </c>
      <c r="J159" s="3" t="e">
        <v>#N/A</v>
      </c>
    </row>
    <row r="160" spans="1:10">
      <c r="A160" s="3" t="e">
        <v>#N/A</v>
      </c>
      <c r="B160" s="4" t="e">
        <v>#N/A</v>
      </c>
      <c r="C160" s="3" t="e">
        <v>#N/A</v>
      </c>
      <c r="D160" s="3" t="e">
        <v>#N/A</v>
      </c>
      <c r="E160" s="3" t="e">
        <v>#N/A</v>
      </c>
      <c r="F160" s="3" t="e">
        <v>#N/A</v>
      </c>
      <c r="G160" s="3" t="e">
        <v>#N/A</v>
      </c>
      <c r="H160" s="3" t="e">
        <v>#N/A</v>
      </c>
      <c r="I160" s="3" t="e">
        <v>#N/A</v>
      </c>
      <c r="J160" s="3" t="e">
        <v>#N/A</v>
      </c>
    </row>
    <row r="161" spans="1:10">
      <c r="A161" s="3" t="e">
        <v>#N/A</v>
      </c>
      <c r="B161" s="4" t="e">
        <v>#N/A</v>
      </c>
      <c r="C161" s="3" t="e">
        <v>#N/A</v>
      </c>
      <c r="D161" s="3" t="e">
        <v>#N/A</v>
      </c>
      <c r="E161" s="3" t="e">
        <v>#N/A</v>
      </c>
      <c r="F161" s="3" t="e">
        <v>#N/A</v>
      </c>
      <c r="G161" s="3" t="e">
        <v>#N/A</v>
      </c>
      <c r="H161" s="3" t="e">
        <v>#N/A</v>
      </c>
      <c r="I161" s="3" t="e">
        <v>#N/A</v>
      </c>
      <c r="J161" s="3" t="e">
        <v>#N/A</v>
      </c>
    </row>
    <row r="162" spans="1:10">
      <c r="A162" s="3" t="e">
        <v>#N/A</v>
      </c>
      <c r="B162" s="4" t="e">
        <v>#N/A</v>
      </c>
      <c r="C162" s="3" t="e">
        <v>#N/A</v>
      </c>
      <c r="D162" s="3" t="e">
        <v>#N/A</v>
      </c>
      <c r="E162" s="3" t="e">
        <v>#N/A</v>
      </c>
      <c r="F162" s="3" t="e">
        <v>#N/A</v>
      </c>
      <c r="G162" s="3" t="e">
        <v>#N/A</v>
      </c>
      <c r="H162" s="3" t="e">
        <v>#N/A</v>
      </c>
      <c r="I162" s="3" t="e">
        <v>#N/A</v>
      </c>
      <c r="J162" s="3" t="e">
        <v>#N/A</v>
      </c>
    </row>
    <row r="163" spans="1:10">
      <c r="A163" s="3" t="e">
        <v>#N/A</v>
      </c>
      <c r="B163" s="4" t="e">
        <v>#N/A</v>
      </c>
      <c r="C163" s="3" t="e">
        <v>#N/A</v>
      </c>
      <c r="D163" s="3" t="e">
        <v>#N/A</v>
      </c>
      <c r="E163" s="3" t="e">
        <v>#N/A</v>
      </c>
      <c r="F163" s="3" t="e">
        <v>#N/A</v>
      </c>
      <c r="G163" s="3" t="e">
        <v>#N/A</v>
      </c>
      <c r="H163" s="3" t="e">
        <v>#N/A</v>
      </c>
      <c r="I163" s="3" t="e">
        <v>#N/A</v>
      </c>
      <c r="J163" s="3" t="e">
        <v>#N/A</v>
      </c>
    </row>
    <row r="164" spans="1:10">
      <c r="A164" s="3" t="e">
        <v>#N/A</v>
      </c>
      <c r="B164" s="4" t="e">
        <v>#N/A</v>
      </c>
      <c r="C164" s="3" t="e">
        <v>#N/A</v>
      </c>
      <c r="D164" s="3" t="e">
        <v>#N/A</v>
      </c>
      <c r="E164" s="3" t="e">
        <v>#N/A</v>
      </c>
      <c r="F164" s="3" t="e">
        <v>#N/A</v>
      </c>
      <c r="G164" s="3" t="e">
        <v>#N/A</v>
      </c>
      <c r="H164" s="3" t="e">
        <v>#N/A</v>
      </c>
      <c r="I164" s="3" t="e">
        <v>#N/A</v>
      </c>
      <c r="J164" s="3" t="e">
        <v>#N/A</v>
      </c>
    </row>
    <row r="165" spans="1:10">
      <c r="A165" s="3" t="e">
        <v>#N/A</v>
      </c>
      <c r="B165" s="4" t="e">
        <v>#N/A</v>
      </c>
      <c r="C165" s="3" t="e">
        <v>#N/A</v>
      </c>
      <c r="D165" s="3" t="e">
        <v>#N/A</v>
      </c>
      <c r="E165" s="3" t="e">
        <v>#N/A</v>
      </c>
      <c r="F165" s="3" t="e">
        <v>#N/A</v>
      </c>
      <c r="G165" s="3" t="e">
        <v>#N/A</v>
      </c>
      <c r="H165" s="3" t="e">
        <v>#N/A</v>
      </c>
      <c r="I165" s="3" t="e">
        <v>#N/A</v>
      </c>
      <c r="J165" s="3" t="e">
        <v>#N/A</v>
      </c>
    </row>
    <row r="166" spans="1:10">
      <c r="A166" s="3" t="e">
        <v>#N/A</v>
      </c>
      <c r="B166" s="4" t="e">
        <v>#N/A</v>
      </c>
      <c r="C166" s="3" t="e">
        <v>#N/A</v>
      </c>
      <c r="D166" s="3" t="e">
        <v>#N/A</v>
      </c>
      <c r="E166" s="3" t="e">
        <v>#N/A</v>
      </c>
      <c r="F166" s="3" t="e">
        <v>#N/A</v>
      </c>
      <c r="G166" s="3" t="e">
        <v>#N/A</v>
      </c>
      <c r="H166" s="3" t="e">
        <v>#N/A</v>
      </c>
      <c r="I166" s="3" t="e">
        <v>#N/A</v>
      </c>
      <c r="J166" s="3" t="e">
        <v>#N/A</v>
      </c>
    </row>
    <row r="167" spans="1:10">
      <c r="A167" s="3" t="e">
        <v>#N/A</v>
      </c>
      <c r="B167" s="4" t="e">
        <v>#N/A</v>
      </c>
      <c r="C167" s="3" t="e">
        <v>#N/A</v>
      </c>
      <c r="D167" s="3" t="e">
        <v>#N/A</v>
      </c>
      <c r="E167" s="3" t="e">
        <v>#N/A</v>
      </c>
      <c r="F167" s="3" t="e">
        <v>#N/A</v>
      </c>
      <c r="G167" s="3" t="e">
        <v>#N/A</v>
      </c>
      <c r="H167" s="3" t="e">
        <v>#N/A</v>
      </c>
      <c r="I167" s="3" t="e">
        <v>#N/A</v>
      </c>
      <c r="J167" s="3" t="e">
        <v>#N/A</v>
      </c>
    </row>
    <row r="168" spans="1:10">
      <c r="A168" s="3" t="e">
        <v>#N/A</v>
      </c>
      <c r="B168" s="4" t="e">
        <v>#N/A</v>
      </c>
      <c r="C168" s="3" t="e">
        <v>#N/A</v>
      </c>
      <c r="D168" s="3" t="e">
        <v>#N/A</v>
      </c>
      <c r="E168" s="3" t="e">
        <v>#N/A</v>
      </c>
      <c r="F168" s="3" t="e">
        <v>#N/A</v>
      </c>
      <c r="G168" s="3" t="e">
        <v>#N/A</v>
      </c>
      <c r="H168" s="3" t="e">
        <v>#N/A</v>
      </c>
      <c r="I168" s="3" t="e">
        <v>#N/A</v>
      </c>
      <c r="J168" s="3" t="e">
        <v>#N/A</v>
      </c>
    </row>
    <row r="169" spans="1:10">
      <c r="A169" s="3" t="e">
        <v>#N/A</v>
      </c>
      <c r="B169" s="4" t="e">
        <v>#N/A</v>
      </c>
      <c r="C169" s="3" t="e">
        <v>#N/A</v>
      </c>
      <c r="D169" s="3" t="e">
        <v>#N/A</v>
      </c>
      <c r="E169" s="3" t="e">
        <v>#N/A</v>
      </c>
      <c r="F169" s="3" t="e">
        <v>#N/A</v>
      </c>
      <c r="G169" s="3" t="e">
        <v>#N/A</v>
      </c>
      <c r="H169" s="3" t="e">
        <v>#N/A</v>
      </c>
      <c r="I169" s="3" t="e">
        <v>#N/A</v>
      </c>
      <c r="J169" s="3" t="e">
        <v>#N/A</v>
      </c>
    </row>
    <row r="170" spans="1:10">
      <c r="A170" s="3" t="e">
        <v>#N/A</v>
      </c>
      <c r="B170" s="4" t="e">
        <v>#N/A</v>
      </c>
      <c r="C170" s="3" t="e">
        <v>#N/A</v>
      </c>
      <c r="D170" s="3" t="e">
        <v>#N/A</v>
      </c>
      <c r="E170" s="3" t="e">
        <v>#N/A</v>
      </c>
      <c r="F170" s="3" t="e">
        <v>#N/A</v>
      </c>
      <c r="G170" s="3" t="e">
        <v>#N/A</v>
      </c>
      <c r="H170" s="3" t="e">
        <v>#N/A</v>
      </c>
      <c r="I170" s="3" t="e">
        <v>#N/A</v>
      </c>
      <c r="J170" s="3" t="e">
        <v>#N/A</v>
      </c>
    </row>
    <row r="171" spans="1:10">
      <c r="A171" s="3" t="e">
        <v>#N/A</v>
      </c>
      <c r="B171" s="4" t="e">
        <v>#N/A</v>
      </c>
      <c r="C171" s="3" t="e">
        <v>#N/A</v>
      </c>
      <c r="D171" s="3" t="e">
        <v>#N/A</v>
      </c>
      <c r="E171" s="3" t="e">
        <v>#N/A</v>
      </c>
      <c r="F171" s="3" t="e">
        <v>#N/A</v>
      </c>
      <c r="G171" s="3" t="e">
        <v>#N/A</v>
      </c>
      <c r="H171" s="3" t="e">
        <v>#N/A</v>
      </c>
      <c r="I171" s="3" t="e">
        <v>#N/A</v>
      </c>
      <c r="J171" s="3" t="e">
        <v>#N/A</v>
      </c>
    </row>
    <row r="172" spans="1:10">
      <c r="A172" s="3" t="e">
        <v>#N/A</v>
      </c>
      <c r="B172" s="4" t="e">
        <v>#N/A</v>
      </c>
      <c r="C172" s="3" t="e">
        <v>#N/A</v>
      </c>
      <c r="D172" s="3" t="e">
        <v>#N/A</v>
      </c>
      <c r="E172" s="3" t="e">
        <v>#N/A</v>
      </c>
      <c r="F172" s="3" t="e">
        <v>#N/A</v>
      </c>
      <c r="G172" s="3" t="e">
        <v>#N/A</v>
      </c>
      <c r="H172" s="3" t="e">
        <v>#N/A</v>
      </c>
      <c r="I172" s="3" t="e">
        <v>#N/A</v>
      </c>
      <c r="J172" s="3" t="e">
        <v>#N/A</v>
      </c>
    </row>
    <row r="173" spans="1:10">
      <c r="A173" s="3" t="e">
        <v>#N/A</v>
      </c>
      <c r="B173" s="4" t="e">
        <v>#N/A</v>
      </c>
      <c r="C173" s="3" t="e">
        <v>#N/A</v>
      </c>
      <c r="D173" s="3" t="e">
        <v>#N/A</v>
      </c>
      <c r="E173" s="3" t="e">
        <v>#N/A</v>
      </c>
      <c r="F173" s="3" t="e">
        <v>#N/A</v>
      </c>
      <c r="G173" s="3" t="e">
        <v>#N/A</v>
      </c>
      <c r="H173" s="3" t="e">
        <v>#N/A</v>
      </c>
      <c r="I173" s="3" t="e">
        <v>#N/A</v>
      </c>
      <c r="J173" s="3" t="e">
        <v>#N/A</v>
      </c>
    </row>
    <row r="174" spans="1:10">
      <c r="A174" s="3" t="e">
        <v>#N/A</v>
      </c>
      <c r="B174" s="4" t="e">
        <v>#N/A</v>
      </c>
      <c r="C174" s="3" t="e">
        <v>#N/A</v>
      </c>
      <c r="D174" s="3" t="e">
        <v>#N/A</v>
      </c>
      <c r="E174" s="3" t="e">
        <v>#N/A</v>
      </c>
      <c r="F174" s="3" t="e">
        <v>#N/A</v>
      </c>
      <c r="G174" s="3" t="e">
        <v>#N/A</v>
      </c>
      <c r="H174" s="3" t="e">
        <v>#N/A</v>
      </c>
      <c r="I174" s="3" t="e">
        <v>#N/A</v>
      </c>
      <c r="J174" s="3" t="e">
        <v>#N/A</v>
      </c>
    </row>
    <row r="175" spans="1:10">
      <c r="A175" s="3" t="e">
        <v>#N/A</v>
      </c>
      <c r="B175" s="4" t="e">
        <v>#N/A</v>
      </c>
      <c r="C175" s="3" t="e">
        <v>#N/A</v>
      </c>
      <c r="D175" s="3" t="e">
        <v>#N/A</v>
      </c>
      <c r="E175" s="3" t="e">
        <v>#N/A</v>
      </c>
      <c r="F175" s="3" t="e">
        <v>#N/A</v>
      </c>
      <c r="G175" s="3" t="e">
        <v>#N/A</v>
      </c>
      <c r="H175" s="3" t="e">
        <v>#N/A</v>
      </c>
      <c r="I175" s="3" t="e">
        <v>#N/A</v>
      </c>
      <c r="J175" s="3" t="e">
        <v>#N/A</v>
      </c>
    </row>
    <row r="176" spans="1:10">
      <c r="A176" s="3" t="e">
        <v>#N/A</v>
      </c>
      <c r="B176" s="4" t="e">
        <v>#N/A</v>
      </c>
      <c r="C176" s="3" t="e">
        <v>#N/A</v>
      </c>
      <c r="D176" s="3" t="e">
        <v>#N/A</v>
      </c>
      <c r="E176" s="3" t="e">
        <v>#N/A</v>
      </c>
      <c r="F176" s="3" t="e">
        <v>#N/A</v>
      </c>
      <c r="G176" s="3" t="e">
        <v>#N/A</v>
      </c>
      <c r="H176" s="3" t="e">
        <v>#N/A</v>
      </c>
      <c r="I176" s="3" t="e">
        <v>#N/A</v>
      </c>
      <c r="J176" s="3" t="e">
        <v>#N/A</v>
      </c>
    </row>
    <row r="177" spans="1:10">
      <c r="A177" s="3" t="e">
        <v>#N/A</v>
      </c>
      <c r="B177" s="4" t="e">
        <v>#N/A</v>
      </c>
      <c r="C177" s="3" t="e">
        <v>#N/A</v>
      </c>
      <c r="D177" s="3" t="e">
        <v>#N/A</v>
      </c>
      <c r="E177" s="3" t="e">
        <v>#N/A</v>
      </c>
      <c r="F177" s="3" t="e">
        <v>#N/A</v>
      </c>
      <c r="G177" s="3" t="e">
        <v>#N/A</v>
      </c>
      <c r="H177" s="3" t="e">
        <v>#N/A</v>
      </c>
      <c r="I177" s="3" t="e">
        <v>#N/A</v>
      </c>
      <c r="J177" s="3" t="e">
        <v>#N/A</v>
      </c>
    </row>
    <row r="178" spans="1:10">
      <c r="A178" s="3" t="e">
        <v>#N/A</v>
      </c>
      <c r="B178" s="4" t="e">
        <v>#N/A</v>
      </c>
      <c r="C178" s="3" t="e">
        <v>#N/A</v>
      </c>
      <c r="D178" s="3" t="e">
        <v>#N/A</v>
      </c>
      <c r="E178" s="3" t="e">
        <v>#N/A</v>
      </c>
      <c r="F178" s="3" t="e">
        <v>#N/A</v>
      </c>
      <c r="G178" s="3" t="e">
        <v>#N/A</v>
      </c>
      <c r="H178" s="3" t="e">
        <v>#N/A</v>
      </c>
      <c r="I178" s="3" t="e">
        <v>#N/A</v>
      </c>
      <c r="J178" s="3" t="e">
        <v>#N/A</v>
      </c>
    </row>
    <row r="179" spans="1:10">
      <c r="A179" s="3" t="e">
        <v>#N/A</v>
      </c>
      <c r="B179" s="4" t="e">
        <v>#N/A</v>
      </c>
      <c r="C179" s="3" t="e">
        <v>#N/A</v>
      </c>
      <c r="D179" s="3" t="e">
        <v>#N/A</v>
      </c>
      <c r="E179" s="3" t="e">
        <v>#N/A</v>
      </c>
      <c r="F179" s="3" t="e">
        <v>#N/A</v>
      </c>
      <c r="G179" s="3" t="e">
        <v>#N/A</v>
      </c>
      <c r="H179" s="3" t="e">
        <v>#N/A</v>
      </c>
      <c r="I179" s="3" t="e">
        <v>#N/A</v>
      </c>
      <c r="J179" s="3" t="e">
        <v>#N/A</v>
      </c>
    </row>
    <row r="180" spans="1:10">
      <c r="A180" s="3" t="e">
        <v>#N/A</v>
      </c>
      <c r="B180" s="4" t="e">
        <v>#N/A</v>
      </c>
      <c r="C180" s="3" t="e">
        <v>#N/A</v>
      </c>
      <c r="D180" s="3" t="e">
        <v>#N/A</v>
      </c>
      <c r="E180" s="3" t="e">
        <v>#N/A</v>
      </c>
      <c r="F180" s="3" t="e">
        <v>#N/A</v>
      </c>
      <c r="G180" s="3" t="e">
        <v>#N/A</v>
      </c>
      <c r="H180" s="3" t="e">
        <v>#N/A</v>
      </c>
      <c r="I180" s="3" t="e">
        <v>#N/A</v>
      </c>
      <c r="J180" s="3" t="e">
        <v>#N/A</v>
      </c>
    </row>
    <row r="181" spans="1:10">
      <c r="A181" s="3" t="e">
        <v>#N/A</v>
      </c>
      <c r="B181" s="4" t="e">
        <v>#N/A</v>
      </c>
      <c r="C181" s="3" t="e">
        <v>#N/A</v>
      </c>
      <c r="D181" s="3" t="e">
        <v>#N/A</v>
      </c>
      <c r="E181" s="3" t="e">
        <v>#N/A</v>
      </c>
      <c r="F181" s="3" t="e">
        <v>#N/A</v>
      </c>
      <c r="G181" s="3" t="e">
        <v>#N/A</v>
      </c>
      <c r="H181" s="3" t="e">
        <v>#N/A</v>
      </c>
      <c r="I181" s="3" t="e">
        <v>#N/A</v>
      </c>
      <c r="J181" s="3" t="e">
        <v>#N/A</v>
      </c>
    </row>
    <row r="182" spans="1:10">
      <c r="A182" s="3" t="e">
        <v>#N/A</v>
      </c>
      <c r="B182" s="4" t="e">
        <v>#N/A</v>
      </c>
      <c r="C182" s="3" t="e">
        <v>#N/A</v>
      </c>
      <c r="D182" s="3" t="e">
        <v>#N/A</v>
      </c>
      <c r="E182" s="3" t="e">
        <v>#N/A</v>
      </c>
      <c r="F182" s="3" t="e">
        <v>#N/A</v>
      </c>
      <c r="G182" s="3" t="e">
        <v>#N/A</v>
      </c>
      <c r="H182" s="3" t="e">
        <v>#N/A</v>
      </c>
      <c r="I182" s="3" t="e">
        <v>#N/A</v>
      </c>
      <c r="J182" s="3" t="e">
        <v>#N/A</v>
      </c>
    </row>
    <row r="183" spans="1:10">
      <c r="A183" s="3" t="e">
        <v>#N/A</v>
      </c>
      <c r="B183" s="4" t="e">
        <v>#N/A</v>
      </c>
      <c r="C183" s="3" t="e">
        <v>#N/A</v>
      </c>
      <c r="D183" s="3" t="e">
        <v>#N/A</v>
      </c>
      <c r="E183" s="3" t="e">
        <v>#N/A</v>
      </c>
      <c r="F183" s="3" t="e">
        <v>#N/A</v>
      </c>
      <c r="G183" s="3" t="e">
        <v>#N/A</v>
      </c>
      <c r="H183" s="3" t="e">
        <v>#N/A</v>
      </c>
      <c r="I183" s="3" t="e">
        <v>#N/A</v>
      </c>
      <c r="J183" s="3" t="e">
        <v>#N/A</v>
      </c>
    </row>
    <row r="184" spans="1:10">
      <c r="A184" s="3" t="e">
        <v>#N/A</v>
      </c>
      <c r="B184" s="4" t="e">
        <v>#N/A</v>
      </c>
      <c r="C184" s="3" t="e">
        <v>#N/A</v>
      </c>
      <c r="D184" s="3" t="e">
        <v>#N/A</v>
      </c>
      <c r="E184" s="3" t="e">
        <v>#N/A</v>
      </c>
      <c r="F184" s="3" t="e">
        <v>#N/A</v>
      </c>
      <c r="G184" s="3" t="e">
        <v>#N/A</v>
      </c>
      <c r="H184" s="3" t="e">
        <v>#N/A</v>
      </c>
      <c r="I184" s="3" t="e">
        <v>#N/A</v>
      </c>
      <c r="J184" s="3" t="e">
        <v>#N/A</v>
      </c>
    </row>
    <row r="185" spans="1:10">
      <c r="A185" s="3" t="e">
        <v>#N/A</v>
      </c>
      <c r="B185" s="4" t="e">
        <v>#N/A</v>
      </c>
      <c r="C185" s="3" t="e">
        <v>#N/A</v>
      </c>
      <c r="D185" s="3" t="e">
        <v>#N/A</v>
      </c>
      <c r="E185" s="3" t="e">
        <v>#N/A</v>
      </c>
      <c r="F185" s="3" t="e">
        <v>#N/A</v>
      </c>
      <c r="G185" s="3" t="e">
        <v>#N/A</v>
      </c>
      <c r="H185" s="3" t="e">
        <v>#N/A</v>
      </c>
      <c r="I185" s="3" t="e">
        <v>#N/A</v>
      </c>
      <c r="J185" s="3" t="e">
        <v>#N/A</v>
      </c>
    </row>
    <row r="186" spans="1:10">
      <c r="A186" s="3" t="e">
        <v>#N/A</v>
      </c>
      <c r="B186" s="4" t="e">
        <v>#N/A</v>
      </c>
      <c r="C186" s="3" t="e">
        <v>#N/A</v>
      </c>
      <c r="D186" s="3" t="e">
        <v>#N/A</v>
      </c>
      <c r="E186" s="3" t="e">
        <v>#N/A</v>
      </c>
      <c r="F186" s="3" t="e">
        <v>#N/A</v>
      </c>
      <c r="G186" s="3" t="e">
        <v>#N/A</v>
      </c>
      <c r="H186" s="3" t="e">
        <v>#N/A</v>
      </c>
      <c r="I186" s="3" t="e">
        <v>#N/A</v>
      </c>
      <c r="J186" s="3" t="e">
        <v>#N/A</v>
      </c>
    </row>
    <row r="187" spans="1:10">
      <c r="A187" s="3" t="e">
        <v>#N/A</v>
      </c>
      <c r="B187" s="4" t="e">
        <v>#N/A</v>
      </c>
      <c r="C187" s="3" t="e">
        <v>#N/A</v>
      </c>
      <c r="D187" s="3" t="e">
        <v>#N/A</v>
      </c>
      <c r="E187" s="3" t="e">
        <v>#N/A</v>
      </c>
      <c r="F187" s="3" t="e">
        <v>#N/A</v>
      </c>
      <c r="G187" s="3" t="e">
        <v>#N/A</v>
      </c>
      <c r="H187" s="3" t="e">
        <v>#N/A</v>
      </c>
      <c r="I187" s="3" t="e">
        <v>#N/A</v>
      </c>
      <c r="J187" s="3" t="e">
        <v>#N/A</v>
      </c>
    </row>
    <row r="188" spans="1:10">
      <c r="A188" s="3" t="e">
        <v>#N/A</v>
      </c>
      <c r="B188" s="4" t="e">
        <v>#N/A</v>
      </c>
      <c r="C188" s="3" t="e">
        <v>#N/A</v>
      </c>
      <c r="D188" s="3" t="e">
        <v>#N/A</v>
      </c>
      <c r="E188" s="3" t="e">
        <v>#N/A</v>
      </c>
      <c r="F188" s="3" t="e">
        <v>#N/A</v>
      </c>
      <c r="G188" s="3" t="e">
        <v>#N/A</v>
      </c>
      <c r="H188" s="3" t="e">
        <v>#N/A</v>
      </c>
      <c r="I188" s="3" t="e">
        <v>#N/A</v>
      </c>
      <c r="J188" s="3" t="e">
        <v>#N/A</v>
      </c>
    </row>
    <row r="189" spans="1:10">
      <c r="A189" s="3" t="e">
        <v>#N/A</v>
      </c>
      <c r="B189" s="4" t="e">
        <v>#N/A</v>
      </c>
      <c r="C189" s="3" t="e">
        <v>#N/A</v>
      </c>
      <c r="D189" s="3" t="e">
        <v>#N/A</v>
      </c>
      <c r="E189" s="3" t="e">
        <v>#N/A</v>
      </c>
      <c r="F189" s="3" t="e">
        <v>#N/A</v>
      </c>
      <c r="G189" s="3" t="e">
        <v>#N/A</v>
      </c>
      <c r="H189" s="3" t="e">
        <v>#N/A</v>
      </c>
      <c r="I189" s="3" t="e">
        <v>#N/A</v>
      </c>
      <c r="J189" s="3" t="e">
        <v>#N/A</v>
      </c>
    </row>
    <row r="190" spans="1:10">
      <c r="A190" s="3" t="e">
        <v>#N/A</v>
      </c>
      <c r="B190" s="4" t="e">
        <v>#N/A</v>
      </c>
      <c r="C190" s="3" t="e">
        <v>#N/A</v>
      </c>
      <c r="D190" s="3" t="e">
        <v>#N/A</v>
      </c>
      <c r="E190" s="3" t="e">
        <v>#N/A</v>
      </c>
      <c r="F190" s="3" t="e">
        <v>#N/A</v>
      </c>
      <c r="G190" s="3" t="e">
        <v>#N/A</v>
      </c>
      <c r="H190" s="3" t="e">
        <v>#N/A</v>
      </c>
      <c r="I190" s="3" t="e">
        <v>#N/A</v>
      </c>
      <c r="J190" s="3" t="e">
        <v>#N/A</v>
      </c>
    </row>
    <row r="191" spans="1:10">
      <c r="A191" s="3" t="e">
        <v>#N/A</v>
      </c>
      <c r="B191" s="4" t="e">
        <v>#N/A</v>
      </c>
      <c r="C191" s="3" t="e">
        <v>#N/A</v>
      </c>
      <c r="D191" s="3" t="e">
        <v>#N/A</v>
      </c>
      <c r="E191" s="3" t="e">
        <v>#N/A</v>
      </c>
      <c r="F191" s="3" t="e">
        <v>#N/A</v>
      </c>
      <c r="G191" s="3" t="e">
        <v>#N/A</v>
      </c>
      <c r="H191" s="3" t="e">
        <v>#N/A</v>
      </c>
      <c r="I191" s="3" t="e">
        <v>#N/A</v>
      </c>
      <c r="J191" s="3" t="e">
        <v>#N/A</v>
      </c>
    </row>
    <row r="192" spans="1:10">
      <c r="A192" s="3" t="e">
        <v>#N/A</v>
      </c>
      <c r="B192" s="4" t="e">
        <v>#N/A</v>
      </c>
      <c r="C192" s="3" t="e">
        <v>#N/A</v>
      </c>
      <c r="D192" s="3" t="e">
        <v>#N/A</v>
      </c>
      <c r="E192" s="3" t="e">
        <v>#N/A</v>
      </c>
      <c r="F192" s="3" t="e">
        <v>#N/A</v>
      </c>
      <c r="G192" s="3" t="e">
        <v>#N/A</v>
      </c>
      <c r="H192" s="3" t="e">
        <v>#N/A</v>
      </c>
      <c r="I192" s="3" t="e">
        <v>#N/A</v>
      </c>
      <c r="J192" s="3" t="e">
        <v>#N/A</v>
      </c>
    </row>
    <row r="193" spans="1:10">
      <c r="A193" s="3" t="e">
        <v>#N/A</v>
      </c>
      <c r="B193" s="4" t="e">
        <v>#N/A</v>
      </c>
      <c r="C193" s="3" t="e">
        <v>#N/A</v>
      </c>
      <c r="D193" s="3" t="e">
        <v>#N/A</v>
      </c>
      <c r="E193" s="3" t="e">
        <v>#N/A</v>
      </c>
      <c r="F193" s="3" t="e">
        <v>#N/A</v>
      </c>
      <c r="G193" s="3" t="e">
        <v>#N/A</v>
      </c>
      <c r="H193" s="3" t="e">
        <v>#N/A</v>
      </c>
      <c r="I193" s="3" t="e">
        <v>#N/A</v>
      </c>
      <c r="J193" s="3" t="e">
        <v>#N/A</v>
      </c>
    </row>
    <row r="194" spans="1:10">
      <c r="A194" s="3" t="e">
        <v>#N/A</v>
      </c>
      <c r="B194" s="4" t="e">
        <v>#N/A</v>
      </c>
      <c r="C194" s="3" t="e">
        <v>#N/A</v>
      </c>
      <c r="D194" s="3" t="e">
        <v>#N/A</v>
      </c>
      <c r="E194" s="3" t="e">
        <v>#N/A</v>
      </c>
      <c r="F194" s="3" t="e">
        <v>#N/A</v>
      </c>
      <c r="G194" s="3" t="e">
        <v>#N/A</v>
      </c>
      <c r="H194" s="3" t="e">
        <v>#N/A</v>
      </c>
      <c r="I194" s="3" t="e">
        <v>#N/A</v>
      </c>
      <c r="J194" s="3" t="e">
        <v>#N/A</v>
      </c>
    </row>
    <row r="195" spans="1:10">
      <c r="A195" s="3" t="e">
        <v>#N/A</v>
      </c>
      <c r="B195" s="4" t="e">
        <v>#N/A</v>
      </c>
      <c r="C195" s="3" t="e">
        <v>#N/A</v>
      </c>
      <c r="D195" s="3" t="e">
        <v>#N/A</v>
      </c>
      <c r="E195" s="3" t="e">
        <v>#N/A</v>
      </c>
      <c r="F195" s="3" t="e">
        <v>#N/A</v>
      </c>
      <c r="G195" s="3" t="e">
        <v>#N/A</v>
      </c>
      <c r="H195" s="3" t="e">
        <v>#N/A</v>
      </c>
      <c r="I195" s="3" t="e">
        <v>#N/A</v>
      </c>
      <c r="J195" s="3" t="e">
        <v>#N/A</v>
      </c>
    </row>
    <row r="196" spans="1:10">
      <c r="A196" s="3" t="e">
        <v>#N/A</v>
      </c>
      <c r="B196" s="4" t="e">
        <v>#N/A</v>
      </c>
      <c r="C196" s="3" t="e">
        <v>#N/A</v>
      </c>
      <c r="D196" s="3" t="e">
        <v>#N/A</v>
      </c>
      <c r="E196" s="3" t="e">
        <v>#N/A</v>
      </c>
      <c r="F196" s="3" t="e">
        <v>#N/A</v>
      </c>
      <c r="G196" s="3" t="e">
        <v>#N/A</v>
      </c>
      <c r="H196" s="3" t="e">
        <v>#N/A</v>
      </c>
      <c r="I196" s="3" t="e">
        <v>#N/A</v>
      </c>
      <c r="J196" s="3" t="e">
        <v>#N/A</v>
      </c>
    </row>
    <row r="197" spans="1:10">
      <c r="A197" s="3" t="e">
        <v>#N/A</v>
      </c>
      <c r="B197" s="4" t="e">
        <v>#N/A</v>
      </c>
      <c r="C197" s="3" t="e">
        <v>#N/A</v>
      </c>
      <c r="D197" s="3" t="e">
        <v>#N/A</v>
      </c>
      <c r="E197" s="3" t="e">
        <v>#N/A</v>
      </c>
      <c r="F197" s="3" t="e">
        <v>#N/A</v>
      </c>
      <c r="G197" s="3" t="e">
        <v>#N/A</v>
      </c>
      <c r="H197" s="3" t="e">
        <v>#N/A</v>
      </c>
      <c r="I197" s="3" t="e">
        <v>#N/A</v>
      </c>
      <c r="J197" s="3" t="e">
        <v>#N/A</v>
      </c>
    </row>
    <row r="198" spans="1:10">
      <c r="A198" s="3" t="e">
        <v>#N/A</v>
      </c>
      <c r="B198" s="4" t="e">
        <v>#N/A</v>
      </c>
      <c r="C198" s="3" t="e">
        <v>#N/A</v>
      </c>
      <c r="D198" s="3" t="e">
        <v>#N/A</v>
      </c>
      <c r="E198" s="3" t="e">
        <v>#N/A</v>
      </c>
      <c r="F198" s="3" t="e">
        <v>#N/A</v>
      </c>
      <c r="G198" s="3" t="e">
        <v>#N/A</v>
      </c>
      <c r="H198" s="3" t="e">
        <v>#N/A</v>
      </c>
      <c r="I198" s="3" t="e">
        <v>#N/A</v>
      </c>
      <c r="J198" s="3" t="e">
        <v>#N/A</v>
      </c>
    </row>
    <row r="199" spans="1:10">
      <c r="A199" s="3" t="e">
        <v>#N/A</v>
      </c>
      <c r="B199" s="4" t="e">
        <v>#N/A</v>
      </c>
      <c r="C199" s="3" t="e">
        <v>#N/A</v>
      </c>
      <c r="D199" s="3" t="e">
        <v>#N/A</v>
      </c>
      <c r="E199" s="3" t="e">
        <v>#N/A</v>
      </c>
      <c r="F199" s="3" t="e">
        <v>#N/A</v>
      </c>
      <c r="G199" s="3" t="e">
        <v>#N/A</v>
      </c>
      <c r="H199" s="3" t="e">
        <v>#N/A</v>
      </c>
      <c r="I199" s="3" t="e">
        <v>#N/A</v>
      </c>
      <c r="J199" s="3" t="e">
        <v>#N/A</v>
      </c>
    </row>
    <row r="200" spans="1:10">
      <c r="A200" s="3" t="e">
        <v>#N/A</v>
      </c>
      <c r="B200" s="4" t="e">
        <v>#N/A</v>
      </c>
      <c r="C200" s="3" t="e">
        <v>#N/A</v>
      </c>
      <c r="D200" s="3" t="e">
        <v>#N/A</v>
      </c>
      <c r="E200" s="3" t="e">
        <v>#N/A</v>
      </c>
      <c r="F200" s="3" t="e">
        <v>#N/A</v>
      </c>
      <c r="G200" s="3" t="e">
        <v>#N/A</v>
      </c>
      <c r="H200" s="3" t="e">
        <v>#N/A</v>
      </c>
      <c r="I200" s="3" t="e">
        <v>#N/A</v>
      </c>
      <c r="J200" s="3" t="e">
        <v>#N/A</v>
      </c>
    </row>
    <row r="201" spans="1:10">
      <c r="A201" s="3" t="e">
        <v>#N/A</v>
      </c>
      <c r="B201" s="4" t="e">
        <v>#N/A</v>
      </c>
      <c r="C201" s="3" t="e">
        <v>#N/A</v>
      </c>
      <c r="D201" s="3" t="e">
        <v>#N/A</v>
      </c>
      <c r="E201" s="3" t="e">
        <v>#N/A</v>
      </c>
      <c r="F201" s="3" t="e">
        <v>#N/A</v>
      </c>
      <c r="G201" s="3" t="e">
        <v>#N/A</v>
      </c>
      <c r="H201" s="3" t="e">
        <v>#N/A</v>
      </c>
      <c r="I201" s="3" t="e">
        <v>#N/A</v>
      </c>
      <c r="J201" s="3" t="e">
        <v>#N/A</v>
      </c>
    </row>
    <row r="202" spans="1:10">
      <c r="A202" s="3" t="e">
        <v>#N/A</v>
      </c>
      <c r="B202" s="4" t="e">
        <v>#N/A</v>
      </c>
      <c r="C202" s="3" t="e">
        <v>#N/A</v>
      </c>
      <c r="D202" s="3" t="e">
        <v>#N/A</v>
      </c>
      <c r="E202" s="3" t="e">
        <v>#N/A</v>
      </c>
      <c r="F202" s="3" t="e">
        <v>#N/A</v>
      </c>
      <c r="G202" s="3" t="e">
        <v>#N/A</v>
      </c>
      <c r="H202" s="3" t="e">
        <v>#N/A</v>
      </c>
      <c r="I202" s="3" t="e">
        <v>#N/A</v>
      </c>
      <c r="J202" s="3" t="e">
        <v>#N/A</v>
      </c>
    </row>
    <row r="203" spans="1:10">
      <c r="A203" s="3" t="e">
        <v>#N/A</v>
      </c>
      <c r="B203" s="4" t="e">
        <v>#N/A</v>
      </c>
      <c r="C203" s="3" t="e">
        <v>#N/A</v>
      </c>
      <c r="D203" s="3" t="e">
        <v>#N/A</v>
      </c>
      <c r="E203" s="3" t="e">
        <v>#N/A</v>
      </c>
      <c r="F203" s="3" t="e">
        <v>#N/A</v>
      </c>
      <c r="G203" s="3" t="e">
        <v>#N/A</v>
      </c>
      <c r="H203" s="3" t="e">
        <v>#N/A</v>
      </c>
      <c r="I203" s="3" t="e">
        <v>#N/A</v>
      </c>
      <c r="J203" s="3" t="e">
        <v>#N/A</v>
      </c>
    </row>
    <row r="204" spans="1:10">
      <c r="A204" s="3" t="e">
        <v>#N/A</v>
      </c>
      <c r="B204" s="4" t="e">
        <v>#N/A</v>
      </c>
      <c r="C204" s="3" t="e">
        <v>#N/A</v>
      </c>
      <c r="D204" s="3" t="e">
        <v>#N/A</v>
      </c>
      <c r="E204" s="3" t="e">
        <v>#N/A</v>
      </c>
      <c r="F204" s="3" t="e">
        <v>#N/A</v>
      </c>
      <c r="G204" s="3" t="e">
        <v>#N/A</v>
      </c>
      <c r="H204" s="3" t="e">
        <v>#N/A</v>
      </c>
      <c r="I204" s="3" t="e">
        <v>#N/A</v>
      </c>
      <c r="J204" s="3" t="e">
        <v>#N/A</v>
      </c>
    </row>
    <row r="205" spans="1:10">
      <c r="A205" s="3" t="e">
        <v>#N/A</v>
      </c>
      <c r="B205" s="4" t="e">
        <v>#N/A</v>
      </c>
      <c r="C205" s="3" t="e">
        <v>#N/A</v>
      </c>
      <c r="D205" s="3" t="e">
        <v>#N/A</v>
      </c>
      <c r="E205" s="3" t="e">
        <v>#N/A</v>
      </c>
      <c r="F205" s="3" t="e">
        <v>#N/A</v>
      </c>
      <c r="G205" s="3" t="e">
        <v>#N/A</v>
      </c>
      <c r="H205" s="3" t="e">
        <v>#N/A</v>
      </c>
      <c r="I205" s="3" t="e">
        <v>#N/A</v>
      </c>
      <c r="J205" s="3" t="e">
        <v>#N/A</v>
      </c>
    </row>
    <row r="206" spans="1:10">
      <c r="A206" s="3" t="e">
        <v>#N/A</v>
      </c>
      <c r="B206" s="4" t="e">
        <v>#N/A</v>
      </c>
      <c r="C206" s="3" t="e">
        <v>#N/A</v>
      </c>
      <c r="D206" s="3" t="e">
        <v>#N/A</v>
      </c>
      <c r="E206" s="3" t="e">
        <v>#N/A</v>
      </c>
      <c r="F206" s="3" t="e">
        <v>#N/A</v>
      </c>
      <c r="G206" s="3" t="e">
        <v>#N/A</v>
      </c>
      <c r="H206" s="3" t="e">
        <v>#N/A</v>
      </c>
      <c r="I206" s="3" t="e">
        <v>#N/A</v>
      </c>
      <c r="J206" s="3" t="e">
        <v>#N/A</v>
      </c>
    </row>
    <row r="207" spans="1:10">
      <c r="A207" s="3" t="e">
        <v>#N/A</v>
      </c>
      <c r="B207" s="4" t="e">
        <v>#N/A</v>
      </c>
      <c r="C207" s="3" t="e">
        <v>#N/A</v>
      </c>
      <c r="D207" s="3" t="e">
        <v>#N/A</v>
      </c>
      <c r="E207" s="3" t="e">
        <v>#N/A</v>
      </c>
      <c r="F207" s="3" t="e">
        <v>#N/A</v>
      </c>
      <c r="G207" s="3" t="e">
        <v>#N/A</v>
      </c>
      <c r="H207" s="3" t="e">
        <v>#N/A</v>
      </c>
      <c r="I207" s="3" t="e">
        <v>#N/A</v>
      </c>
      <c r="J207" s="3" t="e">
        <v>#N/A</v>
      </c>
    </row>
    <row r="208" spans="1:10">
      <c r="A208" s="3" t="e">
        <v>#N/A</v>
      </c>
      <c r="B208" s="4" t="e">
        <v>#N/A</v>
      </c>
      <c r="C208" s="3" t="e">
        <v>#N/A</v>
      </c>
      <c r="D208" s="3" t="e">
        <v>#N/A</v>
      </c>
      <c r="E208" s="3" t="e">
        <v>#N/A</v>
      </c>
      <c r="F208" s="3" t="e">
        <v>#N/A</v>
      </c>
      <c r="G208" s="3" t="e">
        <v>#N/A</v>
      </c>
      <c r="H208" s="3" t="e">
        <v>#N/A</v>
      </c>
      <c r="I208" s="3" t="e">
        <v>#N/A</v>
      </c>
      <c r="J208" s="3" t="e">
        <v>#N/A</v>
      </c>
    </row>
    <row r="209" spans="1:10">
      <c r="A209" s="3" t="e">
        <v>#N/A</v>
      </c>
      <c r="B209" s="4" t="e">
        <v>#N/A</v>
      </c>
      <c r="C209" s="3" t="e">
        <v>#N/A</v>
      </c>
      <c r="D209" s="3" t="e">
        <v>#N/A</v>
      </c>
      <c r="E209" s="3" t="e">
        <v>#N/A</v>
      </c>
      <c r="F209" s="3" t="e">
        <v>#N/A</v>
      </c>
      <c r="G209" s="3" t="e">
        <v>#N/A</v>
      </c>
      <c r="H209" s="3" t="e">
        <v>#N/A</v>
      </c>
      <c r="I209" s="3" t="e">
        <v>#N/A</v>
      </c>
      <c r="J209" s="3" t="e">
        <v>#N/A</v>
      </c>
    </row>
    <row r="210" spans="1:10">
      <c r="A210" s="3" t="e">
        <v>#N/A</v>
      </c>
      <c r="B210" s="4" t="e">
        <v>#N/A</v>
      </c>
      <c r="C210" s="3" t="e">
        <v>#N/A</v>
      </c>
      <c r="D210" s="3" t="e">
        <v>#N/A</v>
      </c>
      <c r="E210" s="3" t="e">
        <v>#N/A</v>
      </c>
      <c r="F210" s="3" t="e">
        <v>#N/A</v>
      </c>
      <c r="G210" s="3" t="e">
        <v>#N/A</v>
      </c>
      <c r="H210" s="3" t="e">
        <v>#N/A</v>
      </c>
      <c r="I210" s="3" t="e">
        <v>#N/A</v>
      </c>
      <c r="J210" s="3" t="e">
        <v>#N/A</v>
      </c>
    </row>
    <row r="211" spans="1:10">
      <c r="A211" s="3" t="e">
        <v>#N/A</v>
      </c>
      <c r="B211" s="4" t="e">
        <v>#N/A</v>
      </c>
      <c r="C211" s="3" t="e">
        <v>#N/A</v>
      </c>
      <c r="D211" s="3" t="e">
        <v>#N/A</v>
      </c>
      <c r="E211" s="3" t="e">
        <v>#N/A</v>
      </c>
      <c r="F211" s="3" t="e">
        <v>#N/A</v>
      </c>
      <c r="G211" s="3" t="e">
        <v>#N/A</v>
      </c>
      <c r="H211" s="3" t="e">
        <v>#N/A</v>
      </c>
      <c r="I211" s="3" t="e">
        <v>#N/A</v>
      </c>
      <c r="J211" s="3" t="e">
        <v>#N/A</v>
      </c>
    </row>
    <row r="212" spans="1:10">
      <c r="A212" s="3" t="e">
        <v>#N/A</v>
      </c>
      <c r="B212" s="4" t="e">
        <v>#N/A</v>
      </c>
      <c r="C212" s="3" t="e">
        <v>#N/A</v>
      </c>
      <c r="D212" s="3" t="e">
        <v>#N/A</v>
      </c>
      <c r="E212" s="3" t="e">
        <v>#N/A</v>
      </c>
      <c r="F212" s="3" t="e">
        <v>#N/A</v>
      </c>
      <c r="G212" s="3" t="e">
        <v>#N/A</v>
      </c>
      <c r="H212" s="3" t="e">
        <v>#N/A</v>
      </c>
      <c r="I212" s="3" t="e">
        <v>#N/A</v>
      </c>
      <c r="J212" s="3" t="e">
        <v>#N/A</v>
      </c>
    </row>
    <row r="213" spans="1:10">
      <c r="A213" s="3" t="e">
        <v>#N/A</v>
      </c>
      <c r="B213" s="4" t="e">
        <v>#N/A</v>
      </c>
      <c r="C213" s="3" t="e">
        <v>#N/A</v>
      </c>
      <c r="D213" s="3" t="e">
        <v>#N/A</v>
      </c>
      <c r="E213" s="3" t="e">
        <v>#N/A</v>
      </c>
      <c r="F213" s="3" t="e">
        <v>#N/A</v>
      </c>
      <c r="G213" s="3" t="e">
        <v>#N/A</v>
      </c>
      <c r="H213" s="3" t="e">
        <v>#N/A</v>
      </c>
      <c r="I213" s="3" t="e">
        <v>#N/A</v>
      </c>
      <c r="J213" s="3" t="e">
        <v>#N/A</v>
      </c>
    </row>
    <row r="214" spans="1:10">
      <c r="A214" s="3" t="e">
        <v>#N/A</v>
      </c>
      <c r="B214" s="4" t="e">
        <v>#N/A</v>
      </c>
      <c r="C214" s="3" t="e">
        <v>#N/A</v>
      </c>
      <c r="D214" s="3" t="e">
        <v>#N/A</v>
      </c>
      <c r="E214" s="3" t="e">
        <v>#N/A</v>
      </c>
      <c r="F214" s="3" t="e">
        <v>#N/A</v>
      </c>
      <c r="G214" s="3" t="e">
        <v>#N/A</v>
      </c>
      <c r="H214" s="3" t="e">
        <v>#N/A</v>
      </c>
      <c r="I214" s="3" t="e">
        <v>#N/A</v>
      </c>
      <c r="J214" s="3" t="e">
        <v>#N/A</v>
      </c>
    </row>
    <row r="215" spans="1:10">
      <c r="A215" s="3" t="e">
        <v>#N/A</v>
      </c>
      <c r="B215" s="4" t="e">
        <v>#N/A</v>
      </c>
      <c r="C215" s="3" t="e">
        <v>#N/A</v>
      </c>
      <c r="D215" s="3" t="e">
        <v>#N/A</v>
      </c>
      <c r="E215" s="3" t="e">
        <v>#N/A</v>
      </c>
      <c r="F215" s="3" t="e">
        <v>#N/A</v>
      </c>
      <c r="G215" s="3" t="e">
        <v>#N/A</v>
      </c>
      <c r="H215" s="3" t="e">
        <v>#N/A</v>
      </c>
      <c r="I215" s="3" t="e">
        <v>#N/A</v>
      </c>
      <c r="J215" s="3" t="e">
        <v>#N/A</v>
      </c>
    </row>
    <row r="216" spans="1:10">
      <c r="A216" s="3" t="e">
        <v>#N/A</v>
      </c>
      <c r="B216" s="4" t="e">
        <v>#N/A</v>
      </c>
      <c r="C216" s="3" t="e">
        <v>#N/A</v>
      </c>
      <c r="D216" s="3" t="e">
        <v>#N/A</v>
      </c>
      <c r="E216" s="3" t="e">
        <v>#N/A</v>
      </c>
      <c r="F216" s="3" t="e">
        <v>#N/A</v>
      </c>
      <c r="G216" s="3" t="e">
        <v>#N/A</v>
      </c>
      <c r="H216" s="3" t="e">
        <v>#N/A</v>
      </c>
      <c r="I216" s="3" t="e">
        <v>#N/A</v>
      </c>
      <c r="J216" s="3" t="e">
        <v>#N/A</v>
      </c>
    </row>
    <row r="217" spans="1:10">
      <c r="A217" s="3" t="e">
        <v>#N/A</v>
      </c>
      <c r="B217" s="4" t="e">
        <v>#N/A</v>
      </c>
      <c r="C217" s="3" t="e">
        <v>#N/A</v>
      </c>
      <c r="D217" s="3" t="e">
        <v>#N/A</v>
      </c>
      <c r="E217" s="3" t="e">
        <v>#N/A</v>
      </c>
      <c r="F217" s="3" t="e">
        <v>#N/A</v>
      </c>
      <c r="G217" s="3" t="e">
        <v>#N/A</v>
      </c>
      <c r="H217" s="3" t="e">
        <v>#N/A</v>
      </c>
      <c r="I217" s="3" t="e">
        <v>#N/A</v>
      </c>
      <c r="J217" s="3" t="e">
        <v>#N/A</v>
      </c>
    </row>
    <row r="218" spans="1:10">
      <c r="A218" s="3" t="e">
        <v>#N/A</v>
      </c>
      <c r="B218" s="4" t="e">
        <v>#N/A</v>
      </c>
      <c r="C218" s="3" t="e">
        <v>#N/A</v>
      </c>
      <c r="D218" s="3" t="e">
        <v>#N/A</v>
      </c>
      <c r="E218" s="3" t="e">
        <v>#N/A</v>
      </c>
      <c r="F218" s="3" t="e">
        <v>#N/A</v>
      </c>
      <c r="G218" s="3" t="e">
        <v>#N/A</v>
      </c>
      <c r="H218" s="3" t="e">
        <v>#N/A</v>
      </c>
      <c r="I218" s="3" t="e">
        <v>#N/A</v>
      </c>
      <c r="J218" s="3" t="e">
        <v>#N/A</v>
      </c>
    </row>
    <row r="219" spans="1:10">
      <c r="A219" s="3" t="e">
        <v>#N/A</v>
      </c>
      <c r="B219" s="4" t="e">
        <v>#N/A</v>
      </c>
      <c r="C219" s="3" t="e">
        <v>#N/A</v>
      </c>
      <c r="D219" s="3" t="e">
        <v>#N/A</v>
      </c>
      <c r="E219" s="3" t="e">
        <v>#N/A</v>
      </c>
      <c r="F219" s="3" t="e">
        <v>#N/A</v>
      </c>
      <c r="G219" s="3" t="e">
        <v>#N/A</v>
      </c>
      <c r="H219" s="3" t="e">
        <v>#N/A</v>
      </c>
      <c r="I219" s="3" t="e">
        <v>#N/A</v>
      </c>
      <c r="J219" s="3" t="e">
        <v>#N/A</v>
      </c>
    </row>
    <row r="220" spans="1:10">
      <c r="A220" s="3" t="e">
        <v>#N/A</v>
      </c>
      <c r="B220" s="4" t="e">
        <v>#N/A</v>
      </c>
      <c r="C220" s="3" t="e">
        <v>#N/A</v>
      </c>
      <c r="D220" s="3" t="e">
        <v>#N/A</v>
      </c>
      <c r="E220" s="3" t="e">
        <v>#N/A</v>
      </c>
      <c r="F220" s="3" t="e">
        <v>#N/A</v>
      </c>
      <c r="G220" s="3" t="e">
        <v>#N/A</v>
      </c>
      <c r="H220" s="3" t="e">
        <v>#N/A</v>
      </c>
      <c r="I220" s="3" t="e">
        <v>#N/A</v>
      </c>
      <c r="J220" s="3" t="e">
        <v>#N/A</v>
      </c>
    </row>
    <row r="221" spans="1:10">
      <c r="A221" s="3" t="e">
        <v>#N/A</v>
      </c>
      <c r="B221" s="4" t="e">
        <v>#N/A</v>
      </c>
      <c r="C221" s="3" t="e">
        <v>#N/A</v>
      </c>
      <c r="D221" s="3" t="e">
        <v>#N/A</v>
      </c>
      <c r="E221" s="3" t="e">
        <v>#N/A</v>
      </c>
      <c r="F221" s="3" t="e">
        <v>#N/A</v>
      </c>
      <c r="G221" s="3" t="e">
        <v>#N/A</v>
      </c>
      <c r="H221" s="3" t="e">
        <v>#N/A</v>
      </c>
      <c r="I221" s="3" t="e">
        <v>#N/A</v>
      </c>
      <c r="J221" s="3" t="e">
        <v>#N/A</v>
      </c>
    </row>
    <row r="222" spans="1:10">
      <c r="A222" s="3" t="e">
        <v>#N/A</v>
      </c>
      <c r="B222" s="4" t="e">
        <v>#N/A</v>
      </c>
      <c r="C222" s="3" t="e">
        <v>#N/A</v>
      </c>
      <c r="D222" s="3" t="e">
        <v>#N/A</v>
      </c>
      <c r="E222" s="3" t="e">
        <v>#N/A</v>
      </c>
      <c r="F222" s="3" t="e">
        <v>#N/A</v>
      </c>
      <c r="G222" s="3" t="e">
        <v>#N/A</v>
      </c>
      <c r="H222" s="3" t="e">
        <v>#N/A</v>
      </c>
      <c r="I222" s="3" t="e">
        <v>#N/A</v>
      </c>
      <c r="J222" s="3" t="e">
        <v>#N/A</v>
      </c>
    </row>
    <row r="223" spans="1:10">
      <c r="A223" s="3" t="e">
        <v>#N/A</v>
      </c>
      <c r="B223" s="4" t="e">
        <v>#N/A</v>
      </c>
      <c r="C223" s="3" t="e">
        <v>#N/A</v>
      </c>
      <c r="D223" s="3" t="e">
        <v>#N/A</v>
      </c>
      <c r="E223" s="3" t="e">
        <v>#N/A</v>
      </c>
      <c r="F223" s="3" t="e">
        <v>#N/A</v>
      </c>
      <c r="G223" s="3" t="e">
        <v>#N/A</v>
      </c>
      <c r="H223" s="3" t="e">
        <v>#N/A</v>
      </c>
      <c r="I223" s="3" t="e">
        <v>#N/A</v>
      </c>
      <c r="J223" s="3" t="e">
        <v>#N/A</v>
      </c>
    </row>
    <row r="224" spans="1:10">
      <c r="A224" s="3" t="e">
        <v>#N/A</v>
      </c>
      <c r="B224" s="4" t="e">
        <v>#N/A</v>
      </c>
      <c r="C224" s="3" t="e">
        <v>#N/A</v>
      </c>
      <c r="D224" s="3" t="e">
        <v>#N/A</v>
      </c>
      <c r="E224" s="3" t="e">
        <v>#N/A</v>
      </c>
      <c r="F224" s="3" t="e">
        <v>#N/A</v>
      </c>
      <c r="G224" s="3" t="e">
        <v>#N/A</v>
      </c>
      <c r="H224" s="3" t="e">
        <v>#N/A</v>
      </c>
      <c r="I224" s="3" t="e">
        <v>#N/A</v>
      </c>
      <c r="J224" s="3" t="e">
        <v>#N/A</v>
      </c>
    </row>
    <row r="225" spans="1:10">
      <c r="A225" s="3" t="e">
        <v>#N/A</v>
      </c>
      <c r="B225" s="4" t="e">
        <v>#N/A</v>
      </c>
      <c r="C225" s="3" t="e">
        <v>#N/A</v>
      </c>
      <c r="D225" s="3" t="e">
        <v>#N/A</v>
      </c>
      <c r="E225" s="3" t="e">
        <v>#N/A</v>
      </c>
      <c r="F225" s="3" t="e">
        <v>#N/A</v>
      </c>
      <c r="G225" s="3" t="e">
        <v>#N/A</v>
      </c>
      <c r="H225" s="3" t="e">
        <v>#N/A</v>
      </c>
      <c r="I225" s="3" t="e">
        <v>#N/A</v>
      </c>
      <c r="J225" s="3" t="e">
        <v>#N/A</v>
      </c>
    </row>
    <row r="226" spans="1:10">
      <c r="A226" s="3" t="e">
        <v>#N/A</v>
      </c>
      <c r="B226" s="4" t="e">
        <v>#N/A</v>
      </c>
      <c r="C226" s="3" t="e">
        <v>#N/A</v>
      </c>
      <c r="D226" s="3" t="e">
        <v>#N/A</v>
      </c>
      <c r="E226" s="3" t="e">
        <v>#N/A</v>
      </c>
      <c r="F226" s="3" t="e">
        <v>#N/A</v>
      </c>
      <c r="G226" s="3" t="e">
        <v>#N/A</v>
      </c>
      <c r="H226" s="3" t="e">
        <v>#N/A</v>
      </c>
      <c r="I226" s="3" t="e">
        <v>#N/A</v>
      </c>
      <c r="J226" s="3" t="e">
        <v>#N/A</v>
      </c>
    </row>
    <row r="227" spans="1:10">
      <c r="A227" s="3" t="e">
        <v>#N/A</v>
      </c>
      <c r="B227" s="4" t="e">
        <v>#N/A</v>
      </c>
      <c r="C227" s="3" t="e">
        <v>#N/A</v>
      </c>
      <c r="D227" s="3" t="e">
        <v>#N/A</v>
      </c>
      <c r="E227" s="3" t="e">
        <v>#N/A</v>
      </c>
      <c r="F227" s="3" t="e">
        <v>#N/A</v>
      </c>
      <c r="G227" s="3" t="e">
        <v>#N/A</v>
      </c>
      <c r="H227" s="3" t="e">
        <v>#N/A</v>
      </c>
      <c r="I227" s="3" t="e">
        <v>#N/A</v>
      </c>
      <c r="J227" s="3" t="e">
        <v>#N/A</v>
      </c>
    </row>
    <row r="228" spans="1:10">
      <c r="A228" s="3" t="e">
        <v>#N/A</v>
      </c>
      <c r="B228" s="4" t="e">
        <v>#N/A</v>
      </c>
      <c r="C228" s="3" t="e">
        <v>#N/A</v>
      </c>
      <c r="D228" s="3" t="e">
        <v>#N/A</v>
      </c>
      <c r="E228" s="3" t="e">
        <v>#N/A</v>
      </c>
      <c r="F228" s="3" t="e">
        <v>#N/A</v>
      </c>
      <c r="G228" s="3" t="e">
        <v>#N/A</v>
      </c>
      <c r="H228" s="3" t="e">
        <v>#N/A</v>
      </c>
      <c r="I228" s="3" t="e">
        <v>#N/A</v>
      </c>
      <c r="J228" s="3" t="e">
        <v>#N/A</v>
      </c>
    </row>
    <row r="229" spans="1:10">
      <c r="A229" s="3" t="e">
        <v>#N/A</v>
      </c>
      <c r="B229" s="4" t="e">
        <v>#N/A</v>
      </c>
      <c r="C229" s="3" t="e">
        <v>#N/A</v>
      </c>
      <c r="D229" s="3" t="e">
        <v>#N/A</v>
      </c>
      <c r="E229" s="3" t="e">
        <v>#N/A</v>
      </c>
      <c r="F229" s="3" t="e">
        <v>#N/A</v>
      </c>
      <c r="G229" s="3" t="e">
        <v>#N/A</v>
      </c>
      <c r="H229" s="3" t="e">
        <v>#N/A</v>
      </c>
      <c r="I229" s="3" t="e">
        <v>#N/A</v>
      </c>
      <c r="J229" s="3" t="e">
        <v>#N/A</v>
      </c>
    </row>
    <row r="230" spans="1:10">
      <c r="A230" s="3" t="e">
        <v>#N/A</v>
      </c>
      <c r="B230" s="4" t="e">
        <v>#N/A</v>
      </c>
      <c r="C230" s="3" t="e">
        <v>#N/A</v>
      </c>
      <c r="D230" s="3" t="e">
        <v>#N/A</v>
      </c>
      <c r="E230" s="3" t="e">
        <v>#N/A</v>
      </c>
      <c r="F230" s="3" t="e">
        <v>#N/A</v>
      </c>
      <c r="G230" s="3" t="e">
        <v>#N/A</v>
      </c>
      <c r="H230" s="3" t="e">
        <v>#N/A</v>
      </c>
      <c r="I230" s="3" t="e">
        <v>#N/A</v>
      </c>
      <c r="J230" s="3" t="e">
        <v>#N/A</v>
      </c>
    </row>
    <row r="231" spans="1:10">
      <c r="A231" s="3" t="e">
        <v>#N/A</v>
      </c>
      <c r="B231" s="4" t="e">
        <v>#N/A</v>
      </c>
      <c r="C231" s="3" t="e">
        <v>#N/A</v>
      </c>
      <c r="D231" s="3" t="e">
        <v>#N/A</v>
      </c>
      <c r="E231" s="3" t="e">
        <v>#N/A</v>
      </c>
      <c r="F231" s="3" t="e">
        <v>#N/A</v>
      </c>
      <c r="G231" s="3" t="e">
        <v>#N/A</v>
      </c>
      <c r="H231" s="3" t="e">
        <v>#N/A</v>
      </c>
      <c r="I231" s="3" t="e">
        <v>#N/A</v>
      </c>
      <c r="J231" s="3" t="e">
        <v>#N/A</v>
      </c>
    </row>
    <row r="232" spans="1:10">
      <c r="A232" s="3" t="e">
        <v>#N/A</v>
      </c>
      <c r="B232" s="4" t="e">
        <v>#N/A</v>
      </c>
      <c r="C232" s="3" t="e">
        <v>#N/A</v>
      </c>
      <c r="D232" s="3" t="e">
        <v>#N/A</v>
      </c>
      <c r="E232" s="3" t="e">
        <v>#N/A</v>
      </c>
      <c r="F232" s="3" t="e">
        <v>#N/A</v>
      </c>
      <c r="G232" s="3" t="e">
        <v>#N/A</v>
      </c>
      <c r="H232" s="3" t="e">
        <v>#N/A</v>
      </c>
      <c r="I232" s="3" t="e">
        <v>#N/A</v>
      </c>
      <c r="J232" s="3" t="e">
        <v>#N/A</v>
      </c>
    </row>
    <row r="233" spans="1:10">
      <c r="A233" s="3" t="e">
        <v>#N/A</v>
      </c>
      <c r="B233" s="4" t="e">
        <v>#N/A</v>
      </c>
      <c r="C233" s="3" t="e">
        <v>#N/A</v>
      </c>
      <c r="D233" s="3" t="e">
        <v>#N/A</v>
      </c>
      <c r="E233" s="3" t="e">
        <v>#N/A</v>
      </c>
      <c r="F233" s="3" t="e">
        <v>#N/A</v>
      </c>
      <c r="G233" s="3" t="e">
        <v>#N/A</v>
      </c>
      <c r="H233" s="3" t="e">
        <v>#N/A</v>
      </c>
      <c r="I233" s="3" t="e">
        <v>#N/A</v>
      </c>
      <c r="J233" s="3" t="e">
        <v>#N/A</v>
      </c>
    </row>
    <row r="234" spans="1:10">
      <c r="A234" s="3" t="e">
        <v>#N/A</v>
      </c>
      <c r="B234" s="4" t="e">
        <v>#N/A</v>
      </c>
      <c r="C234" s="3" t="e">
        <v>#N/A</v>
      </c>
      <c r="D234" s="3" t="e">
        <v>#N/A</v>
      </c>
      <c r="E234" s="3" t="e">
        <v>#N/A</v>
      </c>
      <c r="F234" s="3" t="e">
        <v>#N/A</v>
      </c>
      <c r="G234" s="3" t="e">
        <v>#N/A</v>
      </c>
      <c r="H234" s="3" t="e">
        <v>#N/A</v>
      </c>
      <c r="I234" s="3" t="e">
        <v>#N/A</v>
      </c>
      <c r="J234" s="3" t="e">
        <v>#N/A</v>
      </c>
    </row>
    <row r="235" spans="1:10">
      <c r="A235" s="3" t="e">
        <v>#N/A</v>
      </c>
      <c r="B235" s="4" t="e">
        <v>#N/A</v>
      </c>
      <c r="C235" s="3" t="e">
        <v>#N/A</v>
      </c>
      <c r="D235" s="3" t="e">
        <v>#N/A</v>
      </c>
      <c r="E235" s="3" t="e">
        <v>#N/A</v>
      </c>
      <c r="F235" s="3" t="e">
        <v>#N/A</v>
      </c>
      <c r="G235" s="3" t="e">
        <v>#N/A</v>
      </c>
      <c r="H235" s="3" t="e">
        <v>#N/A</v>
      </c>
      <c r="I235" s="3" t="e">
        <v>#N/A</v>
      </c>
      <c r="J235" s="3" t="e">
        <v>#N/A</v>
      </c>
    </row>
    <row r="236" spans="1:10">
      <c r="A236" s="3" t="e">
        <v>#N/A</v>
      </c>
      <c r="B236" s="4" t="e">
        <v>#N/A</v>
      </c>
      <c r="C236" s="3" t="e">
        <v>#N/A</v>
      </c>
      <c r="D236" s="3" t="e">
        <v>#N/A</v>
      </c>
      <c r="E236" s="3" t="e">
        <v>#N/A</v>
      </c>
      <c r="F236" s="3" t="e">
        <v>#N/A</v>
      </c>
      <c r="G236" s="3" t="e">
        <v>#N/A</v>
      </c>
      <c r="H236" s="3" t="e">
        <v>#N/A</v>
      </c>
      <c r="I236" s="3" t="e">
        <v>#N/A</v>
      </c>
      <c r="J236" s="3" t="e">
        <v>#N/A</v>
      </c>
    </row>
    <row r="237" spans="1:10">
      <c r="A237" s="3" t="e">
        <v>#N/A</v>
      </c>
      <c r="B237" s="4" t="e">
        <v>#N/A</v>
      </c>
      <c r="C237" s="3" t="e">
        <v>#N/A</v>
      </c>
      <c r="D237" s="3" t="e">
        <v>#N/A</v>
      </c>
      <c r="E237" s="3" t="e">
        <v>#N/A</v>
      </c>
      <c r="F237" s="3" t="e">
        <v>#N/A</v>
      </c>
      <c r="G237" s="3" t="e">
        <v>#N/A</v>
      </c>
      <c r="H237" s="3" t="e">
        <v>#N/A</v>
      </c>
      <c r="I237" s="3" t="e">
        <v>#N/A</v>
      </c>
      <c r="J237" s="3" t="e">
        <v>#N/A</v>
      </c>
    </row>
    <row r="238" spans="1:10">
      <c r="A238" s="3" t="e">
        <v>#N/A</v>
      </c>
      <c r="B238" s="4" t="e">
        <v>#N/A</v>
      </c>
      <c r="C238" s="3" t="e">
        <v>#N/A</v>
      </c>
      <c r="D238" s="3" t="e">
        <v>#N/A</v>
      </c>
      <c r="E238" s="3" t="e">
        <v>#N/A</v>
      </c>
      <c r="F238" s="3" t="e">
        <v>#N/A</v>
      </c>
      <c r="G238" s="3" t="e">
        <v>#N/A</v>
      </c>
      <c r="H238" s="3" t="e">
        <v>#N/A</v>
      </c>
      <c r="I238" s="3" t="e">
        <v>#N/A</v>
      </c>
      <c r="J238" s="3" t="e">
        <v>#N/A</v>
      </c>
    </row>
    <row r="239" spans="1:10">
      <c r="A239" s="3" t="e">
        <v>#N/A</v>
      </c>
      <c r="B239" s="4" t="e">
        <v>#N/A</v>
      </c>
      <c r="C239" s="3" t="e">
        <v>#N/A</v>
      </c>
      <c r="D239" s="3" t="e">
        <v>#N/A</v>
      </c>
      <c r="E239" s="3" t="e">
        <v>#N/A</v>
      </c>
      <c r="F239" s="3" t="e">
        <v>#N/A</v>
      </c>
      <c r="G239" s="3" t="e">
        <v>#N/A</v>
      </c>
      <c r="H239" s="3" t="e">
        <v>#N/A</v>
      </c>
      <c r="I239" s="3" t="e">
        <v>#N/A</v>
      </c>
      <c r="J239" s="3" t="e">
        <v>#N/A</v>
      </c>
    </row>
    <row r="240" spans="1:10">
      <c r="A240" s="3" t="e">
        <v>#N/A</v>
      </c>
      <c r="B240" s="4" t="e">
        <v>#N/A</v>
      </c>
      <c r="C240" s="3" t="e">
        <v>#N/A</v>
      </c>
      <c r="D240" s="3" t="e">
        <v>#N/A</v>
      </c>
      <c r="E240" s="3" t="e">
        <v>#N/A</v>
      </c>
      <c r="F240" s="3" t="e">
        <v>#N/A</v>
      </c>
      <c r="G240" s="3" t="e">
        <v>#N/A</v>
      </c>
      <c r="H240" s="3" t="e">
        <v>#N/A</v>
      </c>
      <c r="I240" s="3" t="e">
        <v>#N/A</v>
      </c>
      <c r="J240" s="3" t="e">
        <v>#N/A</v>
      </c>
    </row>
    <row r="241" spans="1:10">
      <c r="A241" s="3" t="e">
        <v>#N/A</v>
      </c>
      <c r="B241" s="4" t="e">
        <v>#N/A</v>
      </c>
      <c r="C241" s="3" t="e">
        <v>#N/A</v>
      </c>
      <c r="D241" s="3" t="e">
        <v>#N/A</v>
      </c>
      <c r="E241" s="3" t="e">
        <v>#N/A</v>
      </c>
      <c r="F241" s="3" t="e">
        <v>#N/A</v>
      </c>
      <c r="G241" s="3" t="e">
        <v>#N/A</v>
      </c>
      <c r="H241" s="3" t="e">
        <v>#N/A</v>
      </c>
      <c r="I241" s="3" t="e">
        <v>#N/A</v>
      </c>
      <c r="J241" s="3" t="e">
        <v>#N/A</v>
      </c>
    </row>
    <row r="242" spans="1:10">
      <c r="A242" s="3" t="e">
        <v>#N/A</v>
      </c>
      <c r="B242" s="4" t="e">
        <v>#N/A</v>
      </c>
      <c r="C242" s="3" t="e">
        <v>#N/A</v>
      </c>
      <c r="D242" s="3" t="e">
        <v>#N/A</v>
      </c>
      <c r="E242" s="3" t="e">
        <v>#N/A</v>
      </c>
      <c r="F242" s="3" t="e">
        <v>#N/A</v>
      </c>
      <c r="G242" s="3" t="e">
        <v>#N/A</v>
      </c>
      <c r="H242" s="3" t="e">
        <v>#N/A</v>
      </c>
      <c r="I242" s="3" t="e">
        <v>#N/A</v>
      </c>
      <c r="J242" s="3" t="e">
        <v>#N/A</v>
      </c>
    </row>
    <row r="243" spans="1:10">
      <c r="A243" s="3" t="e">
        <v>#N/A</v>
      </c>
      <c r="B243" s="4" t="e">
        <v>#N/A</v>
      </c>
      <c r="C243" s="3" t="e">
        <v>#N/A</v>
      </c>
      <c r="D243" s="3" t="e">
        <v>#N/A</v>
      </c>
      <c r="E243" s="3" t="e">
        <v>#N/A</v>
      </c>
      <c r="F243" s="3" t="e">
        <v>#N/A</v>
      </c>
      <c r="G243" s="3" t="e">
        <v>#N/A</v>
      </c>
      <c r="H243" s="3" t="e">
        <v>#N/A</v>
      </c>
      <c r="I243" s="3" t="e">
        <v>#N/A</v>
      </c>
      <c r="J243" s="3" t="e">
        <v>#N/A</v>
      </c>
    </row>
    <row r="244" spans="1:10">
      <c r="A244" s="3" t="e">
        <v>#N/A</v>
      </c>
      <c r="B244" s="4" t="e">
        <v>#N/A</v>
      </c>
      <c r="C244" s="3" t="e">
        <v>#N/A</v>
      </c>
      <c r="D244" s="3" t="e">
        <v>#N/A</v>
      </c>
      <c r="E244" s="3" t="e">
        <v>#N/A</v>
      </c>
      <c r="F244" s="3" t="e">
        <v>#N/A</v>
      </c>
      <c r="G244" s="3" t="e">
        <v>#N/A</v>
      </c>
      <c r="H244" s="3" t="e">
        <v>#N/A</v>
      </c>
      <c r="I244" s="3" t="e">
        <v>#N/A</v>
      </c>
      <c r="J244" s="3" t="e">
        <v>#N/A</v>
      </c>
    </row>
    <row r="245" spans="1:10">
      <c r="A245" s="3" t="e">
        <v>#N/A</v>
      </c>
      <c r="B245" s="4" t="e">
        <v>#N/A</v>
      </c>
      <c r="C245" s="3" t="e">
        <v>#N/A</v>
      </c>
      <c r="D245" s="3" t="e">
        <v>#N/A</v>
      </c>
      <c r="E245" s="3" t="e">
        <v>#N/A</v>
      </c>
      <c r="F245" s="3" t="e">
        <v>#N/A</v>
      </c>
      <c r="G245" s="3" t="e">
        <v>#N/A</v>
      </c>
      <c r="H245" s="3" t="e">
        <v>#N/A</v>
      </c>
      <c r="I245" s="3" t="e">
        <v>#N/A</v>
      </c>
      <c r="J245" s="3" t="e">
        <v>#N/A</v>
      </c>
    </row>
    <row r="246" spans="1:10">
      <c r="A246" s="3" t="e">
        <v>#N/A</v>
      </c>
      <c r="B246" s="4" t="e">
        <v>#N/A</v>
      </c>
      <c r="C246" s="3" t="e">
        <v>#N/A</v>
      </c>
      <c r="D246" s="3" t="e">
        <v>#N/A</v>
      </c>
      <c r="E246" s="3" t="e">
        <v>#N/A</v>
      </c>
      <c r="F246" s="3" t="e">
        <v>#N/A</v>
      </c>
      <c r="G246" s="3" t="e">
        <v>#N/A</v>
      </c>
      <c r="H246" s="3" t="e">
        <v>#N/A</v>
      </c>
      <c r="I246" s="3" t="e">
        <v>#N/A</v>
      </c>
      <c r="J246" s="3" t="e">
        <v>#N/A</v>
      </c>
    </row>
    <row r="247" spans="1:10">
      <c r="A247" s="3" t="e">
        <v>#N/A</v>
      </c>
      <c r="B247" s="4" t="e">
        <v>#N/A</v>
      </c>
      <c r="C247" s="3" t="e">
        <v>#N/A</v>
      </c>
      <c r="D247" s="3" t="e">
        <v>#N/A</v>
      </c>
      <c r="E247" s="3" t="e">
        <v>#N/A</v>
      </c>
      <c r="F247" s="3" t="e">
        <v>#N/A</v>
      </c>
      <c r="G247" s="3" t="e">
        <v>#N/A</v>
      </c>
      <c r="H247" s="3" t="e">
        <v>#N/A</v>
      </c>
      <c r="I247" s="3" t="e">
        <v>#N/A</v>
      </c>
      <c r="J247" s="3" t="e">
        <v>#N/A</v>
      </c>
    </row>
    <row r="248" spans="1:10">
      <c r="A248" s="3" t="e">
        <v>#N/A</v>
      </c>
      <c r="B248" s="4" t="e">
        <v>#N/A</v>
      </c>
      <c r="C248" s="3" t="e">
        <v>#N/A</v>
      </c>
      <c r="D248" s="3" t="e">
        <v>#N/A</v>
      </c>
      <c r="E248" s="3" t="e">
        <v>#N/A</v>
      </c>
      <c r="F248" s="3" t="e">
        <v>#N/A</v>
      </c>
      <c r="G248" s="3" t="e">
        <v>#N/A</v>
      </c>
      <c r="H248" s="3" t="e">
        <v>#N/A</v>
      </c>
      <c r="I248" s="3" t="e">
        <v>#N/A</v>
      </c>
      <c r="J248" s="3" t="e">
        <v>#N/A</v>
      </c>
    </row>
    <row r="249" spans="1:10">
      <c r="A249" s="3" t="e">
        <v>#N/A</v>
      </c>
      <c r="B249" s="4" t="e">
        <v>#N/A</v>
      </c>
      <c r="C249" s="3" t="e">
        <v>#N/A</v>
      </c>
      <c r="D249" s="3" t="e">
        <v>#N/A</v>
      </c>
      <c r="E249" s="3" t="e">
        <v>#N/A</v>
      </c>
      <c r="F249" s="3" t="e">
        <v>#N/A</v>
      </c>
      <c r="G249" s="3" t="e">
        <v>#N/A</v>
      </c>
      <c r="H249" s="3" t="e">
        <v>#N/A</v>
      </c>
      <c r="I249" s="3" t="e">
        <v>#N/A</v>
      </c>
      <c r="J249" s="3" t="e">
        <v>#N/A</v>
      </c>
    </row>
    <row r="250" spans="1:10">
      <c r="A250" s="3" t="e">
        <v>#N/A</v>
      </c>
      <c r="B250" s="4" t="e">
        <v>#N/A</v>
      </c>
      <c r="C250" s="3" t="e">
        <v>#N/A</v>
      </c>
      <c r="D250" s="3" t="e">
        <v>#N/A</v>
      </c>
      <c r="E250" s="3" t="e">
        <v>#N/A</v>
      </c>
      <c r="F250" s="3" t="e">
        <v>#N/A</v>
      </c>
      <c r="G250" s="3" t="e">
        <v>#N/A</v>
      </c>
      <c r="H250" s="3" t="e">
        <v>#N/A</v>
      </c>
      <c r="I250" s="3" t="e">
        <v>#N/A</v>
      </c>
      <c r="J250" s="3" t="e">
        <v>#N/A</v>
      </c>
    </row>
    <row r="251" spans="1:10">
      <c r="A251" s="3" t="e">
        <v>#N/A</v>
      </c>
      <c r="B251" s="4" t="e">
        <v>#N/A</v>
      </c>
      <c r="C251" s="3" t="e">
        <v>#N/A</v>
      </c>
      <c r="D251" s="3" t="e">
        <v>#N/A</v>
      </c>
      <c r="E251" s="3" t="e">
        <v>#N/A</v>
      </c>
      <c r="F251" s="3" t="e">
        <v>#N/A</v>
      </c>
      <c r="G251" s="3" t="e">
        <v>#N/A</v>
      </c>
      <c r="H251" s="3" t="e">
        <v>#N/A</v>
      </c>
      <c r="I251" s="3" t="e">
        <v>#N/A</v>
      </c>
      <c r="J251" s="3" t="e">
        <v>#N/A</v>
      </c>
    </row>
    <row r="252" spans="1:10">
      <c r="A252" s="3" t="e">
        <v>#N/A</v>
      </c>
      <c r="B252" s="4" t="e">
        <v>#N/A</v>
      </c>
      <c r="C252" s="3" t="e">
        <v>#N/A</v>
      </c>
      <c r="D252" s="3" t="e">
        <v>#N/A</v>
      </c>
      <c r="E252" s="3" t="e">
        <v>#N/A</v>
      </c>
      <c r="F252" s="3" t="e">
        <v>#N/A</v>
      </c>
      <c r="G252" s="3" t="e">
        <v>#N/A</v>
      </c>
      <c r="H252" s="3" t="e">
        <v>#N/A</v>
      </c>
      <c r="I252" s="3" t="e">
        <v>#N/A</v>
      </c>
      <c r="J252" s="3" t="e">
        <v>#N/A</v>
      </c>
    </row>
    <row r="253" spans="1:10">
      <c r="A253" s="3" t="e">
        <v>#N/A</v>
      </c>
      <c r="B253" s="4" t="e">
        <v>#N/A</v>
      </c>
      <c r="C253" s="3" t="e">
        <v>#N/A</v>
      </c>
      <c r="D253" s="3" t="e">
        <v>#N/A</v>
      </c>
      <c r="E253" s="3" t="e">
        <v>#N/A</v>
      </c>
      <c r="F253" s="3" t="e">
        <v>#N/A</v>
      </c>
      <c r="G253" s="3" t="e">
        <v>#N/A</v>
      </c>
      <c r="H253" s="3" t="e">
        <v>#N/A</v>
      </c>
      <c r="I253" s="3" t="e">
        <v>#N/A</v>
      </c>
      <c r="J253" s="3" t="e">
        <v>#N/A</v>
      </c>
    </row>
    <row r="254" spans="1:10">
      <c r="A254" s="3" t="e">
        <v>#N/A</v>
      </c>
      <c r="B254" s="4" t="e">
        <v>#N/A</v>
      </c>
      <c r="C254" s="3" t="e">
        <v>#N/A</v>
      </c>
      <c r="D254" s="3" t="e">
        <v>#N/A</v>
      </c>
      <c r="E254" s="3" t="e">
        <v>#N/A</v>
      </c>
      <c r="F254" s="3" t="e">
        <v>#N/A</v>
      </c>
      <c r="G254" s="3" t="e">
        <v>#N/A</v>
      </c>
      <c r="H254" s="3" t="e">
        <v>#N/A</v>
      </c>
      <c r="I254" s="3" t="e">
        <v>#N/A</v>
      </c>
      <c r="J254" s="3" t="e">
        <v>#N/A</v>
      </c>
    </row>
    <row r="255" spans="1:10">
      <c r="A255" s="3" t="e">
        <v>#N/A</v>
      </c>
      <c r="B255" s="4" t="e">
        <v>#N/A</v>
      </c>
      <c r="C255" s="3" t="e">
        <v>#N/A</v>
      </c>
      <c r="D255" s="3" t="e">
        <v>#N/A</v>
      </c>
      <c r="E255" s="3" t="e">
        <v>#N/A</v>
      </c>
      <c r="F255" s="3" t="e">
        <v>#N/A</v>
      </c>
      <c r="G255" s="3" t="e">
        <v>#N/A</v>
      </c>
      <c r="H255" s="3" t="e">
        <v>#N/A</v>
      </c>
      <c r="I255" s="3" t="e">
        <v>#N/A</v>
      </c>
      <c r="J255" s="3" t="e">
        <v>#N/A</v>
      </c>
    </row>
    <row r="256" spans="1:10">
      <c r="A256" s="3" t="e">
        <v>#N/A</v>
      </c>
      <c r="B256" s="4" t="e">
        <v>#N/A</v>
      </c>
      <c r="C256" s="3" t="e">
        <v>#N/A</v>
      </c>
      <c r="D256" s="3" t="e">
        <v>#N/A</v>
      </c>
      <c r="E256" s="3" t="e">
        <v>#N/A</v>
      </c>
      <c r="F256" s="3" t="e">
        <v>#N/A</v>
      </c>
      <c r="G256" s="3" t="e">
        <v>#N/A</v>
      </c>
      <c r="H256" s="3" t="e">
        <v>#N/A</v>
      </c>
      <c r="I256" s="3" t="e">
        <v>#N/A</v>
      </c>
      <c r="J256" s="3" t="e">
        <v>#N/A</v>
      </c>
    </row>
    <row r="257" spans="1:10">
      <c r="A257" s="3" t="e">
        <v>#N/A</v>
      </c>
      <c r="B257" s="4" t="e">
        <v>#N/A</v>
      </c>
      <c r="C257" s="3" t="e">
        <v>#N/A</v>
      </c>
      <c r="D257" s="3" t="e">
        <v>#N/A</v>
      </c>
      <c r="E257" s="3" t="e">
        <v>#N/A</v>
      </c>
      <c r="F257" s="3" t="e">
        <v>#N/A</v>
      </c>
      <c r="G257" s="3" t="e">
        <v>#N/A</v>
      </c>
      <c r="H257" s="3" t="e">
        <v>#N/A</v>
      </c>
      <c r="I257" s="3" t="e">
        <v>#N/A</v>
      </c>
      <c r="J257" s="3" t="e">
        <v>#N/A</v>
      </c>
    </row>
    <row r="258" spans="1:10">
      <c r="A258" s="3" t="e">
        <v>#N/A</v>
      </c>
      <c r="B258" s="4" t="e">
        <v>#N/A</v>
      </c>
      <c r="C258" s="3" t="e">
        <v>#N/A</v>
      </c>
      <c r="D258" s="3" t="e">
        <v>#N/A</v>
      </c>
      <c r="E258" s="3" t="e">
        <v>#N/A</v>
      </c>
      <c r="F258" s="3" t="e">
        <v>#N/A</v>
      </c>
      <c r="G258" s="3" t="e">
        <v>#N/A</v>
      </c>
      <c r="H258" s="3" t="e">
        <v>#N/A</v>
      </c>
      <c r="I258" s="3" t="e">
        <v>#N/A</v>
      </c>
      <c r="J258" s="3" t="e">
        <v>#N/A</v>
      </c>
    </row>
    <row r="259" spans="1:10">
      <c r="A259" s="3" t="e">
        <v>#N/A</v>
      </c>
      <c r="B259" s="4" t="e">
        <v>#N/A</v>
      </c>
      <c r="C259" s="3" t="e">
        <v>#N/A</v>
      </c>
      <c r="D259" s="3" t="e">
        <v>#N/A</v>
      </c>
      <c r="E259" s="3" t="e">
        <v>#N/A</v>
      </c>
      <c r="F259" s="3" t="e">
        <v>#N/A</v>
      </c>
      <c r="G259" s="3" t="e">
        <v>#N/A</v>
      </c>
      <c r="H259" s="3" t="e">
        <v>#N/A</v>
      </c>
      <c r="I259" s="3" t="e">
        <v>#N/A</v>
      </c>
      <c r="J259" s="3" t="e">
        <v>#N/A</v>
      </c>
    </row>
    <row r="260" spans="1:10">
      <c r="A260" s="3" t="e">
        <v>#N/A</v>
      </c>
      <c r="B260" s="4" t="e">
        <v>#N/A</v>
      </c>
      <c r="C260" s="3" t="e">
        <v>#N/A</v>
      </c>
      <c r="D260" s="3" t="e">
        <v>#N/A</v>
      </c>
      <c r="E260" s="3" t="e">
        <v>#N/A</v>
      </c>
      <c r="F260" s="3" t="e">
        <v>#N/A</v>
      </c>
      <c r="G260" s="3" t="e">
        <v>#N/A</v>
      </c>
      <c r="H260" s="3" t="e">
        <v>#N/A</v>
      </c>
      <c r="I260" s="3" t="e">
        <v>#N/A</v>
      </c>
      <c r="J260" s="3" t="e">
        <v>#N/A</v>
      </c>
    </row>
    <row r="261" spans="1:10">
      <c r="A261" s="3" t="e">
        <v>#N/A</v>
      </c>
      <c r="B261" s="4" t="e">
        <v>#N/A</v>
      </c>
      <c r="C261" s="3" t="e">
        <v>#N/A</v>
      </c>
      <c r="D261" s="3" t="e">
        <v>#N/A</v>
      </c>
      <c r="E261" s="3" t="e">
        <v>#N/A</v>
      </c>
      <c r="F261" s="3" t="e">
        <v>#N/A</v>
      </c>
      <c r="G261" s="3" t="e">
        <v>#N/A</v>
      </c>
      <c r="H261" s="3" t="e">
        <v>#N/A</v>
      </c>
      <c r="I261" s="3" t="e">
        <v>#N/A</v>
      </c>
      <c r="J261" s="3" t="e">
        <v>#N/A</v>
      </c>
    </row>
    <row r="262" spans="1:10">
      <c r="A262" s="3" t="e">
        <v>#N/A</v>
      </c>
      <c r="B262" s="4" t="e">
        <v>#N/A</v>
      </c>
      <c r="C262" s="3" t="e">
        <v>#N/A</v>
      </c>
      <c r="D262" s="3" t="e">
        <v>#N/A</v>
      </c>
      <c r="E262" s="3" t="e">
        <v>#N/A</v>
      </c>
      <c r="F262" s="3" t="e">
        <v>#N/A</v>
      </c>
      <c r="G262" s="3" t="e">
        <v>#N/A</v>
      </c>
      <c r="H262" s="3" t="e">
        <v>#N/A</v>
      </c>
      <c r="I262" s="3" t="e">
        <v>#N/A</v>
      </c>
      <c r="J262" s="3" t="e">
        <v>#N/A</v>
      </c>
    </row>
    <row r="263" spans="1:10">
      <c r="A263" s="3" t="e">
        <v>#N/A</v>
      </c>
      <c r="B263" s="4" t="e">
        <v>#N/A</v>
      </c>
      <c r="C263" s="3" t="e">
        <v>#N/A</v>
      </c>
      <c r="D263" s="3" t="e">
        <v>#N/A</v>
      </c>
      <c r="E263" s="3" t="e">
        <v>#N/A</v>
      </c>
      <c r="F263" s="3" t="e">
        <v>#N/A</v>
      </c>
      <c r="G263" s="3" t="e">
        <v>#N/A</v>
      </c>
      <c r="H263" s="3" t="e">
        <v>#N/A</v>
      </c>
      <c r="I263" s="3" t="e">
        <v>#N/A</v>
      </c>
      <c r="J263" s="3" t="e">
        <v>#N/A</v>
      </c>
    </row>
    <row r="264" spans="1:10">
      <c r="A264" s="3" t="e">
        <v>#N/A</v>
      </c>
      <c r="B264" s="4" t="e">
        <v>#N/A</v>
      </c>
      <c r="C264" s="3" t="e">
        <v>#N/A</v>
      </c>
      <c r="D264" s="3" t="e">
        <v>#N/A</v>
      </c>
      <c r="E264" s="3" t="e">
        <v>#N/A</v>
      </c>
      <c r="F264" s="3" t="e">
        <v>#N/A</v>
      </c>
      <c r="G264" s="3" t="e">
        <v>#N/A</v>
      </c>
      <c r="H264" s="3" t="e">
        <v>#N/A</v>
      </c>
      <c r="I264" s="3" t="e">
        <v>#N/A</v>
      </c>
      <c r="J264" s="3" t="e">
        <v>#N/A</v>
      </c>
    </row>
    <row r="265" spans="1:10">
      <c r="A265" s="3" t="e">
        <v>#N/A</v>
      </c>
      <c r="B265" s="4" t="e">
        <v>#N/A</v>
      </c>
      <c r="C265" s="3" t="e">
        <v>#N/A</v>
      </c>
      <c r="D265" s="3" t="e">
        <v>#N/A</v>
      </c>
      <c r="E265" s="3" t="e">
        <v>#N/A</v>
      </c>
      <c r="F265" s="3" t="e">
        <v>#N/A</v>
      </c>
      <c r="G265" s="3" t="e">
        <v>#N/A</v>
      </c>
      <c r="H265" s="3" t="e">
        <v>#N/A</v>
      </c>
      <c r="I265" s="3" t="e">
        <v>#N/A</v>
      </c>
      <c r="J265" s="3" t="e">
        <v>#N/A</v>
      </c>
    </row>
    <row r="266" spans="1:10">
      <c r="A266" s="3" t="e">
        <v>#N/A</v>
      </c>
      <c r="B266" s="4" t="e">
        <v>#N/A</v>
      </c>
      <c r="C266" s="3" t="e">
        <v>#N/A</v>
      </c>
      <c r="D266" s="3" t="e">
        <v>#N/A</v>
      </c>
      <c r="E266" s="3" t="e">
        <v>#N/A</v>
      </c>
      <c r="F266" s="3" t="e">
        <v>#N/A</v>
      </c>
      <c r="G266" s="3" t="e">
        <v>#N/A</v>
      </c>
      <c r="H266" s="3" t="e">
        <v>#N/A</v>
      </c>
      <c r="I266" s="3" t="e">
        <v>#N/A</v>
      </c>
      <c r="J266" s="3" t="e">
        <v>#N/A</v>
      </c>
    </row>
    <row r="267" spans="1:10">
      <c r="A267" s="3" t="e">
        <v>#N/A</v>
      </c>
      <c r="B267" s="4" t="e">
        <v>#N/A</v>
      </c>
      <c r="C267" s="3" t="e">
        <v>#N/A</v>
      </c>
      <c r="D267" s="3" t="e">
        <v>#N/A</v>
      </c>
      <c r="E267" s="3" t="e">
        <v>#N/A</v>
      </c>
      <c r="F267" s="3" t="e">
        <v>#N/A</v>
      </c>
      <c r="G267" s="3" t="e">
        <v>#N/A</v>
      </c>
      <c r="H267" s="3" t="e">
        <v>#N/A</v>
      </c>
      <c r="I267" s="3" t="e">
        <v>#N/A</v>
      </c>
      <c r="J267" s="3" t="e">
        <v>#N/A</v>
      </c>
    </row>
    <row r="268" spans="1:10">
      <c r="A268" s="3" t="e">
        <v>#N/A</v>
      </c>
      <c r="B268" s="4" t="e">
        <v>#N/A</v>
      </c>
      <c r="C268" s="3" t="e">
        <v>#N/A</v>
      </c>
      <c r="D268" s="3" t="e">
        <v>#N/A</v>
      </c>
      <c r="E268" s="3" t="e">
        <v>#N/A</v>
      </c>
      <c r="F268" s="3" t="e">
        <v>#N/A</v>
      </c>
      <c r="G268" s="3" t="e">
        <v>#N/A</v>
      </c>
      <c r="H268" s="3" t="e">
        <v>#N/A</v>
      </c>
      <c r="I268" s="3" t="e">
        <v>#N/A</v>
      </c>
      <c r="J268" s="3" t="e">
        <v>#N/A</v>
      </c>
    </row>
    <row r="269" spans="1:10">
      <c r="A269" s="3" t="e">
        <v>#N/A</v>
      </c>
      <c r="B269" s="4" t="e">
        <v>#N/A</v>
      </c>
      <c r="C269" s="3" t="e">
        <v>#N/A</v>
      </c>
      <c r="D269" s="3" t="e">
        <v>#N/A</v>
      </c>
      <c r="E269" s="3" t="e">
        <v>#N/A</v>
      </c>
      <c r="F269" s="3" t="e">
        <v>#N/A</v>
      </c>
      <c r="G269" s="3" t="e">
        <v>#N/A</v>
      </c>
      <c r="H269" s="3" t="e">
        <v>#N/A</v>
      </c>
      <c r="I269" s="3" t="e">
        <v>#N/A</v>
      </c>
      <c r="J269" s="3" t="e">
        <v>#N/A</v>
      </c>
    </row>
    <row r="270" spans="1:10">
      <c r="A270" s="3" t="e">
        <v>#N/A</v>
      </c>
      <c r="B270" s="4" t="e">
        <v>#N/A</v>
      </c>
      <c r="C270" s="3" t="e">
        <v>#N/A</v>
      </c>
      <c r="D270" s="3" t="e">
        <v>#N/A</v>
      </c>
      <c r="E270" s="3" t="e">
        <v>#N/A</v>
      </c>
      <c r="F270" s="3" t="e">
        <v>#N/A</v>
      </c>
      <c r="G270" s="3" t="e">
        <v>#N/A</v>
      </c>
      <c r="H270" s="3" t="e">
        <v>#N/A</v>
      </c>
      <c r="I270" s="3" t="e">
        <v>#N/A</v>
      </c>
      <c r="J270" s="3" t="e">
        <v>#N/A</v>
      </c>
    </row>
    <row r="271" spans="1:10">
      <c r="A271" s="3" t="e">
        <v>#N/A</v>
      </c>
      <c r="B271" s="4" t="e">
        <v>#N/A</v>
      </c>
      <c r="C271" s="3" t="e">
        <v>#N/A</v>
      </c>
      <c r="D271" s="3" t="e">
        <v>#N/A</v>
      </c>
      <c r="E271" s="3" t="e">
        <v>#N/A</v>
      </c>
      <c r="F271" s="3" t="e">
        <v>#N/A</v>
      </c>
      <c r="G271" s="3" t="e">
        <v>#N/A</v>
      </c>
      <c r="H271" s="3" t="e">
        <v>#N/A</v>
      </c>
      <c r="I271" s="3" t="e">
        <v>#N/A</v>
      </c>
      <c r="J271" s="3" t="e">
        <v>#N/A</v>
      </c>
    </row>
    <row r="272" spans="1:10">
      <c r="A272" s="3" t="e">
        <v>#N/A</v>
      </c>
      <c r="B272" s="4" t="e">
        <v>#N/A</v>
      </c>
      <c r="C272" s="3" t="e">
        <v>#N/A</v>
      </c>
      <c r="D272" s="3" t="e">
        <v>#N/A</v>
      </c>
      <c r="E272" s="3" t="e">
        <v>#N/A</v>
      </c>
      <c r="F272" s="3" t="e">
        <v>#N/A</v>
      </c>
      <c r="G272" s="3" t="e">
        <v>#N/A</v>
      </c>
      <c r="H272" s="3" t="e">
        <v>#N/A</v>
      </c>
      <c r="I272" s="3" t="e">
        <v>#N/A</v>
      </c>
      <c r="J272" s="3" t="e">
        <v>#N/A</v>
      </c>
    </row>
    <row r="273" spans="1:10">
      <c r="A273" s="3" t="e">
        <v>#N/A</v>
      </c>
      <c r="B273" s="4" t="e">
        <v>#N/A</v>
      </c>
      <c r="C273" s="3" t="e">
        <v>#N/A</v>
      </c>
      <c r="D273" s="3" t="e">
        <v>#N/A</v>
      </c>
      <c r="E273" s="3" t="e">
        <v>#N/A</v>
      </c>
      <c r="F273" s="3" t="e">
        <v>#N/A</v>
      </c>
      <c r="G273" s="3" t="e">
        <v>#N/A</v>
      </c>
      <c r="H273" s="3" t="e">
        <v>#N/A</v>
      </c>
      <c r="I273" s="3" t="e">
        <v>#N/A</v>
      </c>
      <c r="J273" s="3" t="e">
        <v>#N/A</v>
      </c>
    </row>
    <row r="274" spans="1:10">
      <c r="A274" s="3" t="e">
        <v>#N/A</v>
      </c>
      <c r="B274" s="4" t="e">
        <v>#N/A</v>
      </c>
      <c r="C274" s="3" t="e">
        <v>#N/A</v>
      </c>
      <c r="D274" s="3" t="e">
        <v>#N/A</v>
      </c>
      <c r="E274" s="3" t="e">
        <v>#N/A</v>
      </c>
      <c r="F274" s="3" t="e">
        <v>#N/A</v>
      </c>
      <c r="G274" s="3" t="e">
        <v>#N/A</v>
      </c>
      <c r="H274" s="3" t="e">
        <v>#N/A</v>
      </c>
      <c r="I274" s="3" t="e">
        <v>#N/A</v>
      </c>
      <c r="J274" s="3" t="e">
        <v>#N/A</v>
      </c>
    </row>
    <row r="275" spans="1:10">
      <c r="A275" s="3" t="e">
        <v>#N/A</v>
      </c>
      <c r="B275" s="4" t="e">
        <v>#N/A</v>
      </c>
      <c r="C275" s="3" t="e">
        <v>#N/A</v>
      </c>
      <c r="D275" s="3" t="e">
        <v>#N/A</v>
      </c>
      <c r="E275" s="3" t="e">
        <v>#N/A</v>
      </c>
      <c r="F275" s="3" t="e">
        <v>#N/A</v>
      </c>
      <c r="G275" s="3" t="e">
        <v>#N/A</v>
      </c>
      <c r="H275" s="3" t="e">
        <v>#N/A</v>
      </c>
      <c r="I275" s="3" t="e">
        <v>#N/A</v>
      </c>
      <c r="J275" s="3" t="e">
        <v>#N/A</v>
      </c>
    </row>
    <row r="276" spans="1:10">
      <c r="A276" s="3" t="e">
        <v>#N/A</v>
      </c>
      <c r="B276" s="4" t="e">
        <v>#N/A</v>
      </c>
      <c r="C276" s="3" t="e">
        <v>#N/A</v>
      </c>
      <c r="D276" s="3" t="e">
        <v>#N/A</v>
      </c>
      <c r="E276" s="3" t="e">
        <v>#N/A</v>
      </c>
      <c r="F276" s="3" t="e">
        <v>#N/A</v>
      </c>
      <c r="G276" s="3" t="e">
        <v>#N/A</v>
      </c>
      <c r="H276" s="3" t="e">
        <v>#N/A</v>
      </c>
      <c r="I276" s="3" t="e">
        <v>#N/A</v>
      </c>
      <c r="J276" s="3" t="e">
        <v>#N/A</v>
      </c>
    </row>
    <row r="277" spans="1:10">
      <c r="A277" s="3" t="e">
        <v>#N/A</v>
      </c>
      <c r="B277" s="4" t="e">
        <v>#N/A</v>
      </c>
      <c r="C277" s="3" t="e">
        <v>#N/A</v>
      </c>
      <c r="D277" s="3" t="e">
        <v>#N/A</v>
      </c>
      <c r="E277" s="3" t="e">
        <v>#N/A</v>
      </c>
      <c r="F277" s="3" t="e">
        <v>#N/A</v>
      </c>
      <c r="G277" s="3" t="e">
        <v>#N/A</v>
      </c>
      <c r="H277" s="3" t="e">
        <v>#N/A</v>
      </c>
      <c r="I277" s="3" t="e">
        <v>#N/A</v>
      </c>
      <c r="J277" s="3" t="e">
        <v>#N/A</v>
      </c>
    </row>
    <row r="278" spans="1:10">
      <c r="A278" s="3" t="e">
        <v>#N/A</v>
      </c>
      <c r="B278" s="4" t="e">
        <v>#N/A</v>
      </c>
      <c r="C278" s="3" t="e">
        <v>#N/A</v>
      </c>
      <c r="D278" s="3" t="e">
        <v>#N/A</v>
      </c>
      <c r="E278" s="3" t="e">
        <v>#N/A</v>
      </c>
      <c r="F278" s="3" t="e">
        <v>#N/A</v>
      </c>
      <c r="G278" s="3" t="e">
        <v>#N/A</v>
      </c>
      <c r="H278" s="3" t="e">
        <v>#N/A</v>
      </c>
      <c r="I278" s="3" t="e">
        <v>#N/A</v>
      </c>
      <c r="J278" s="3" t="e">
        <v>#N/A</v>
      </c>
    </row>
    <row r="279" spans="1:10">
      <c r="A279" s="3" t="e">
        <v>#N/A</v>
      </c>
      <c r="B279" s="4" t="e">
        <v>#N/A</v>
      </c>
      <c r="C279" s="3" t="e">
        <v>#N/A</v>
      </c>
      <c r="D279" s="3" t="e">
        <v>#N/A</v>
      </c>
      <c r="E279" s="3" t="e">
        <v>#N/A</v>
      </c>
      <c r="F279" s="3" t="e">
        <v>#N/A</v>
      </c>
      <c r="G279" s="3" t="e">
        <v>#N/A</v>
      </c>
      <c r="H279" s="3" t="e">
        <v>#N/A</v>
      </c>
      <c r="I279" s="3" t="e">
        <v>#N/A</v>
      </c>
      <c r="J279" s="3" t="e">
        <v>#N/A</v>
      </c>
    </row>
    <row r="280" spans="1:10">
      <c r="A280" s="3" t="e">
        <v>#N/A</v>
      </c>
      <c r="B280" s="4" t="e">
        <v>#N/A</v>
      </c>
      <c r="C280" s="3" t="e">
        <v>#N/A</v>
      </c>
      <c r="D280" s="3" t="e">
        <v>#N/A</v>
      </c>
      <c r="E280" s="3" t="e">
        <v>#N/A</v>
      </c>
      <c r="F280" s="3" t="e">
        <v>#N/A</v>
      </c>
      <c r="G280" s="3" t="e">
        <v>#N/A</v>
      </c>
      <c r="H280" s="3" t="e">
        <v>#N/A</v>
      </c>
      <c r="I280" s="3" t="e">
        <v>#N/A</v>
      </c>
      <c r="J280" s="3" t="e">
        <v>#N/A</v>
      </c>
    </row>
    <row r="281" spans="1:10">
      <c r="A281" s="3" t="e">
        <v>#N/A</v>
      </c>
      <c r="B281" s="4" t="e">
        <v>#N/A</v>
      </c>
      <c r="C281" s="3" t="e">
        <v>#N/A</v>
      </c>
      <c r="D281" s="3" t="e">
        <v>#N/A</v>
      </c>
      <c r="E281" s="3" t="e">
        <v>#N/A</v>
      </c>
      <c r="F281" s="3" t="e">
        <v>#N/A</v>
      </c>
      <c r="G281" s="3" t="e">
        <v>#N/A</v>
      </c>
      <c r="H281" s="3" t="e">
        <v>#N/A</v>
      </c>
      <c r="I281" s="3" t="e">
        <v>#N/A</v>
      </c>
      <c r="J281" s="3" t="e">
        <v>#N/A</v>
      </c>
    </row>
    <row r="282" spans="1:10">
      <c r="A282" s="3" t="e">
        <v>#N/A</v>
      </c>
      <c r="B282" s="4" t="e">
        <v>#N/A</v>
      </c>
      <c r="C282" s="3" t="e">
        <v>#N/A</v>
      </c>
      <c r="D282" s="3" t="e">
        <v>#N/A</v>
      </c>
      <c r="E282" s="3" t="e">
        <v>#N/A</v>
      </c>
      <c r="F282" s="3" t="e">
        <v>#N/A</v>
      </c>
      <c r="G282" s="3" t="e">
        <v>#N/A</v>
      </c>
      <c r="H282" s="3" t="e">
        <v>#N/A</v>
      </c>
      <c r="I282" s="3" t="e">
        <v>#N/A</v>
      </c>
      <c r="J282" s="3" t="e">
        <v>#N/A</v>
      </c>
    </row>
    <row r="283" spans="1:10">
      <c r="A283" s="3" t="e">
        <v>#N/A</v>
      </c>
      <c r="B283" s="4" t="e">
        <v>#N/A</v>
      </c>
      <c r="C283" s="3" t="e">
        <v>#N/A</v>
      </c>
      <c r="D283" s="3" t="e">
        <v>#N/A</v>
      </c>
      <c r="E283" s="3" t="e">
        <v>#N/A</v>
      </c>
      <c r="F283" s="3" t="e">
        <v>#N/A</v>
      </c>
      <c r="G283" s="3" t="e">
        <v>#N/A</v>
      </c>
      <c r="H283" s="3" t="e">
        <v>#N/A</v>
      </c>
      <c r="I283" s="3" t="e">
        <v>#N/A</v>
      </c>
      <c r="J283" s="3" t="e">
        <v>#N/A</v>
      </c>
    </row>
    <row r="284" spans="1:10">
      <c r="A284" s="3" t="e">
        <v>#N/A</v>
      </c>
      <c r="B284" s="4" t="e">
        <v>#N/A</v>
      </c>
      <c r="C284" s="3" t="e">
        <v>#N/A</v>
      </c>
      <c r="D284" s="3" t="e">
        <v>#N/A</v>
      </c>
      <c r="E284" s="3" t="e">
        <v>#N/A</v>
      </c>
      <c r="F284" s="3" t="e">
        <v>#N/A</v>
      </c>
      <c r="G284" s="3" t="e">
        <v>#N/A</v>
      </c>
      <c r="H284" s="3" t="e">
        <v>#N/A</v>
      </c>
      <c r="I284" s="3" t="e">
        <v>#N/A</v>
      </c>
      <c r="J284" s="3" t="e">
        <v>#N/A</v>
      </c>
    </row>
    <row r="285" spans="1:10">
      <c r="A285" s="3" t="e">
        <v>#N/A</v>
      </c>
      <c r="B285" s="4" t="e">
        <v>#N/A</v>
      </c>
      <c r="C285" s="3" t="e">
        <v>#N/A</v>
      </c>
      <c r="D285" s="3" t="e">
        <v>#N/A</v>
      </c>
      <c r="E285" s="3" t="e">
        <v>#N/A</v>
      </c>
      <c r="F285" s="3" t="e">
        <v>#N/A</v>
      </c>
      <c r="G285" s="3" t="e">
        <v>#N/A</v>
      </c>
      <c r="H285" s="3" t="e">
        <v>#N/A</v>
      </c>
      <c r="I285" s="3" t="e">
        <v>#N/A</v>
      </c>
      <c r="J285" s="3" t="e">
        <v>#N/A</v>
      </c>
    </row>
    <row r="286" spans="1:10">
      <c r="A286" s="3" t="e">
        <v>#N/A</v>
      </c>
      <c r="B286" s="4" t="e">
        <v>#N/A</v>
      </c>
      <c r="C286" s="3" t="e">
        <v>#N/A</v>
      </c>
      <c r="D286" s="3" t="e">
        <v>#N/A</v>
      </c>
      <c r="E286" s="3" t="e">
        <v>#N/A</v>
      </c>
      <c r="F286" s="3" t="e">
        <v>#N/A</v>
      </c>
      <c r="G286" s="3" t="e">
        <v>#N/A</v>
      </c>
      <c r="H286" s="3" t="e">
        <v>#N/A</v>
      </c>
      <c r="I286" s="3" t="e">
        <v>#N/A</v>
      </c>
      <c r="J286" s="3" t="e">
        <v>#N/A</v>
      </c>
    </row>
    <row r="287" spans="1:10">
      <c r="A287" s="3" t="e">
        <v>#N/A</v>
      </c>
      <c r="B287" s="4" t="e">
        <v>#N/A</v>
      </c>
      <c r="C287" s="3" t="e">
        <v>#N/A</v>
      </c>
      <c r="D287" s="3" t="e">
        <v>#N/A</v>
      </c>
      <c r="E287" s="3" t="e">
        <v>#N/A</v>
      </c>
      <c r="F287" s="3" t="e">
        <v>#N/A</v>
      </c>
      <c r="G287" s="3" t="e">
        <v>#N/A</v>
      </c>
      <c r="H287" s="3" t="e">
        <v>#N/A</v>
      </c>
      <c r="I287" s="3" t="e">
        <v>#N/A</v>
      </c>
      <c r="J287" s="3" t="e">
        <v>#N/A</v>
      </c>
    </row>
    <row r="288" spans="1:10">
      <c r="A288" s="3" t="e">
        <v>#N/A</v>
      </c>
      <c r="B288" s="4" t="e">
        <v>#N/A</v>
      </c>
      <c r="C288" s="3" t="e">
        <v>#N/A</v>
      </c>
      <c r="D288" s="3" t="e">
        <v>#N/A</v>
      </c>
      <c r="E288" s="3" t="e">
        <v>#N/A</v>
      </c>
      <c r="F288" s="3" t="e">
        <v>#N/A</v>
      </c>
      <c r="G288" s="3" t="e">
        <v>#N/A</v>
      </c>
      <c r="H288" s="3" t="e">
        <v>#N/A</v>
      </c>
      <c r="I288" s="3" t="e">
        <v>#N/A</v>
      </c>
      <c r="J288" s="3" t="e">
        <v>#N/A</v>
      </c>
    </row>
    <row r="289" spans="1:10">
      <c r="A289" s="3" t="e">
        <v>#N/A</v>
      </c>
      <c r="B289" s="4" t="e">
        <v>#N/A</v>
      </c>
      <c r="C289" s="3" t="e">
        <v>#N/A</v>
      </c>
      <c r="D289" s="3" t="e">
        <v>#N/A</v>
      </c>
      <c r="E289" s="3" t="e">
        <v>#N/A</v>
      </c>
      <c r="F289" s="3" t="e">
        <v>#N/A</v>
      </c>
      <c r="G289" s="3" t="e">
        <v>#N/A</v>
      </c>
      <c r="H289" s="3" t="e">
        <v>#N/A</v>
      </c>
      <c r="I289" s="3" t="e">
        <v>#N/A</v>
      </c>
      <c r="J289" s="3" t="e">
        <v>#N/A</v>
      </c>
    </row>
    <row r="290" spans="1:10">
      <c r="A290" s="3" t="e">
        <v>#N/A</v>
      </c>
      <c r="B290" s="4" t="e">
        <v>#N/A</v>
      </c>
      <c r="C290" s="3" t="e">
        <v>#N/A</v>
      </c>
      <c r="D290" s="3" t="e">
        <v>#N/A</v>
      </c>
      <c r="E290" s="3" t="e">
        <v>#N/A</v>
      </c>
      <c r="F290" s="3" t="e">
        <v>#N/A</v>
      </c>
      <c r="G290" s="3" t="e">
        <v>#N/A</v>
      </c>
      <c r="H290" s="3" t="e">
        <v>#N/A</v>
      </c>
      <c r="I290" s="3" t="e">
        <v>#N/A</v>
      </c>
      <c r="J290" s="3" t="e">
        <v>#N/A</v>
      </c>
    </row>
    <row r="291" spans="1:10">
      <c r="A291" s="3" t="e">
        <v>#N/A</v>
      </c>
      <c r="B291" s="4" t="e">
        <v>#N/A</v>
      </c>
      <c r="C291" s="3" t="e">
        <v>#N/A</v>
      </c>
      <c r="D291" s="3" t="e">
        <v>#N/A</v>
      </c>
      <c r="E291" s="3" t="e">
        <v>#N/A</v>
      </c>
      <c r="F291" s="3" t="e">
        <v>#N/A</v>
      </c>
      <c r="G291" s="3" t="e">
        <v>#N/A</v>
      </c>
      <c r="H291" s="3" t="e">
        <v>#N/A</v>
      </c>
      <c r="I291" s="3" t="e">
        <v>#N/A</v>
      </c>
      <c r="J291" s="3" t="e">
        <v>#N/A</v>
      </c>
    </row>
    <row r="292" spans="1:10">
      <c r="A292" s="3" t="e">
        <v>#N/A</v>
      </c>
      <c r="B292" s="4" t="e">
        <v>#N/A</v>
      </c>
      <c r="C292" s="3" t="e">
        <v>#N/A</v>
      </c>
      <c r="D292" s="3" t="e">
        <v>#N/A</v>
      </c>
      <c r="E292" s="3" t="e">
        <v>#N/A</v>
      </c>
      <c r="F292" s="3" t="e">
        <v>#N/A</v>
      </c>
      <c r="G292" s="3" t="e">
        <v>#N/A</v>
      </c>
      <c r="H292" s="3" t="e">
        <v>#N/A</v>
      </c>
      <c r="I292" s="3" t="e">
        <v>#N/A</v>
      </c>
      <c r="J292" s="3" t="e">
        <v>#N/A</v>
      </c>
    </row>
    <row r="293" spans="1:10">
      <c r="A293" s="3" t="e">
        <v>#N/A</v>
      </c>
      <c r="B293" s="4" t="e">
        <v>#N/A</v>
      </c>
      <c r="C293" s="3" t="e">
        <v>#N/A</v>
      </c>
      <c r="D293" s="3" t="e">
        <v>#N/A</v>
      </c>
      <c r="E293" s="3" t="e">
        <v>#N/A</v>
      </c>
      <c r="F293" s="3" t="e">
        <v>#N/A</v>
      </c>
      <c r="G293" s="3" t="e">
        <v>#N/A</v>
      </c>
      <c r="H293" s="3" t="e">
        <v>#N/A</v>
      </c>
      <c r="I293" s="3" t="e">
        <v>#N/A</v>
      </c>
      <c r="J293" s="3" t="e">
        <v>#N/A</v>
      </c>
    </row>
    <row r="294" spans="1:10">
      <c r="A294" s="3" t="e">
        <v>#N/A</v>
      </c>
      <c r="B294" s="4" t="e">
        <v>#N/A</v>
      </c>
      <c r="C294" s="3" t="e">
        <v>#N/A</v>
      </c>
      <c r="D294" s="3" t="e">
        <v>#N/A</v>
      </c>
      <c r="E294" s="17" t="e">
        <v>#N/A</v>
      </c>
      <c r="F294" s="3" t="e">
        <v>#N/A</v>
      </c>
      <c r="G294" s="3" t="e">
        <v>#N/A</v>
      </c>
      <c r="H294" s="3" t="e">
        <v>#N/A</v>
      </c>
      <c r="I294" s="3" t="e">
        <v>#N/A</v>
      </c>
      <c r="J294" s="3" t="e">
        <v>#N/A</v>
      </c>
    </row>
    <row r="295" spans="1:10">
      <c r="A295" s="3" t="e">
        <v>#N/A</v>
      </c>
      <c r="B295" s="4" t="e">
        <v>#N/A</v>
      </c>
      <c r="C295" s="3" t="e">
        <v>#N/A</v>
      </c>
      <c r="D295" s="3" t="e">
        <v>#N/A</v>
      </c>
      <c r="E295" s="3" t="e">
        <v>#N/A</v>
      </c>
      <c r="F295" s="3" t="e">
        <v>#N/A</v>
      </c>
      <c r="G295" s="3" t="e">
        <v>#N/A</v>
      </c>
      <c r="H295" s="3" t="e">
        <v>#N/A</v>
      </c>
      <c r="I295" s="3" t="e">
        <v>#N/A</v>
      </c>
      <c r="J295" s="3" t="e">
        <v>#N/A</v>
      </c>
    </row>
    <row r="296" spans="1:10">
      <c r="A296" s="3" t="e">
        <v>#N/A</v>
      </c>
      <c r="B296" s="4" t="e">
        <v>#N/A</v>
      </c>
      <c r="C296" s="3" t="e">
        <v>#N/A</v>
      </c>
      <c r="D296" s="3" t="e">
        <v>#N/A</v>
      </c>
      <c r="E296" s="3" t="e">
        <v>#N/A</v>
      </c>
      <c r="F296" s="3" t="e">
        <v>#N/A</v>
      </c>
      <c r="G296" s="3" t="e">
        <v>#N/A</v>
      </c>
      <c r="H296" s="3" t="e">
        <v>#N/A</v>
      </c>
      <c r="I296" s="3" t="e">
        <v>#N/A</v>
      </c>
      <c r="J296" s="3" t="e">
        <v>#N/A</v>
      </c>
    </row>
    <row r="297" spans="1:10">
      <c r="A297" s="3" t="e">
        <v>#N/A</v>
      </c>
      <c r="B297" s="4" t="e">
        <v>#N/A</v>
      </c>
      <c r="C297" s="3" t="e">
        <v>#N/A</v>
      </c>
      <c r="D297" s="3" t="e">
        <v>#N/A</v>
      </c>
      <c r="E297" s="3" t="e">
        <v>#N/A</v>
      </c>
      <c r="F297" s="3" t="e">
        <v>#N/A</v>
      </c>
      <c r="G297" s="3" t="e">
        <v>#N/A</v>
      </c>
      <c r="H297" s="3" t="e">
        <v>#N/A</v>
      </c>
      <c r="I297" s="3" t="e">
        <v>#N/A</v>
      </c>
      <c r="J297" s="3" t="e">
        <v>#N/A</v>
      </c>
    </row>
    <row r="298" spans="1:10">
      <c r="A298" s="3" t="e">
        <v>#N/A</v>
      </c>
      <c r="B298" s="4" t="e">
        <v>#N/A</v>
      </c>
      <c r="C298" s="3" t="e">
        <v>#N/A</v>
      </c>
      <c r="D298" s="3" t="e">
        <v>#N/A</v>
      </c>
      <c r="E298" s="3" t="e">
        <v>#N/A</v>
      </c>
      <c r="F298" s="3" t="e">
        <v>#N/A</v>
      </c>
      <c r="G298" s="3" t="e">
        <v>#N/A</v>
      </c>
      <c r="H298" s="3" t="e">
        <v>#N/A</v>
      </c>
      <c r="I298" s="3" t="e">
        <v>#N/A</v>
      </c>
      <c r="J298" s="3" t="e">
        <v>#N/A</v>
      </c>
    </row>
    <row r="299" spans="1:10">
      <c r="A299" s="3" t="e">
        <v>#N/A</v>
      </c>
      <c r="B299" s="4" t="e">
        <v>#N/A</v>
      </c>
      <c r="C299" s="3" t="e">
        <v>#N/A</v>
      </c>
      <c r="D299" s="3" t="e">
        <v>#N/A</v>
      </c>
      <c r="E299" s="3" t="e">
        <v>#N/A</v>
      </c>
      <c r="F299" s="3" t="e">
        <v>#N/A</v>
      </c>
      <c r="G299" s="3" t="e">
        <v>#N/A</v>
      </c>
      <c r="H299" s="3" t="e">
        <v>#N/A</v>
      </c>
      <c r="I299" s="3" t="e">
        <v>#N/A</v>
      </c>
      <c r="J299" s="3" t="e">
        <v>#N/A</v>
      </c>
    </row>
    <row r="300" spans="1:10">
      <c r="A300" s="3" t="e">
        <v>#N/A</v>
      </c>
      <c r="B300" s="4" t="e">
        <v>#N/A</v>
      </c>
      <c r="C300" s="3" t="e">
        <v>#N/A</v>
      </c>
      <c r="D300" s="3" t="e">
        <v>#N/A</v>
      </c>
      <c r="E300" s="3" t="e">
        <v>#N/A</v>
      </c>
      <c r="F300" s="3" t="e">
        <v>#N/A</v>
      </c>
      <c r="G300" s="3" t="e">
        <v>#N/A</v>
      </c>
      <c r="H300" s="3" t="e">
        <v>#N/A</v>
      </c>
      <c r="I300" s="3" t="e">
        <v>#N/A</v>
      </c>
      <c r="J300" s="3" t="e">
        <v>#N/A</v>
      </c>
    </row>
    <row r="301" spans="1:10">
      <c r="A301" s="3" t="e">
        <v>#N/A</v>
      </c>
      <c r="B301" s="4" t="e">
        <v>#N/A</v>
      </c>
      <c r="C301" s="3" t="e">
        <v>#N/A</v>
      </c>
      <c r="D301" s="3" t="e">
        <v>#N/A</v>
      </c>
      <c r="E301" s="3" t="e">
        <v>#N/A</v>
      </c>
      <c r="F301" s="3" t="e">
        <v>#N/A</v>
      </c>
      <c r="G301" s="3" t="e">
        <v>#N/A</v>
      </c>
      <c r="H301" s="3" t="e">
        <v>#N/A</v>
      </c>
      <c r="I301" s="3" t="e">
        <v>#N/A</v>
      </c>
      <c r="J301" s="3" t="e">
        <v>#N/A</v>
      </c>
    </row>
    <row r="302" spans="1:10">
      <c r="A302" s="3" t="e">
        <v>#N/A</v>
      </c>
      <c r="B302" s="4" t="e">
        <v>#N/A</v>
      </c>
      <c r="C302" s="3" t="e">
        <v>#N/A</v>
      </c>
      <c r="D302" s="3" t="e">
        <v>#N/A</v>
      </c>
      <c r="E302" s="3" t="e">
        <v>#N/A</v>
      </c>
      <c r="F302" s="3" t="e">
        <v>#N/A</v>
      </c>
      <c r="G302" s="3" t="e">
        <v>#N/A</v>
      </c>
      <c r="H302" s="3" t="e">
        <v>#N/A</v>
      </c>
      <c r="I302" s="3" t="e">
        <v>#N/A</v>
      </c>
      <c r="J302" s="3" t="e">
        <v>#N/A</v>
      </c>
    </row>
    <row r="303" spans="1:10">
      <c r="A303" s="3" t="e">
        <v>#N/A</v>
      </c>
      <c r="B303" s="4" t="e">
        <v>#N/A</v>
      </c>
      <c r="C303" s="3" t="e">
        <v>#N/A</v>
      </c>
      <c r="D303" s="3" t="e">
        <v>#N/A</v>
      </c>
      <c r="E303" s="3" t="e">
        <v>#N/A</v>
      </c>
      <c r="F303" s="3" t="e">
        <v>#N/A</v>
      </c>
      <c r="G303" s="3" t="e">
        <v>#N/A</v>
      </c>
      <c r="H303" s="3" t="e">
        <v>#N/A</v>
      </c>
      <c r="I303" s="3" t="e">
        <v>#N/A</v>
      </c>
      <c r="J303" s="3" t="e">
        <v>#N/A</v>
      </c>
    </row>
    <row r="304" spans="1:10">
      <c r="A304" s="3" t="e">
        <v>#N/A</v>
      </c>
      <c r="B304" s="4" t="e">
        <v>#N/A</v>
      </c>
      <c r="C304" s="3" t="e">
        <v>#N/A</v>
      </c>
      <c r="D304" s="3" t="e">
        <v>#N/A</v>
      </c>
      <c r="E304" s="3" t="e">
        <v>#N/A</v>
      </c>
      <c r="F304" s="3" t="e">
        <v>#N/A</v>
      </c>
      <c r="G304" s="3" t="e">
        <v>#N/A</v>
      </c>
      <c r="H304" s="3" t="e">
        <v>#N/A</v>
      </c>
      <c r="I304" s="3" t="e">
        <v>#N/A</v>
      </c>
      <c r="J304" s="3" t="e">
        <v>#N/A</v>
      </c>
    </row>
    <row r="305" spans="1:10">
      <c r="A305" s="3" t="e">
        <v>#N/A</v>
      </c>
      <c r="B305" s="4" t="e">
        <v>#N/A</v>
      </c>
      <c r="C305" s="3" t="e">
        <v>#N/A</v>
      </c>
      <c r="D305" s="3" t="e">
        <v>#N/A</v>
      </c>
      <c r="E305" s="3" t="e">
        <v>#N/A</v>
      </c>
      <c r="F305" s="3" t="e">
        <v>#N/A</v>
      </c>
      <c r="G305" s="3" t="e">
        <v>#N/A</v>
      </c>
      <c r="H305" s="3" t="e">
        <v>#N/A</v>
      </c>
      <c r="I305" s="3" t="e">
        <v>#N/A</v>
      </c>
      <c r="J305" s="3" t="e">
        <v>#N/A</v>
      </c>
    </row>
    <row r="306" spans="1:10">
      <c r="A306" s="3" t="e">
        <v>#N/A</v>
      </c>
      <c r="B306" s="4" t="e">
        <v>#N/A</v>
      </c>
      <c r="C306" s="3" t="e">
        <v>#N/A</v>
      </c>
      <c r="D306" s="3" t="e">
        <v>#N/A</v>
      </c>
      <c r="E306" s="3" t="e">
        <v>#N/A</v>
      </c>
      <c r="F306" s="3" t="e">
        <v>#N/A</v>
      </c>
      <c r="G306" s="3" t="e">
        <v>#N/A</v>
      </c>
      <c r="H306" s="3" t="e">
        <v>#N/A</v>
      </c>
      <c r="I306" s="3" t="e">
        <v>#N/A</v>
      </c>
      <c r="J306" s="3" t="e">
        <v>#N/A</v>
      </c>
    </row>
    <row r="307" spans="1:10">
      <c r="A307" s="3" t="e">
        <v>#N/A</v>
      </c>
      <c r="B307" s="4" t="e">
        <v>#N/A</v>
      </c>
      <c r="C307" s="3" t="e">
        <v>#N/A</v>
      </c>
      <c r="D307" s="3" t="e">
        <v>#N/A</v>
      </c>
      <c r="E307" s="3" t="e">
        <v>#N/A</v>
      </c>
      <c r="F307" s="3" t="e">
        <v>#N/A</v>
      </c>
      <c r="G307" s="3" t="e">
        <v>#N/A</v>
      </c>
      <c r="H307" s="3" t="e">
        <v>#N/A</v>
      </c>
      <c r="I307" s="3" t="e">
        <v>#N/A</v>
      </c>
      <c r="J307" s="3" t="e">
        <v>#N/A</v>
      </c>
    </row>
    <row r="308" spans="1:10">
      <c r="A308" s="3" t="e">
        <v>#N/A</v>
      </c>
      <c r="B308" s="4" t="e">
        <v>#N/A</v>
      </c>
      <c r="C308" s="3" t="e">
        <v>#N/A</v>
      </c>
      <c r="D308" s="3" t="e">
        <v>#N/A</v>
      </c>
      <c r="E308" s="3" t="e">
        <v>#N/A</v>
      </c>
      <c r="F308" s="3" t="e">
        <v>#N/A</v>
      </c>
      <c r="G308" s="3" t="e">
        <v>#N/A</v>
      </c>
      <c r="H308" s="3" t="e">
        <v>#N/A</v>
      </c>
      <c r="I308" s="3" t="e">
        <v>#N/A</v>
      </c>
      <c r="J308" s="3" t="e">
        <v>#N/A</v>
      </c>
    </row>
    <row r="309" spans="1:10">
      <c r="A309" s="3" t="e">
        <v>#N/A</v>
      </c>
      <c r="B309" s="4" t="e">
        <v>#N/A</v>
      </c>
      <c r="C309" s="3" t="e">
        <v>#N/A</v>
      </c>
      <c r="D309" s="3" t="e">
        <v>#N/A</v>
      </c>
      <c r="E309" s="3" t="e">
        <v>#N/A</v>
      </c>
      <c r="F309" s="3" t="e">
        <v>#N/A</v>
      </c>
      <c r="G309" s="3" t="e">
        <v>#N/A</v>
      </c>
      <c r="H309" s="3" t="e">
        <v>#N/A</v>
      </c>
      <c r="I309" s="3" t="e">
        <v>#N/A</v>
      </c>
      <c r="J309" s="3" t="e">
        <v>#N/A</v>
      </c>
    </row>
    <row r="310" spans="1:10">
      <c r="A310" s="3" t="e">
        <v>#N/A</v>
      </c>
      <c r="B310" s="4" t="e">
        <v>#N/A</v>
      </c>
      <c r="C310" s="3" t="e">
        <v>#N/A</v>
      </c>
      <c r="D310" s="3" t="e">
        <v>#N/A</v>
      </c>
      <c r="E310" s="3" t="e">
        <v>#N/A</v>
      </c>
      <c r="F310" s="3" t="e">
        <v>#N/A</v>
      </c>
      <c r="G310" s="3" t="e">
        <v>#N/A</v>
      </c>
      <c r="H310" s="3" t="e">
        <v>#N/A</v>
      </c>
      <c r="I310" s="3" t="e">
        <v>#N/A</v>
      </c>
      <c r="J310" s="3" t="e">
        <v>#N/A</v>
      </c>
    </row>
    <row r="311" spans="1:10">
      <c r="A311" s="3" t="e">
        <v>#N/A</v>
      </c>
      <c r="B311" s="4" t="e">
        <v>#N/A</v>
      </c>
      <c r="C311" s="3" t="e">
        <v>#N/A</v>
      </c>
      <c r="D311" s="3" t="e">
        <v>#N/A</v>
      </c>
      <c r="E311" s="3" t="e">
        <v>#N/A</v>
      </c>
      <c r="F311" s="3" t="e">
        <v>#N/A</v>
      </c>
      <c r="G311" s="3" t="e">
        <v>#N/A</v>
      </c>
      <c r="H311" s="3" t="e">
        <v>#N/A</v>
      </c>
      <c r="I311" s="3" t="e">
        <v>#N/A</v>
      </c>
      <c r="J311" s="3" t="e">
        <v>#N/A</v>
      </c>
    </row>
    <row r="312" spans="1:10">
      <c r="A312" s="3" t="e">
        <v>#N/A</v>
      </c>
      <c r="B312" s="4" t="e">
        <v>#N/A</v>
      </c>
      <c r="C312" s="3" t="e">
        <v>#N/A</v>
      </c>
      <c r="D312" s="3" t="e">
        <v>#N/A</v>
      </c>
      <c r="E312" s="3" t="e">
        <v>#N/A</v>
      </c>
      <c r="F312" s="3" t="e">
        <v>#N/A</v>
      </c>
      <c r="G312" s="3" t="e">
        <v>#N/A</v>
      </c>
      <c r="H312" s="3" t="e">
        <v>#N/A</v>
      </c>
      <c r="I312" s="3" t="e">
        <v>#N/A</v>
      </c>
      <c r="J312" s="3" t="e">
        <v>#N/A</v>
      </c>
    </row>
    <row r="313" spans="1:10">
      <c r="A313" s="3" t="e">
        <v>#N/A</v>
      </c>
      <c r="B313" s="4" t="e">
        <v>#N/A</v>
      </c>
      <c r="C313" s="3" t="e">
        <v>#N/A</v>
      </c>
      <c r="D313" s="3" t="e">
        <v>#N/A</v>
      </c>
      <c r="E313" s="3" t="e">
        <v>#N/A</v>
      </c>
      <c r="F313" s="3" t="e">
        <v>#N/A</v>
      </c>
      <c r="G313" s="3" t="e">
        <v>#N/A</v>
      </c>
      <c r="H313" s="3" t="e">
        <v>#N/A</v>
      </c>
      <c r="I313" s="3" t="e">
        <v>#N/A</v>
      </c>
      <c r="J313" s="3" t="e">
        <v>#N/A</v>
      </c>
    </row>
    <row r="314" spans="1:10">
      <c r="A314" s="3" t="e">
        <v>#N/A</v>
      </c>
      <c r="B314" s="4" t="e">
        <v>#N/A</v>
      </c>
      <c r="C314" s="3" t="e">
        <v>#N/A</v>
      </c>
      <c r="D314" s="3" t="e">
        <v>#N/A</v>
      </c>
      <c r="E314" s="3" t="e">
        <v>#N/A</v>
      </c>
      <c r="F314" s="3" t="e">
        <v>#N/A</v>
      </c>
      <c r="G314" s="3" t="e">
        <v>#N/A</v>
      </c>
      <c r="H314" s="3" t="e">
        <v>#N/A</v>
      </c>
      <c r="I314" s="3" t="e">
        <v>#N/A</v>
      </c>
      <c r="J314" s="3" t="e">
        <v>#N/A</v>
      </c>
    </row>
    <row r="315" spans="1:10">
      <c r="A315" s="3" t="e">
        <v>#N/A</v>
      </c>
      <c r="B315" s="4" t="e">
        <v>#N/A</v>
      </c>
      <c r="C315" s="3" t="e">
        <v>#N/A</v>
      </c>
      <c r="D315" s="3" t="e">
        <v>#N/A</v>
      </c>
      <c r="E315" s="3" t="e">
        <v>#N/A</v>
      </c>
      <c r="F315" s="3" t="e">
        <v>#N/A</v>
      </c>
      <c r="G315" s="3" t="e">
        <v>#N/A</v>
      </c>
      <c r="H315" s="3" t="e">
        <v>#N/A</v>
      </c>
      <c r="I315" s="3" t="e">
        <v>#N/A</v>
      </c>
      <c r="J315" s="3" t="e">
        <v>#N/A</v>
      </c>
    </row>
    <row r="316" spans="1:10">
      <c r="A316" s="3" t="e">
        <v>#N/A</v>
      </c>
      <c r="B316" s="4" t="e">
        <v>#N/A</v>
      </c>
      <c r="C316" s="3" t="e">
        <v>#N/A</v>
      </c>
      <c r="D316" s="3" t="e">
        <v>#N/A</v>
      </c>
      <c r="E316" s="3" t="e">
        <v>#N/A</v>
      </c>
      <c r="F316" s="3" t="e">
        <v>#N/A</v>
      </c>
      <c r="G316" s="3" t="e">
        <v>#N/A</v>
      </c>
      <c r="H316" s="3" t="e">
        <v>#N/A</v>
      </c>
      <c r="I316" s="3" t="e">
        <v>#N/A</v>
      </c>
      <c r="J316" s="3" t="e">
        <v>#N/A</v>
      </c>
    </row>
    <row r="317" spans="1:10">
      <c r="A317" s="3" t="e">
        <v>#N/A</v>
      </c>
      <c r="B317" s="4" t="e">
        <v>#N/A</v>
      </c>
      <c r="C317" s="3" t="e">
        <v>#N/A</v>
      </c>
      <c r="D317" s="3" t="e">
        <v>#N/A</v>
      </c>
      <c r="E317" s="3" t="e">
        <v>#N/A</v>
      </c>
      <c r="F317" s="3" t="e">
        <v>#N/A</v>
      </c>
      <c r="G317" s="3" t="e">
        <v>#N/A</v>
      </c>
      <c r="H317" s="3" t="e">
        <v>#N/A</v>
      </c>
      <c r="I317" s="3" t="e">
        <v>#N/A</v>
      </c>
      <c r="J317" s="3" t="e">
        <v>#N/A</v>
      </c>
    </row>
    <row r="318" spans="1:10">
      <c r="A318" s="3" t="e">
        <v>#N/A</v>
      </c>
      <c r="B318" s="4" t="e">
        <v>#N/A</v>
      </c>
      <c r="C318" s="3" t="e">
        <v>#N/A</v>
      </c>
      <c r="D318" s="3" t="e">
        <v>#N/A</v>
      </c>
      <c r="E318" s="3" t="e">
        <v>#N/A</v>
      </c>
      <c r="F318" s="3" t="e">
        <v>#N/A</v>
      </c>
      <c r="G318" s="3" t="e">
        <v>#N/A</v>
      </c>
      <c r="H318" s="3" t="e">
        <v>#N/A</v>
      </c>
      <c r="I318" s="3" t="e">
        <v>#N/A</v>
      </c>
      <c r="J318" s="3" t="e">
        <v>#N/A</v>
      </c>
    </row>
    <row r="319" spans="1:10">
      <c r="A319" s="3" t="e">
        <v>#N/A</v>
      </c>
      <c r="B319" s="4" t="e">
        <v>#N/A</v>
      </c>
      <c r="C319" s="3" t="e">
        <v>#N/A</v>
      </c>
      <c r="D319" s="3" t="e">
        <v>#N/A</v>
      </c>
      <c r="E319" s="3" t="e">
        <v>#N/A</v>
      </c>
      <c r="F319" s="3" t="e">
        <v>#N/A</v>
      </c>
      <c r="G319" s="3" t="e">
        <v>#N/A</v>
      </c>
      <c r="H319" s="3" t="e">
        <v>#N/A</v>
      </c>
      <c r="I319" s="3" t="e">
        <v>#N/A</v>
      </c>
      <c r="J319" s="3" t="e">
        <v>#N/A</v>
      </c>
    </row>
    <row r="320" spans="1:10">
      <c r="A320" s="3" t="e">
        <v>#N/A</v>
      </c>
      <c r="B320" s="4" t="e">
        <v>#N/A</v>
      </c>
      <c r="C320" s="3" t="e">
        <v>#N/A</v>
      </c>
      <c r="D320" s="3" t="e">
        <v>#N/A</v>
      </c>
      <c r="E320" s="3" t="e">
        <v>#N/A</v>
      </c>
      <c r="F320" s="3" t="e">
        <v>#N/A</v>
      </c>
      <c r="G320" s="3" t="e">
        <v>#N/A</v>
      </c>
      <c r="H320" s="3" t="e">
        <v>#N/A</v>
      </c>
      <c r="I320" s="3" t="e">
        <v>#N/A</v>
      </c>
      <c r="J320" s="3" t="e">
        <v>#N/A</v>
      </c>
    </row>
    <row r="321" spans="1:10">
      <c r="A321" s="3" t="e">
        <v>#N/A</v>
      </c>
      <c r="B321" s="4" t="e">
        <v>#N/A</v>
      </c>
      <c r="C321" s="3" t="e">
        <v>#N/A</v>
      </c>
      <c r="D321" s="3" t="e">
        <v>#N/A</v>
      </c>
      <c r="E321" s="3" t="e">
        <v>#N/A</v>
      </c>
      <c r="F321" s="3" t="e">
        <v>#N/A</v>
      </c>
      <c r="G321" s="3" t="e">
        <v>#N/A</v>
      </c>
      <c r="H321" s="3" t="e">
        <v>#N/A</v>
      </c>
      <c r="I321" s="3" t="e">
        <v>#N/A</v>
      </c>
      <c r="J321" s="3" t="e">
        <v>#N/A</v>
      </c>
    </row>
    <row r="322" spans="1:10">
      <c r="A322" s="3" t="e">
        <v>#N/A</v>
      </c>
      <c r="B322" s="4" t="e">
        <v>#N/A</v>
      </c>
      <c r="C322" s="3" t="e">
        <v>#N/A</v>
      </c>
      <c r="D322" s="3" t="e">
        <v>#N/A</v>
      </c>
      <c r="E322" s="3" t="e">
        <v>#N/A</v>
      </c>
      <c r="F322" s="3" t="e">
        <v>#N/A</v>
      </c>
      <c r="G322" s="3" t="e">
        <v>#N/A</v>
      </c>
      <c r="H322" s="3" t="e">
        <v>#N/A</v>
      </c>
      <c r="I322" s="3" t="e">
        <v>#N/A</v>
      </c>
      <c r="J322" s="3" t="e">
        <v>#N/A</v>
      </c>
    </row>
    <row r="323" spans="1:10">
      <c r="A323" s="3" t="e">
        <v>#N/A</v>
      </c>
      <c r="B323" s="4" t="e">
        <v>#N/A</v>
      </c>
      <c r="C323" s="3" t="e">
        <v>#N/A</v>
      </c>
      <c r="D323" s="3" t="e">
        <v>#N/A</v>
      </c>
      <c r="E323" s="3" t="e">
        <v>#N/A</v>
      </c>
      <c r="F323" s="3" t="e">
        <v>#N/A</v>
      </c>
      <c r="G323" s="3" t="e">
        <v>#N/A</v>
      </c>
      <c r="H323" s="3" t="e">
        <v>#N/A</v>
      </c>
      <c r="I323" s="3" t="e">
        <v>#N/A</v>
      </c>
      <c r="J323" s="3" t="e">
        <v>#N/A</v>
      </c>
    </row>
    <row r="324" spans="1:10">
      <c r="A324" s="3" t="e">
        <v>#N/A</v>
      </c>
      <c r="B324" s="4" t="e">
        <v>#N/A</v>
      </c>
      <c r="C324" s="3" t="e">
        <v>#N/A</v>
      </c>
      <c r="D324" s="3" t="e">
        <v>#N/A</v>
      </c>
      <c r="E324" s="3" t="e">
        <v>#N/A</v>
      </c>
      <c r="F324" s="3" t="e">
        <v>#N/A</v>
      </c>
      <c r="G324" s="3" t="e">
        <v>#N/A</v>
      </c>
      <c r="H324" s="3" t="e">
        <v>#N/A</v>
      </c>
      <c r="I324" s="3" t="e">
        <v>#N/A</v>
      </c>
      <c r="J324" s="3" t="e">
        <v>#N/A</v>
      </c>
    </row>
    <row r="325" spans="1:10">
      <c r="A325" s="3" t="e">
        <v>#N/A</v>
      </c>
      <c r="B325" s="4" t="e">
        <v>#N/A</v>
      </c>
      <c r="C325" s="3" t="e">
        <v>#N/A</v>
      </c>
      <c r="D325" s="3" t="e">
        <v>#N/A</v>
      </c>
      <c r="E325" s="3" t="e">
        <v>#N/A</v>
      </c>
      <c r="F325" s="3" t="e">
        <v>#N/A</v>
      </c>
      <c r="G325" s="3" t="e">
        <v>#N/A</v>
      </c>
      <c r="H325" s="3" t="e">
        <v>#N/A</v>
      </c>
      <c r="I325" s="3" t="e">
        <v>#N/A</v>
      </c>
      <c r="J325" s="3" t="e">
        <v>#N/A</v>
      </c>
    </row>
    <row r="326" spans="1:10">
      <c r="A326" s="3" t="e">
        <v>#N/A</v>
      </c>
      <c r="B326" s="4" t="e">
        <v>#N/A</v>
      </c>
      <c r="C326" s="3" t="e">
        <v>#N/A</v>
      </c>
      <c r="D326" s="3" t="e">
        <v>#N/A</v>
      </c>
      <c r="E326" s="3" t="e">
        <v>#N/A</v>
      </c>
      <c r="F326" s="3" t="e">
        <v>#N/A</v>
      </c>
      <c r="G326" s="3" t="e">
        <v>#N/A</v>
      </c>
      <c r="H326" s="3" t="e">
        <v>#N/A</v>
      </c>
      <c r="I326" s="3" t="e">
        <v>#N/A</v>
      </c>
      <c r="J326" s="3" t="e">
        <v>#N/A</v>
      </c>
    </row>
    <row r="327" spans="1:10">
      <c r="A327" s="3" t="e">
        <v>#N/A</v>
      </c>
      <c r="B327" s="4" t="e">
        <v>#N/A</v>
      </c>
      <c r="C327" s="3" t="e">
        <v>#N/A</v>
      </c>
      <c r="D327" s="3" t="e">
        <v>#N/A</v>
      </c>
      <c r="E327" s="3" t="e">
        <v>#N/A</v>
      </c>
      <c r="F327" s="3" t="e">
        <v>#N/A</v>
      </c>
      <c r="G327" s="3" t="e">
        <v>#N/A</v>
      </c>
      <c r="H327" s="3" t="e">
        <v>#N/A</v>
      </c>
      <c r="I327" s="3" t="e">
        <v>#N/A</v>
      </c>
      <c r="J327" s="3" t="e">
        <v>#N/A</v>
      </c>
    </row>
    <row r="328" spans="1:10">
      <c r="A328" s="3" t="e">
        <v>#N/A</v>
      </c>
      <c r="B328" s="4" t="e">
        <v>#N/A</v>
      </c>
      <c r="C328" s="3" t="e">
        <v>#N/A</v>
      </c>
      <c r="D328" s="3" t="e">
        <v>#N/A</v>
      </c>
      <c r="E328" s="3" t="e">
        <v>#N/A</v>
      </c>
      <c r="F328" s="3" t="e">
        <v>#N/A</v>
      </c>
      <c r="G328" s="3" t="e">
        <v>#N/A</v>
      </c>
      <c r="H328" s="3" t="e">
        <v>#N/A</v>
      </c>
      <c r="I328" s="3" t="e">
        <v>#N/A</v>
      </c>
      <c r="J328" s="3" t="e">
        <v>#N/A</v>
      </c>
    </row>
    <row r="329" spans="1:10">
      <c r="A329" s="3" t="e">
        <v>#N/A</v>
      </c>
      <c r="B329" s="4" t="e">
        <v>#N/A</v>
      </c>
      <c r="C329" s="3" t="e">
        <v>#N/A</v>
      </c>
      <c r="D329" s="3" t="e">
        <v>#N/A</v>
      </c>
      <c r="E329" s="3" t="e">
        <v>#N/A</v>
      </c>
      <c r="F329" s="3" t="e">
        <v>#N/A</v>
      </c>
      <c r="G329" s="3" t="e">
        <v>#N/A</v>
      </c>
      <c r="H329" s="3" t="e">
        <v>#N/A</v>
      </c>
      <c r="I329" s="3" t="e">
        <v>#N/A</v>
      </c>
      <c r="J329" s="3" t="e">
        <v>#N/A</v>
      </c>
    </row>
    <row r="330" spans="1:10">
      <c r="A330" s="3" t="e">
        <v>#N/A</v>
      </c>
      <c r="B330" s="4" t="e">
        <v>#N/A</v>
      </c>
      <c r="C330" s="3" t="e">
        <v>#N/A</v>
      </c>
      <c r="D330" s="3" t="e">
        <v>#N/A</v>
      </c>
      <c r="E330" s="3" t="e">
        <v>#N/A</v>
      </c>
      <c r="F330" s="3" t="e">
        <v>#N/A</v>
      </c>
      <c r="G330" s="3" t="e">
        <v>#N/A</v>
      </c>
      <c r="H330" s="3" t="e">
        <v>#N/A</v>
      </c>
      <c r="I330" s="3" t="e">
        <v>#N/A</v>
      </c>
      <c r="J330" s="3" t="e">
        <v>#N/A</v>
      </c>
    </row>
    <row r="331" spans="1:10">
      <c r="A331" s="3" t="e">
        <v>#N/A</v>
      </c>
      <c r="B331" s="4" t="e">
        <v>#N/A</v>
      </c>
      <c r="C331" s="3" t="e">
        <v>#N/A</v>
      </c>
      <c r="D331" s="3" t="e">
        <v>#N/A</v>
      </c>
      <c r="E331" s="3" t="e">
        <v>#N/A</v>
      </c>
      <c r="F331" s="3" t="e">
        <v>#N/A</v>
      </c>
      <c r="G331" s="3" t="e">
        <v>#N/A</v>
      </c>
      <c r="H331" s="3" t="e">
        <v>#N/A</v>
      </c>
      <c r="I331" s="3" t="e">
        <v>#N/A</v>
      </c>
      <c r="J331" s="3" t="e">
        <v>#N/A</v>
      </c>
    </row>
    <row r="332" spans="1:10">
      <c r="A332" s="3" t="e">
        <v>#N/A</v>
      </c>
      <c r="B332" s="4" t="e">
        <v>#N/A</v>
      </c>
      <c r="C332" s="3" t="e">
        <v>#N/A</v>
      </c>
      <c r="D332" s="3" t="e">
        <v>#N/A</v>
      </c>
      <c r="E332" s="3" t="e">
        <v>#N/A</v>
      </c>
      <c r="F332" s="3" t="e">
        <v>#N/A</v>
      </c>
      <c r="G332" s="3" t="e">
        <v>#N/A</v>
      </c>
      <c r="H332" s="3" t="e">
        <v>#N/A</v>
      </c>
      <c r="I332" s="3" t="e">
        <v>#N/A</v>
      </c>
      <c r="J332" s="3" t="e">
        <v>#N/A</v>
      </c>
    </row>
    <row r="333" spans="1:10">
      <c r="A333" s="3" t="e">
        <v>#N/A</v>
      </c>
      <c r="B333" s="4" t="e">
        <v>#N/A</v>
      </c>
      <c r="C333" s="3" t="e">
        <v>#N/A</v>
      </c>
      <c r="D333" s="3" t="e">
        <v>#N/A</v>
      </c>
      <c r="E333" s="3" t="e">
        <v>#N/A</v>
      </c>
      <c r="F333" s="3" t="e">
        <v>#N/A</v>
      </c>
      <c r="G333" s="3" t="e">
        <v>#N/A</v>
      </c>
      <c r="H333" s="3" t="e">
        <v>#N/A</v>
      </c>
      <c r="I333" s="3" t="e">
        <v>#N/A</v>
      </c>
      <c r="J333" s="3" t="e">
        <v>#N/A</v>
      </c>
    </row>
    <row r="334" spans="1:10">
      <c r="A334" s="3" t="e">
        <v>#N/A</v>
      </c>
      <c r="B334" s="4" t="e">
        <v>#N/A</v>
      </c>
      <c r="C334" s="3" t="e">
        <v>#N/A</v>
      </c>
      <c r="D334" s="3" t="e">
        <v>#N/A</v>
      </c>
      <c r="E334" s="3" t="e">
        <v>#N/A</v>
      </c>
      <c r="F334" s="3" t="e">
        <v>#N/A</v>
      </c>
      <c r="G334" s="3" t="e">
        <v>#N/A</v>
      </c>
      <c r="H334" s="3" t="e">
        <v>#N/A</v>
      </c>
      <c r="I334" s="3" t="e">
        <v>#N/A</v>
      </c>
      <c r="J334" s="3" t="e">
        <v>#N/A</v>
      </c>
    </row>
    <row r="335" spans="1:10">
      <c r="A335" s="3" t="e">
        <v>#N/A</v>
      </c>
      <c r="B335" s="4" t="e">
        <v>#N/A</v>
      </c>
      <c r="C335" s="3" t="e">
        <v>#N/A</v>
      </c>
      <c r="D335" s="3" t="e">
        <v>#N/A</v>
      </c>
      <c r="E335" s="3" t="e">
        <v>#N/A</v>
      </c>
      <c r="F335" s="3" t="e">
        <v>#N/A</v>
      </c>
      <c r="G335" s="3" t="e">
        <v>#N/A</v>
      </c>
      <c r="H335" s="3" t="e">
        <v>#N/A</v>
      </c>
      <c r="I335" s="3" t="e">
        <v>#N/A</v>
      </c>
      <c r="J335" s="3" t="e">
        <v>#N/A</v>
      </c>
    </row>
    <row r="336" spans="1:10">
      <c r="A336" s="3" t="e">
        <v>#N/A</v>
      </c>
      <c r="B336" s="4" t="e">
        <v>#N/A</v>
      </c>
      <c r="C336" s="3" t="e">
        <v>#N/A</v>
      </c>
      <c r="D336" s="3" t="e">
        <v>#N/A</v>
      </c>
      <c r="E336" s="3" t="e">
        <v>#N/A</v>
      </c>
      <c r="F336" s="3" t="e">
        <v>#N/A</v>
      </c>
      <c r="G336" s="3" t="e">
        <v>#N/A</v>
      </c>
      <c r="H336" s="3" t="e">
        <v>#N/A</v>
      </c>
      <c r="I336" s="3" t="e">
        <v>#N/A</v>
      </c>
      <c r="J336" s="3" t="e">
        <v>#N/A</v>
      </c>
    </row>
    <row r="337" spans="1:10">
      <c r="A337" s="3" t="e">
        <v>#N/A</v>
      </c>
      <c r="B337" s="4" t="e">
        <v>#N/A</v>
      </c>
      <c r="C337" s="3" t="e">
        <v>#N/A</v>
      </c>
      <c r="D337" s="3" t="e">
        <v>#N/A</v>
      </c>
      <c r="E337" s="3" t="e">
        <v>#N/A</v>
      </c>
      <c r="F337" s="3" t="e">
        <v>#N/A</v>
      </c>
      <c r="G337" s="3" t="e">
        <v>#N/A</v>
      </c>
      <c r="H337" s="3" t="e">
        <v>#N/A</v>
      </c>
      <c r="I337" s="3" t="e">
        <v>#N/A</v>
      </c>
      <c r="J337" s="3" t="e">
        <v>#N/A</v>
      </c>
    </row>
    <row r="338" spans="1:10">
      <c r="A338" s="3" t="e">
        <v>#N/A</v>
      </c>
      <c r="B338" s="4" t="e">
        <v>#N/A</v>
      </c>
      <c r="C338" s="3" t="e">
        <v>#N/A</v>
      </c>
      <c r="D338" s="3" t="e">
        <v>#N/A</v>
      </c>
      <c r="E338" s="3" t="e">
        <v>#N/A</v>
      </c>
      <c r="F338" s="3" t="e">
        <v>#N/A</v>
      </c>
      <c r="G338" s="3" t="e">
        <v>#N/A</v>
      </c>
      <c r="H338" s="3" t="e">
        <v>#N/A</v>
      </c>
      <c r="I338" s="3" t="e">
        <v>#N/A</v>
      </c>
      <c r="J338" s="3" t="e">
        <v>#N/A</v>
      </c>
    </row>
    <row r="339" spans="1:10">
      <c r="A339" s="3" t="e">
        <v>#N/A</v>
      </c>
      <c r="B339" s="4" t="e">
        <v>#N/A</v>
      </c>
      <c r="C339" s="3" t="e">
        <v>#N/A</v>
      </c>
      <c r="D339" s="3" t="e">
        <v>#N/A</v>
      </c>
      <c r="E339" s="3" t="e">
        <v>#N/A</v>
      </c>
      <c r="F339" s="3" t="e">
        <v>#N/A</v>
      </c>
      <c r="G339" s="3" t="e">
        <v>#N/A</v>
      </c>
      <c r="H339" s="3" t="e">
        <v>#N/A</v>
      </c>
      <c r="I339" s="3" t="e">
        <v>#N/A</v>
      </c>
      <c r="J339" s="3" t="e">
        <v>#N/A</v>
      </c>
    </row>
    <row r="340" spans="1:10">
      <c r="A340" s="3" t="e">
        <v>#N/A</v>
      </c>
      <c r="B340" s="4" t="e">
        <v>#N/A</v>
      </c>
      <c r="C340" s="3" t="e">
        <v>#N/A</v>
      </c>
      <c r="D340" s="3" t="e">
        <v>#N/A</v>
      </c>
      <c r="E340" s="3" t="e">
        <v>#N/A</v>
      </c>
      <c r="F340" s="3" t="e">
        <v>#N/A</v>
      </c>
      <c r="G340" s="3" t="e">
        <v>#N/A</v>
      </c>
      <c r="H340" s="3" t="e">
        <v>#N/A</v>
      </c>
      <c r="I340" s="3" t="e">
        <v>#N/A</v>
      </c>
      <c r="J340" s="3" t="e">
        <v>#N/A</v>
      </c>
    </row>
    <row r="341" spans="1:10">
      <c r="A341" s="3" t="e">
        <v>#N/A</v>
      </c>
      <c r="B341" s="4" t="e">
        <v>#N/A</v>
      </c>
      <c r="C341" s="3" t="e">
        <v>#N/A</v>
      </c>
      <c r="D341" s="3" t="e">
        <v>#N/A</v>
      </c>
      <c r="E341" s="3" t="e">
        <v>#N/A</v>
      </c>
      <c r="F341" s="3" t="e">
        <v>#N/A</v>
      </c>
      <c r="G341" s="3" t="e">
        <v>#N/A</v>
      </c>
      <c r="H341" s="3" t="e">
        <v>#N/A</v>
      </c>
      <c r="I341" s="3" t="e">
        <v>#N/A</v>
      </c>
      <c r="J341" s="3" t="e">
        <v>#N/A</v>
      </c>
    </row>
    <row r="342" spans="1:10">
      <c r="A342" s="3" t="e">
        <v>#N/A</v>
      </c>
      <c r="B342" s="4" t="e">
        <v>#N/A</v>
      </c>
      <c r="C342" s="3" t="e">
        <v>#N/A</v>
      </c>
      <c r="D342" s="3" t="e">
        <v>#N/A</v>
      </c>
      <c r="E342" s="3" t="e">
        <v>#N/A</v>
      </c>
      <c r="F342" s="3" t="e">
        <v>#N/A</v>
      </c>
      <c r="G342" s="3" t="e">
        <v>#N/A</v>
      </c>
      <c r="H342" s="3" t="e">
        <v>#N/A</v>
      </c>
      <c r="I342" s="3" t="e">
        <v>#N/A</v>
      </c>
      <c r="J342" s="3" t="e">
        <v>#N/A</v>
      </c>
    </row>
    <row r="343" spans="1:10">
      <c r="A343" s="3" t="e">
        <v>#N/A</v>
      </c>
      <c r="B343" s="4" t="e">
        <v>#N/A</v>
      </c>
      <c r="C343" s="3" t="e">
        <v>#N/A</v>
      </c>
      <c r="D343" s="3" t="e">
        <v>#N/A</v>
      </c>
      <c r="E343" s="3" t="e">
        <v>#N/A</v>
      </c>
      <c r="F343" s="3" t="e">
        <v>#N/A</v>
      </c>
      <c r="G343" s="3" t="e">
        <v>#N/A</v>
      </c>
      <c r="H343" s="3" t="e">
        <v>#N/A</v>
      </c>
      <c r="I343" s="3" t="e">
        <v>#N/A</v>
      </c>
      <c r="J343" s="3" t="e">
        <v>#N/A</v>
      </c>
    </row>
    <row r="344" spans="1:10">
      <c r="A344" s="3" t="e">
        <v>#N/A</v>
      </c>
      <c r="B344" s="4" t="e">
        <v>#N/A</v>
      </c>
      <c r="C344" s="3" t="e">
        <v>#N/A</v>
      </c>
      <c r="D344" s="3" t="e">
        <v>#N/A</v>
      </c>
      <c r="E344" s="3" t="e">
        <v>#N/A</v>
      </c>
      <c r="F344" s="3" t="e">
        <v>#N/A</v>
      </c>
      <c r="G344" s="3" t="e">
        <v>#N/A</v>
      </c>
      <c r="H344" s="3" t="e">
        <v>#N/A</v>
      </c>
      <c r="I344" s="3" t="e">
        <v>#N/A</v>
      </c>
      <c r="J344" s="3" t="e">
        <v>#N/A</v>
      </c>
    </row>
    <row r="345" spans="1:10">
      <c r="A345" s="3" t="e">
        <v>#N/A</v>
      </c>
      <c r="B345" s="4" t="e">
        <v>#N/A</v>
      </c>
      <c r="C345" s="3" t="e">
        <v>#N/A</v>
      </c>
      <c r="D345" s="3" t="e">
        <v>#N/A</v>
      </c>
      <c r="E345" s="3" t="e">
        <v>#N/A</v>
      </c>
      <c r="F345" s="3" t="e">
        <v>#N/A</v>
      </c>
      <c r="G345" s="3" t="e">
        <v>#N/A</v>
      </c>
      <c r="H345" s="3" t="e">
        <v>#N/A</v>
      </c>
      <c r="I345" s="3" t="e">
        <v>#N/A</v>
      </c>
      <c r="J345" s="3" t="e">
        <v>#N/A</v>
      </c>
    </row>
    <row r="346" spans="1:10">
      <c r="A346" s="3" t="e">
        <v>#N/A</v>
      </c>
      <c r="B346" s="4" t="e">
        <v>#N/A</v>
      </c>
      <c r="C346" s="3" t="e">
        <v>#N/A</v>
      </c>
      <c r="D346" s="3" t="e">
        <v>#N/A</v>
      </c>
      <c r="E346" s="3" t="e">
        <v>#N/A</v>
      </c>
      <c r="F346" s="3" t="e">
        <v>#N/A</v>
      </c>
      <c r="G346" s="3" t="e">
        <v>#N/A</v>
      </c>
      <c r="H346" s="3" t="e">
        <v>#N/A</v>
      </c>
      <c r="I346" s="3" t="e">
        <v>#N/A</v>
      </c>
      <c r="J346" s="3" t="e">
        <v>#N/A</v>
      </c>
    </row>
    <row r="347" spans="1:10">
      <c r="A347" s="3" t="e">
        <v>#N/A</v>
      </c>
      <c r="B347" s="4" t="e">
        <v>#N/A</v>
      </c>
      <c r="C347" s="3" t="e">
        <v>#N/A</v>
      </c>
      <c r="D347" s="3" t="e">
        <v>#N/A</v>
      </c>
      <c r="E347" s="3" t="e">
        <v>#N/A</v>
      </c>
      <c r="F347" s="3" t="e">
        <v>#N/A</v>
      </c>
      <c r="G347" s="3" t="e">
        <v>#N/A</v>
      </c>
      <c r="H347" s="3" t="e">
        <v>#N/A</v>
      </c>
      <c r="I347" s="3" t="e">
        <v>#N/A</v>
      </c>
      <c r="J347" s="3" t="e">
        <v>#N/A</v>
      </c>
    </row>
    <row r="348" spans="1:10">
      <c r="A348" s="3" t="e">
        <v>#N/A</v>
      </c>
      <c r="B348" s="4" t="e">
        <v>#N/A</v>
      </c>
      <c r="C348" s="3" t="e">
        <v>#N/A</v>
      </c>
      <c r="D348" s="3" t="e">
        <v>#N/A</v>
      </c>
      <c r="E348" s="3" t="e">
        <v>#N/A</v>
      </c>
      <c r="F348" s="3" t="e">
        <v>#N/A</v>
      </c>
      <c r="G348" s="3" t="e">
        <v>#N/A</v>
      </c>
      <c r="H348" s="3" t="e">
        <v>#N/A</v>
      </c>
      <c r="I348" s="3" t="e">
        <v>#N/A</v>
      </c>
      <c r="J348" s="3" t="e">
        <v>#N/A</v>
      </c>
    </row>
    <row r="349" spans="1:10">
      <c r="A349" s="3" t="e">
        <v>#N/A</v>
      </c>
      <c r="B349" s="4" t="e">
        <v>#N/A</v>
      </c>
      <c r="C349" s="3" t="e">
        <v>#N/A</v>
      </c>
      <c r="D349" s="3" t="e">
        <v>#N/A</v>
      </c>
      <c r="E349" s="3" t="e">
        <v>#N/A</v>
      </c>
      <c r="F349" s="3" t="e">
        <v>#N/A</v>
      </c>
      <c r="G349" s="3" t="e">
        <v>#N/A</v>
      </c>
      <c r="H349" s="3" t="e">
        <v>#N/A</v>
      </c>
      <c r="I349" s="3" t="e">
        <v>#N/A</v>
      </c>
      <c r="J349" s="3" t="e">
        <v>#N/A</v>
      </c>
    </row>
    <row r="350" spans="1:10">
      <c r="A350" s="3" t="e">
        <v>#N/A</v>
      </c>
      <c r="B350" s="4" t="e">
        <v>#N/A</v>
      </c>
      <c r="C350" s="3" t="e">
        <v>#N/A</v>
      </c>
      <c r="D350" s="3" t="e">
        <v>#N/A</v>
      </c>
      <c r="E350" s="3" t="e">
        <v>#N/A</v>
      </c>
      <c r="F350" s="3" t="e">
        <v>#N/A</v>
      </c>
      <c r="G350" s="3" t="e">
        <v>#N/A</v>
      </c>
      <c r="H350" s="3" t="e">
        <v>#N/A</v>
      </c>
      <c r="I350" s="3" t="e">
        <v>#N/A</v>
      </c>
      <c r="J350" s="3" t="e">
        <v>#N/A</v>
      </c>
    </row>
    <row r="351" spans="1:10">
      <c r="A351" s="3" t="e">
        <v>#N/A</v>
      </c>
      <c r="B351" s="4" t="e">
        <v>#N/A</v>
      </c>
      <c r="C351" s="3" t="e">
        <v>#N/A</v>
      </c>
      <c r="D351" s="3" t="e">
        <v>#N/A</v>
      </c>
      <c r="E351" s="3" t="e">
        <v>#N/A</v>
      </c>
      <c r="F351" s="3" t="e">
        <v>#N/A</v>
      </c>
      <c r="G351" s="3" t="e">
        <v>#N/A</v>
      </c>
      <c r="H351" s="3" t="e">
        <v>#N/A</v>
      </c>
      <c r="I351" s="3" t="e">
        <v>#N/A</v>
      </c>
      <c r="J351" s="3" t="e">
        <v>#N/A</v>
      </c>
    </row>
    <row r="352" spans="1:10">
      <c r="A352" s="3" t="e">
        <v>#N/A</v>
      </c>
      <c r="B352" s="4" t="e">
        <v>#N/A</v>
      </c>
      <c r="C352" s="3" t="e">
        <v>#N/A</v>
      </c>
      <c r="D352" s="3" t="e">
        <v>#N/A</v>
      </c>
      <c r="E352" s="3" t="e">
        <v>#N/A</v>
      </c>
      <c r="F352" s="3" t="e">
        <v>#N/A</v>
      </c>
      <c r="G352" s="3" t="e">
        <v>#N/A</v>
      </c>
      <c r="H352" s="3" t="e">
        <v>#N/A</v>
      </c>
      <c r="I352" s="3" t="e">
        <v>#N/A</v>
      </c>
      <c r="J352" s="3" t="e">
        <v>#N/A</v>
      </c>
    </row>
    <row r="353" spans="1:10">
      <c r="A353" s="3" t="e">
        <v>#N/A</v>
      </c>
      <c r="B353" s="4" t="e">
        <v>#N/A</v>
      </c>
      <c r="C353" s="3" t="e">
        <v>#N/A</v>
      </c>
      <c r="D353" s="3" t="e">
        <v>#N/A</v>
      </c>
      <c r="E353" s="3" t="e">
        <v>#N/A</v>
      </c>
      <c r="F353" s="3" t="e">
        <v>#N/A</v>
      </c>
      <c r="G353" s="3" t="e">
        <v>#N/A</v>
      </c>
      <c r="H353" s="3" t="e">
        <v>#N/A</v>
      </c>
      <c r="I353" s="3" t="e">
        <v>#N/A</v>
      </c>
      <c r="J353" s="3" t="e">
        <v>#N/A</v>
      </c>
    </row>
    <row r="354" spans="1:10">
      <c r="A354" s="3" t="e">
        <v>#N/A</v>
      </c>
      <c r="B354" s="4" t="e">
        <v>#N/A</v>
      </c>
      <c r="C354" s="3" t="e">
        <v>#N/A</v>
      </c>
      <c r="D354" s="3" t="e">
        <v>#N/A</v>
      </c>
      <c r="E354" s="3" t="e">
        <v>#N/A</v>
      </c>
      <c r="F354" s="3" t="e">
        <v>#N/A</v>
      </c>
      <c r="G354" s="3" t="e">
        <v>#N/A</v>
      </c>
      <c r="H354" s="3" t="e">
        <v>#N/A</v>
      </c>
      <c r="I354" s="3" t="e">
        <v>#N/A</v>
      </c>
      <c r="J354" s="3" t="e">
        <v>#N/A</v>
      </c>
    </row>
    <row r="355" spans="1:10">
      <c r="A355" s="3" t="e">
        <v>#N/A</v>
      </c>
      <c r="B355" s="4" t="e">
        <v>#N/A</v>
      </c>
      <c r="C355" s="3" t="e">
        <v>#N/A</v>
      </c>
      <c r="D355" s="3" t="e">
        <v>#N/A</v>
      </c>
      <c r="E355" s="3" t="e">
        <v>#N/A</v>
      </c>
      <c r="F355" s="3" t="e">
        <v>#N/A</v>
      </c>
      <c r="G355" s="3" t="e">
        <v>#N/A</v>
      </c>
      <c r="H355" s="3" t="e">
        <v>#N/A</v>
      </c>
      <c r="I355" s="3" t="e">
        <v>#N/A</v>
      </c>
      <c r="J355" s="3" t="e">
        <v>#N/A</v>
      </c>
    </row>
    <row r="356" spans="1:10">
      <c r="A356" s="3" t="e">
        <v>#N/A</v>
      </c>
      <c r="B356" s="4" t="e">
        <v>#N/A</v>
      </c>
      <c r="C356" s="3" t="e">
        <v>#N/A</v>
      </c>
      <c r="D356" s="3" t="e">
        <v>#N/A</v>
      </c>
      <c r="E356" s="3" t="e">
        <v>#N/A</v>
      </c>
      <c r="F356" s="3" t="e">
        <v>#N/A</v>
      </c>
      <c r="G356" s="3" t="e">
        <v>#N/A</v>
      </c>
      <c r="H356" s="3" t="e">
        <v>#N/A</v>
      </c>
      <c r="I356" s="3" t="e">
        <v>#N/A</v>
      </c>
      <c r="J356" s="3" t="e">
        <v>#N/A</v>
      </c>
    </row>
    <row r="357" spans="1:10">
      <c r="A357" s="3" t="e">
        <v>#N/A</v>
      </c>
      <c r="B357" s="4" t="e">
        <v>#N/A</v>
      </c>
      <c r="C357" s="3" t="e">
        <v>#N/A</v>
      </c>
      <c r="D357" s="3" t="e">
        <v>#N/A</v>
      </c>
      <c r="E357" s="3" t="e">
        <v>#N/A</v>
      </c>
      <c r="F357" s="3" t="e">
        <v>#N/A</v>
      </c>
      <c r="G357" s="3" t="e">
        <v>#N/A</v>
      </c>
      <c r="H357" s="3" t="e">
        <v>#N/A</v>
      </c>
      <c r="I357" s="3" t="e">
        <v>#N/A</v>
      </c>
      <c r="J357" s="3" t="e">
        <v>#N/A</v>
      </c>
    </row>
    <row r="358" spans="1:10">
      <c r="A358" s="3" t="e">
        <v>#N/A</v>
      </c>
      <c r="B358" s="4" t="e">
        <v>#N/A</v>
      </c>
      <c r="C358" s="3" t="e">
        <v>#N/A</v>
      </c>
      <c r="D358" s="3" t="e">
        <v>#N/A</v>
      </c>
      <c r="E358" s="3" t="e">
        <v>#N/A</v>
      </c>
      <c r="F358" s="3" t="e">
        <v>#N/A</v>
      </c>
      <c r="G358" s="3" t="e">
        <v>#N/A</v>
      </c>
      <c r="H358" s="3" t="e">
        <v>#N/A</v>
      </c>
      <c r="I358" s="3" t="e">
        <v>#N/A</v>
      </c>
      <c r="J358" s="3" t="e">
        <v>#N/A</v>
      </c>
    </row>
    <row r="359" spans="1:10">
      <c r="A359" s="3" t="e">
        <v>#N/A</v>
      </c>
      <c r="B359" s="4" t="e">
        <v>#N/A</v>
      </c>
      <c r="C359" s="3" t="e">
        <v>#N/A</v>
      </c>
      <c r="D359" s="3" t="e">
        <v>#N/A</v>
      </c>
      <c r="E359" s="3" t="e">
        <v>#N/A</v>
      </c>
      <c r="F359" s="3" t="e">
        <v>#N/A</v>
      </c>
      <c r="G359" s="3" t="e">
        <v>#N/A</v>
      </c>
      <c r="H359" s="3" t="e">
        <v>#N/A</v>
      </c>
      <c r="I359" s="3" t="e">
        <v>#N/A</v>
      </c>
      <c r="J359" s="3" t="e">
        <v>#N/A</v>
      </c>
    </row>
    <row r="360" spans="1:10">
      <c r="A360" s="3" t="e">
        <v>#N/A</v>
      </c>
      <c r="B360" s="4" t="e">
        <v>#N/A</v>
      </c>
      <c r="C360" s="3" t="e">
        <v>#N/A</v>
      </c>
      <c r="D360" s="3" t="e">
        <v>#N/A</v>
      </c>
      <c r="E360" s="3" t="e">
        <v>#N/A</v>
      </c>
      <c r="F360" s="3" t="e">
        <v>#N/A</v>
      </c>
      <c r="G360" s="3" t="e">
        <v>#N/A</v>
      </c>
      <c r="H360" s="3" t="e">
        <v>#N/A</v>
      </c>
      <c r="I360" s="3" t="e">
        <v>#N/A</v>
      </c>
      <c r="J360" s="3" t="e">
        <v>#N/A</v>
      </c>
    </row>
    <row r="361" spans="1:10">
      <c r="A361" s="3" t="e">
        <v>#N/A</v>
      </c>
      <c r="B361" s="4" t="e">
        <v>#N/A</v>
      </c>
      <c r="C361" s="3" t="e">
        <v>#N/A</v>
      </c>
      <c r="D361" s="3" t="e">
        <v>#N/A</v>
      </c>
      <c r="E361" s="3" t="e">
        <v>#N/A</v>
      </c>
      <c r="F361" s="3" t="e">
        <v>#N/A</v>
      </c>
      <c r="G361" s="3" t="e">
        <v>#N/A</v>
      </c>
      <c r="H361" s="3" t="e">
        <v>#N/A</v>
      </c>
      <c r="I361" s="3" t="e">
        <v>#N/A</v>
      </c>
      <c r="J361" s="3" t="e">
        <v>#N/A</v>
      </c>
    </row>
    <row r="362" spans="1:10">
      <c r="A362" s="3" t="e">
        <v>#N/A</v>
      </c>
      <c r="B362" s="4" t="e">
        <v>#N/A</v>
      </c>
      <c r="C362" s="3" t="e">
        <v>#N/A</v>
      </c>
      <c r="D362" s="3" t="e">
        <v>#N/A</v>
      </c>
      <c r="E362" s="3" t="e">
        <v>#N/A</v>
      </c>
      <c r="F362" s="3" t="e">
        <v>#N/A</v>
      </c>
      <c r="G362" s="3" t="e">
        <v>#N/A</v>
      </c>
      <c r="H362" s="3" t="e">
        <v>#N/A</v>
      </c>
      <c r="I362" s="3" t="e">
        <v>#N/A</v>
      </c>
      <c r="J362" s="3" t="e">
        <v>#N/A</v>
      </c>
    </row>
    <row r="363" spans="1:10">
      <c r="A363" s="3" t="e">
        <v>#N/A</v>
      </c>
      <c r="B363" s="4" t="e">
        <v>#N/A</v>
      </c>
      <c r="C363" s="3" t="e">
        <v>#N/A</v>
      </c>
      <c r="D363" s="3" t="e">
        <v>#N/A</v>
      </c>
      <c r="E363" s="3" t="e">
        <v>#N/A</v>
      </c>
      <c r="F363" s="3" t="e">
        <v>#N/A</v>
      </c>
      <c r="G363" s="3" t="e">
        <v>#N/A</v>
      </c>
      <c r="H363" s="3" t="e">
        <v>#N/A</v>
      </c>
      <c r="I363" s="3" t="e">
        <v>#N/A</v>
      </c>
      <c r="J363" s="3" t="e">
        <v>#N/A</v>
      </c>
    </row>
    <row r="364" spans="1:10">
      <c r="A364" s="3" t="e">
        <v>#N/A</v>
      </c>
      <c r="B364" s="4" t="e">
        <v>#N/A</v>
      </c>
      <c r="C364" s="3" t="e">
        <v>#N/A</v>
      </c>
      <c r="D364" s="3" t="e">
        <v>#N/A</v>
      </c>
      <c r="E364" s="3" t="e">
        <v>#N/A</v>
      </c>
      <c r="F364" s="3" t="e">
        <v>#N/A</v>
      </c>
      <c r="G364" s="3" t="e">
        <v>#N/A</v>
      </c>
      <c r="H364" s="3" t="e">
        <v>#N/A</v>
      </c>
      <c r="I364" s="3" t="e">
        <v>#N/A</v>
      </c>
      <c r="J364" s="3" t="e">
        <v>#N/A</v>
      </c>
    </row>
    <row r="365" spans="1:10">
      <c r="A365" s="3" t="e">
        <v>#N/A</v>
      </c>
      <c r="B365" s="4" t="e">
        <v>#N/A</v>
      </c>
      <c r="C365" s="3" t="e">
        <v>#N/A</v>
      </c>
      <c r="D365" s="3" t="e">
        <v>#N/A</v>
      </c>
      <c r="E365" s="3" t="e">
        <v>#N/A</v>
      </c>
      <c r="F365" s="3" t="e">
        <v>#N/A</v>
      </c>
      <c r="G365" s="3" t="e">
        <v>#N/A</v>
      </c>
      <c r="H365" s="3" t="e">
        <v>#N/A</v>
      </c>
      <c r="I365" s="3" t="e">
        <v>#N/A</v>
      </c>
      <c r="J365" s="3" t="e">
        <v>#N/A</v>
      </c>
    </row>
    <row r="366" spans="1:10">
      <c r="A366" s="3" t="e">
        <v>#N/A</v>
      </c>
      <c r="B366" s="4" t="e">
        <v>#N/A</v>
      </c>
      <c r="C366" s="3" t="e">
        <v>#N/A</v>
      </c>
      <c r="D366" s="3" t="e">
        <v>#N/A</v>
      </c>
      <c r="E366" s="3" t="e">
        <v>#N/A</v>
      </c>
      <c r="F366" s="3" t="e">
        <v>#N/A</v>
      </c>
      <c r="G366" s="3" t="e">
        <v>#N/A</v>
      </c>
      <c r="H366" s="3" t="e">
        <v>#N/A</v>
      </c>
      <c r="I366" s="3" t="e">
        <v>#N/A</v>
      </c>
      <c r="J366" s="3" t="e">
        <v>#N/A</v>
      </c>
    </row>
    <row r="367" spans="1:10">
      <c r="A367" s="3" t="e">
        <v>#N/A</v>
      </c>
      <c r="B367" s="4" t="e">
        <v>#N/A</v>
      </c>
      <c r="C367" s="3" t="e">
        <v>#N/A</v>
      </c>
      <c r="D367" s="3" t="e">
        <v>#N/A</v>
      </c>
      <c r="E367" s="3" t="e">
        <v>#N/A</v>
      </c>
      <c r="F367" s="3" t="e">
        <v>#N/A</v>
      </c>
      <c r="G367" s="3" t="e">
        <v>#N/A</v>
      </c>
      <c r="H367" s="3" t="e">
        <v>#N/A</v>
      </c>
      <c r="I367" s="3" t="e">
        <v>#N/A</v>
      </c>
      <c r="J367" s="3" t="e">
        <v>#N/A</v>
      </c>
    </row>
    <row r="368" spans="1:10">
      <c r="A368" s="3" t="e">
        <v>#N/A</v>
      </c>
      <c r="B368" s="4" t="e">
        <v>#N/A</v>
      </c>
      <c r="C368" s="3" t="e">
        <v>#N/A</v>
      </c>
      <c r="D368" s="3" t="e">
        <v>#N/A</v>
      </c>
      <c r="E368" s="3" t="e">
        <v>#N/A</v>
      </c>
      <c r="F368" s="3" t="e">
        <v>#N/A</v>
      </c>
      <c r="G368" s="3" t="e">
        <v>#N/A</v>
      </c>
      <c r="H368" s="3" t="e">
        <v>#N/A</v>
      </c>
      <c r="I368" s="3" t="e">
        <v>#N/A</v>
      </c>
      <c r="J368" s="3" t="e">
        <v>#N/A</v>
      </c>
    </row>
    <row r="698" spans="13:13">
      <c r="M698">
        <v>765584.45</v>
      </c>
    </row>
    <row r="699" spans="13:13">
      <c r="M699">
        <v>180000</v>
      </c>
    </row>
    <row r="700" spans="13:13">
      <c r="M700">
        <f>M699+M698</f>
        <v>945584.45</v>
      </c>
    </row>
  </sheetData>
  <sheetProtection formatCells="0" formatColumns="0" formatRows="0" insertRows="0" insertColumns="0" insertHyperlinks="0" deleteColumns="0" deleteRows="0" sort="0" autoFilter="0" pivotTables="0"/>
  <autoFilter xmlns:etc="http://www.wps.cn/officeDocument/2017/etCustomData" ref="A1:J686" etc:filterBottomFollowUsedRange="0">
    <extLst/>
  </autoFilter>
  <pageMargins left="0.75" right="0.75" top="1" bottom="1" header="0.5" footer="0.5"/>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79"/>
  <sheetViews>
    <sheetView topLeftCell="A664" workbookViewId="0">
      <selection activeCell="D685" sqref="D685"/>
    </sheetView>
  </sheetViews>
  <sheetFormatPr defaultColWidth="8.61666666666667" defaultRowHeight="13.5"/>
  <cols>
    <col min="1" max="1" width="8.61666666666667" style="3"/>
    <col min="2" max="2" width="11.7" style="4"/>
    <col min="3" max="3" width="27.1083333333333" style="3" customWidth="1"/>
    <col min="4" max="4" width="22.2416666666667" style="3" customWidth="1"/>
    <col min="5" max="5" width="13.5083333333333" style="3" customWidth="1"/>
    <col min="6" max="6" width="24.0166666666667" style="3" customWidth="1"/>
    <col min="7" max="7" width="11.7416666666667" style="3" customWidth="1"/>
    <col min="8" max="10" width="8.61666666666667" style="3"/>
    <col min="16" max="16" width="12.7833333333333"/>
  </cols>
  <sheetData>
    <row r="1" spans="1:17">
      <c r="A1" s="5" t="s">
        <v>1</v>
      </c>
      <c r="B1" s="5" t="s">
        <v>2</v>
      </c>
      <c r="C1" s="6" t="s">
        <v>3</v>
      </c>
      <c r="D1" s="6" t="s">
        <v>4</v>
      </c>
      <c r="E1" s="7" t="s">
        <v>5</v>
      </c>
      <c r="F1" s="8" t="s">
        <v>6</v>
      </c>
      <c r="G1" s="6" t="s">
        <v>7</v>
      </c>
      <c r="H1" s="6" t="s">
        <v>8</v>
      </c>
      <c r="I1" s="6" t="s">
        <v>9</v>
      </c>
      <c r="J1" s="6" t="s">
        <v>10</v>
      </c>
      <c r="O1" s="3"/>
      <c r="P1" s="3" t="s">
        <v>566</v>
      </c>
      <c r="Q1" s="3"/>
    </row>
    <row r="2" customFormat="1" spans="1:17">
      <c r="A2" s="3">
        <v>1</v>
      </c>
      <c r="B2" s="4">
        <v>45294</v>
      </c>
      <c r="C2" s="3" t="s">
        <v>107</v>
      </c>
      <c r="D2" s="3">
        <v>0</v>
      </c>
      <c r="E2" s="3">
        <v>9266</v>
      </c>
      <c r="F2" s="3" t="s">
        <v>567</v>
      </c>
      <c r="G2" s="3">
        <v>0</v>
      </c>
      <c r="H2" s="3">
        <v>0</v>
      </c>
      <c r="I2" s="3"/>
      <c r="J2" s="3"/>
      <c r="N2">
        <v>2024</v>
      </c>
      <c r="O2" s="3">
        <v>1</v>
      </c>
      <c r="P2" s="3">
        <v>7530849.27</v>
      </c>
      <c r="Q2" s="3"/>
    </row>
    <row r="3" customFormat="1" spans="1:17">
      <c r="A3" s="3">
        <v>2</v>
      </c>
      <c r="B3" s="4">
        <v>45295</v>
      </c>
      <c r="C3" s="3" t="s">
        <v>568</v>
      </c>
      <c r="D3" s="3">
        <v>0</v>
      </c>
      <c r="E3" s="3">
        <v>50000</v>
      </c>
      <c r="F3" s="3" t="s">
        <v>569</v>
      </c>
      <c r="G3" s="3">
        <v>0</v>
      </c>
      <c r="H3" s="3">
        <v>0</v>
      </c>
      <c r="I3" s="3"/>
      <c r="J3" s="3"/>
      <c r="O3" s="3">
        <v>2</v>
      </c>
      <c r="P3" s="3">
        <v>5593199.98</v>
      </c>
      <c r="Q3" s="3"/>
    </row>
    <row r="4" customFormat="1" spans="1:17">
      <c r="A4" s="3">
        <v>3</v>
      </c>
      <c r="B4" s="4">
        <v>45295</v>
      </c>
      <c r="C4" s="3" t="s">
        <v>568</v>
      </c>
      <c r="D4" s="3">
        <v>0</v>
      </c>
      <c r="E4" s="3">
        <v>441613.33</v>
      </c>
      <c r="F4" s="3" t="s">
        <v>569</v>
      </c>
      <c r="G4" s="3">
        <v>0</v>
      </c>
      <c r="H4" s="3">
        <v>0</v>
      </c>
      <c r="I4" s="3"/>
      <c r="J4" s="3"/>
      <c r="O4" s="3">
        <v>3</v>
      </c>
      <c r="P4" s="3">
        <v>1386467.1</v>
      </c>
      <c r="Q4" s="3"/>
    </row>
    <row r="5" customFormat="1" spans="1:17">
      <c r="A5" s="3">
        <v>4</v>
      </c>
      <c r="B5" s="4">
        <v>45295</v>
      </c>
      <c r="C5" s="3" t="s">
        <v>570</v>
      </c>
      <c r="D5" s="3">
        <v>0</v>
      </c>
      <c r="E5" s="3">
        <v>225879.92</v>
      </c>
      <c r="F5" s="3" t="s">
        <v>571</v>
      </c>
      <c r="G5" s="3">
        <v>0</v>
      </c>
      <c r="H5" s="3">
        <v>0</v>
      </c>
      <c r="I5" s="3"/>
      <c r="J5" s="3"/>
      <c r="O5" s="3">
        <v>4</v>
      </c>
      <c r="P5" s="3">
        <v>999601.37</v>
      </c>
      <c r="Q5" s="3"/>
    </row>
    <row r="6" customFormat="1" spans="1:17">
      <c r="A6" s="3">
        <v>5</v>
      </c>
      <c r="B6" s="4">
        <v>45296</v>
      </c>
      <c r="C6" s="3" t="s">
        <v>572</v>
      </c>
      <c r="D6" s="3">
        <v>0</v>
      </c>
      <c r="E6" s="3">
        <v>22000</v>
      </c>
      <c r="F6" s="3" t="s">
        <v>573</v>
      </c>
      <c r="G6" s="3">
        <v>0</v>
      </c>
      <c r="H6" s="3">
        <v>0</v>
      </c>
      <c r="I6" s="3"/>
      <c r="J6" s="3"/>
      <c r="O6" s="3">
        <v>5</v>
      </c>
      <c r="P6" s="3">
        <v>981783.12</v>
      </c>
      <c r="Q6" s="3"/>
    </row>
    <row r="7" customFormat="1" spans="1:17">
      <c r="A7" s="3">
        <v>6</v>
      </c>
      <c r="B7" s="4">
        <v>45299</v>
      </c>
      <c r="C7" s="3" t="s">
        <v>104</v>
      </c>
      <c r="D7" s="3">
        <v>0</v>
      </c>
      <c r="E7" s="3">
        <v>25600</v>
      </c>
      <c r="F7" s="3" t="s">
        <v>574</v>
      </c>
      <c r="G7" s="3">
        <v>0</v>
      </c>
      <c r="H7" s="3">
        <v>0</v>
      </c>
      <c r="I7" s="3"/>
      <c r="J7" s="3"/>
      <c r="O7" s="3">
        <v>6</v>
      </c>
      <c r="P7" s="3">
        <v>1906978.77</v>
      </c>
      <c r="Q7" s="3"/>
    </row>
    <row r="8" customFormat="1" spans="1:17">
      <c r="A8" s="3">
        <v>7</v>
      </c>
      <c r="B8" s="4">
        <v>45299</v>
      </c>
      <c r="C8" s="3" t="s">
        <v>104</v>
      </c>
      <c r="D8" s="3">
        <v>0</v>
      </c>
      <c r="E8" s="3">
        <v>500000</v>
      </c>
      <c r="F8" s="3" t="s">
        <v>569</v>
      </c>
      <c r="G8" s="3">
        <v>0</v>
      </c>
      <c r="H8" s="3">
        <v>0</v>
      </c>
      <c r="I8" s="3"/>
      <c r="J8" s="3"/>
      <c r="O8" s="3">
        <v>7</v>
      </c>
      <c r="P8" s="3">
        <v>3850709.65</v>
      </c>
      <c r="Q8" s="3"/>
    </row>
    <row r="9" customFormat="1" spans="1:17">
      <c r="A9" s="3">
        <v>8</v>
      </c>
      <c r="B9" s="4">
        <v>45299</v>
      </c>
      <c r="C9" s="3" t="s">
        <v>104</v>
      </c>
      <c r="D9" s="3">
        <v>0</v>
      </c>
      <c r="E9" s="3">
        <v>300000</v>
      </c>
      <c r="F9" s="3" t="s">
        <v>569</v>
      </c>
      <c r="G9" s="3">
        <v>0</v>
      </c>
      <c r="H9" s="3">
        <v>0</v>
      </c>
      <c r="I9" s="3"/>
      <c r="J9" s="3"/>
      <c r="O9" s="3">
        <v>8</v>
      </c>
      <c r="P9" s="3">
        <v>4551712.62</v>
      </c>
      <c r="Q9" s="3"/>
    </row>
    <row r="10" customFormat="1" spans="1:17">
      <c r="A10" s="3">
        <v>9</v>
      </c>
      <c r="B10" s="4">
        <v>45299</v>
      </c>
      <c r="C10" s="3" t="s">
        <v>568</v>
      </c>
      <c r="D10" s="3">
        <v>0</v>
      </c>
      <c r="E10" s="3">
        <v>1230</v>
      </c>
      <c r="F10" s="3" t="s">
        <v>575</v>
      </c>
      <c r="G10" s="3">
        <v>0</v>
      </c>
      <c r="H10" s="3">
        <v>0</v>
      </c>
      <c r="I10" s="3"/>
      <c r="J10" s="3"/>
      <c r="O10" s="3">
        <v>9</v>
      </c>
      <c r="P10" s="3">
        <v>3749078.78</v>
      </c>
      <c r="Q10" s="3"/>
    </row>
    <row r="11" customFormat="1" spans="1:17">
      <c r="A11" s="3">
        <v>10</v>
      </c>
      <c r="B11" s="4">
        <v>45299</v>
      </c>
      <c r="C11" s="3" t="s">
        <v>568</v>
      </c>
      <c r="D11" s="3">
        <v>0</v>
      </c>
      <c r="E11" s="3">
        <v>1156.67</v>
      </c>
      <c r="F11" s="3" t="s">
        <v>575</v>
      </c>
      <c r="G11" s="3">
        <v>0</v>
      </c>
      <c r="H11" s="3">
        <v>0</v>
      </c>
      <c r="I11" s="3"/>
      <c r="J11" s="3"/>
      <c r="O11" s="3">
        <v>10</v>
      </c>
      <c r="P11" s="3">
        <v>3843434.59</v>
      </c>
      <c r="Q11" s="3"/>
    </row>
    <row r="12" customFormat="1" spans="1:17">
      <c r="A12" s="3">
        <v>11</v>
      </c>
      <c r="B12" s="4">
        <v>45299</v>
      </c>
      <c r="C12" s="3" t="s">
        <v>576</v>
      </c>
      <c r="D12" s="3">
        <v>0</v>
      </c>
      <c r="E12" s="3">
        <v>3511</v>
      </c>
      <c r="F12" s="3" t="s">
        <v>567</v>
      </c>
      <c r="G12" s="3">
        <v>0</v>
      </c>
      <c r="H12" s="3">
        <v>0</v>
      </c>
      <c r="I12" s="3"/>
      <c r="J12" s="3"/>
      <c r="O12" s="3">
        <v>11</v>
      </c>
      <c r="P12" s="3">
        <v>3379323.94</v>
      </c>
      <c r="Q12" s="3"/>
    </row>
    <row r="13" customFormat="1" spans="1:17">
      <c r="A13" s="3">
        <v>12</v>
      </c>
      <c r="B13" s="4">
        <v>45301</v>
      </c>
      <c r="C13" s="3" t="s">
        <v>18</v>
      </c>
      <c r="D13" s="3">
        <v>0</v>
      </c>
      <c r="E13" s="3">
        <v>4900</v>
      </c>
      <c r="F13" s="3" t="s">
        <v>577</v>
      </c>
      <c r="G13" s="3">
        <v>0</v>
      </c>
      <c r="H13" s="3">
        <v>0</v>
      </c>
      <c r="I13" s="3"/>
      <c r="J13" s="3"/>
      <c r="O13" s="3">
        <v>12</v>
      </c>
      <c r="P13" s="3">
        <v>2883166.25</v>
      </c>
      <c r="Q13" s="3"/>
    </row>
    <row r="14" customFormat="1" spans="1:17">
      <c r="A14" s="3">
        <v>13</v>
      </c>
      <c r="B14" s="4">
        <v>45301</v>
      </c>
      <c r="C14" s="3" t="s">
        <v>18</v>
      </c>
      <c r="D14" s="3">
        <v>0</v>
      </c>
      <c r="E14" s="3">
        <v>9880</v>
      </c>
      <c r="F14" s="3" t="s">
        <v>577</v>
      </c>
      <c r="G14" s="3">
        <v>0</v>
      </c>
      <c r="H14" s="3">
        <v>0</v>
      </c>
      <c r="I14" s="3"/>
      <c r="J14" s="3"/>
      <c r="O14" s="3"/>
      <c r="P14" s="3">
        <v>0</v>
      </c>
      <c r="Q14" s="3"/>
    </row>
    <row r="15" customFormat="1" spans="1:17">
      <c r="A15" s="3">
        <v>14</v>
      </c>
      <c r="B15" s="4">
        <v>45301</v>
      </c>
      <c r="C15" s="3" t="s">
        <v>18</v>
      </c>
      <c r="D15" s="3">
        <v>0</v>
      </c>
      <c r="E15" s="3">
        <v>4500</v>
      </c>
      <c r="F15" s="3" t="s">
        <v>577</v>
      </c>
      <c r="G15" s="3">
        <v>0</v>
      </c>
      <c r="H15" s="3">
        <v>0</v>
      </c>
      <c r="I15" s="3"/>
      <c r="J15" s="3"/>
      <c r="O15" s="3" t="s">
        <v>88</v>
      </c>
      <c r="P15" s="3">
        <v>40656305.44</v>
      </c>
      <c r="Q15" s="3"/>
    </row>
    <row r="16" customFormat="1" spans="1:17">
      <c r="A16" s="3">
        <v>15</v>
      </c>
      <c r="B16" s="4">
        <v>45301</v>
      </c>
      <c r="C16" s="3" t="s">
        <v>18</v>
      </c>
      <c r="D16" s="3">
        <v>0</v>
      </c>
      <c r="E16" s="3">
        <v>3000</v>
      </c>
      <c r="F16" s="3" t="s">
        <v>577</v>
      </c>
      <c r="G16" s="3">
        <v>0</v>
      </c>
      <c r="H16" s="3">
        <v>0</v>
      </c>
      <c r="I16" s="3"/>
      <c r="J16" s="3"/>
    </row>
    <row r="17" customFormat="1" spans="1:10">
      <c r="A17" s="3">
        <v>16</v>
      </c>
      <c r="B17" s="4">
        <v>45301</v>
      </c>
      <c r="C17" s="3" t="s">
        <v>18</v>
      </c>
      <c r="D17" s="3">
        <v>0</v>
      </c>
      <c r="E17" s="3">
        <v>4300</v>
      </c>
      <c r="F17" s="3" t="s">
        <v>577</v>
      </c>
      <c r="G17" s="3">
        <v>0</v>
      </c>
      <c r="H17" s="3">
        <v>0</v>
      </c>
      <c r="I17" s="3"/>
      <c r="J17" s="3"/>
    </row>
    <row r="18" customFormat="1" spans="1:10">
      <c r="A18" s="3">
        <v>17</v>
      </c>
      <c r="B18" s="4">
        <v>45301</v>
      </c>
      <c r="C18" s="3" t="s">
        <v>18</v>
      </c>
      <c r="D18" s="3">
        <v>0</v>
      </c>
      <c r="E18" s="3">
        <v>2100</v>
      </c>
      <c r="F18" s="3" t="s">
        <v>577</v>
      </c>
      <c r="G18" s="3">
        <v>0</v>
      </c>
      <c r="H18" s="3">
        <v>0</v>
      </c>
      <c r="I18" s="3"/>
      <c r="J18" s="3"/>
    </row>
    <row r="19" customFormat="1" spans="1:10">
      <c r="A19" s="3">
        <v>18</v>
      </c>
      <c r="B19" s="4">
        <v>45301</v>
      </c>
      <c r="C19" s="3" t="s">
        <v>18</v>
      </c>
      <c r="D19" s="3">
        <v>0</v>
      </c>
      <c r="E19" s="3">
        <v>4500</v>
      </c>
      <c r="F19" s="3" t="s">
        <v>577</v>
      </c>
      <c r="G19" s="3">
        <v>0</v>
      </c>
      <c r="H19" s="3">
        <v>0</v>
      </c>
      <c r="I19" s="3"/>
      <c r="J19" s="3"/>
    </row>
    <row r="20" customFormat="1" spans="1:10">
      <c r="A20" s="3">
        <v>19</v>
      </c>
      <c r="B20" s="4">
        <v>45301</v>
      </c>
      <c r="C20" s="3" t="s">
        <v>18</v>
      </c>
      <c r="D20" s="3">
        <v>0</v>
      </c>
      <c r="E20" s="3">
        <v>4400</v>
      </c>
      <c r="F20" s="3" t="s">
        <v>577</v>
      </c>
      <c r="G20" s="3">
        <v>0</v>
      </c>
      <c r="H20" s="3">
        <v>0</v>
      </c>
      <c r="I20" s="3"/>
      <c r="J20" s="3"/>
    </row>
    <row r="21" customFormat="1" spans="1:10">
      <c r="A21" s="3">
        <v>20</v>
      </c>
      <c r="B21" s="4">
        <v>45301</v>
      </c>
      <c r="C21" s="3" t="s">
        <v>18</v>
      </c>
      <c r="D21" s="3">
        <v>0</v>
      </c>
      <c r="E21" s="3">
        <v>5260</v>
      </c>
      <c r="F21" s="3" t="s">
        <v>577</v>
      </c>
      <c r="G21" s="3">
        <v>0</v>
      </c>
      <c r="H21" s="3">
        <v>0</v>
      </c>
      <c r="I21" s="3"/>
      <c r="J21" s="3"/>
    </row>
    <row r="22" customFormat="1" spans="1:10">
      <c r="A22" s="3">
        <v>21</v>
      </c>
      <c r="B22" s="4">
        <v>45301</v>
      </c>
      <c r="C22" s="3" t="s">
        <v>18</v>
      </c>
      <c r="D22" s="3">
        <v>0</v>
      </c>
      <c r="E22" s="3">
        <v>4500</v>
      </c>
      <c r="F22" s="3" t="s">
        <v>577</v>
      </c>
      <c r="G22" s="3">
        <v>0</v>
      </c>
      <c r="H22" s="3">
        <v>0</v>
      </c>
      <c r="I22" s="3"/>
      <c r="J22" s="3"/>
    </row>
    <row r="23" customFormat="1" spans="1:10">
      <c r="A23" s="3">
        <v>22</v>
      </c>
      <c r="B23" s="4">
        <v>45301</v>
      </c>
      <c r="C23" s="3" t="s">
        <v>18</v>
      </c>
      <c r="D23" s="3">
        <v>0</v>
      </c>
      <c r="E23" s="3">
        <v>2100</v>
      </c>
      <c r="F23" s="3" t="s">
        <v>577</v>
      </c>
      <c r="G23" s="3">
        <v>0</v>
      </c>
      <c r="H23" s="3">
        <v>0</v>
      </c>
      <c r="I23" s="3"/>
      <c r="J23" s="3"/>
    </row>
    <row r="24" customFormat="1" spans="1:10">
      <c r="A24" s="3">
        <v>23</v>
      </c>
      <c r="B24" s="4">
        <v>45301</v>
      </c>
      <c r="C24" s="3" t="s">
        <v>18</v>
      </c>
      <c r="D24" s="3">
        <v>0</v>
      </c>
      <c r="E24" s="3">
        <v>4500</v>
      </c>
      <c r="F24" s="3" t="s">
        <v>577</v>
      </c>
      <c r="G24" s="3">
        <v>0</v>
      </c>
      <c r="H24" s="3">
        <v>0</v>
      </c>
      <c r="I24" s="3"/>
      <c r="J24" s="3"/>
    </row>
    <row r="25" customFormat="1" spans="1:10">
      <c r="A25" s="3">
        <v>24</v>
      </c>
      <c r="B25" s="4">
        <v>45301</v>
      </c>
      <c r="C25" s="3" t="s">
        <v>18</v>
      </c>
      <c r="D25" s="3">
        <v>0</v>
      </c>
      <c r="E25" s="3">
        <v>4800</v>
      </c>
      <c r="F25" s="3" t="s">
        <v>577</v>
      </c>
      <c r="G25" s="3">
        <v>0</v>
      </c>
      <c r="H25" s="3">
        <v>0</v>
      </c>
      <c r="I25" s="3"/>
      <c r="J25" s="3"/>
    </row>
    <row r="26" customFormat="1" spans="1:10">
      <c r="A26" s="3">
        <v>25</v>
      </c>
      <c r="B26" s="4">
        <v>45306</v>
      </c>
      <c r="C26" s="3" t="s">
        <v>578</v>
      </c>
      <c r="D26" s="3">
        <v>0</v>
      </c>
      <c r="E26" s="3">
        <v>14000</v>
      </c>
      <c r="F26" s="3" t="s">
        <v>567</v>
      </c>
      <c r="G26" s="3">
        <v>0</v>
      </c>
      <c r="H26" s="3">
        <v>0</v>
      </c>
      <c r="I26" s="3"/>
      <c r="J26" s="3"/>
    </row>
    <row r="27" customFormat="1" spans="1:10">
      <c r="A27" s="3">
        <v>26</v>
      </c>
      <c r="B27" s="4">
        <v>45306</v>
      </c>
      <c r="C27" s="3" t="s">
        <v>579</v>
      </c>
      <c r="D27" s="3">
        <v>0</v>
      </c>
      <c r="E27" s="3">
        <v>11000</v>
      </c>
      <c r="F27" s="3" t="s">
        <v>574</v>
      </c>
      <c r="G27" s="3">
        <v>0</v>
      </c>
      <c r="H27" s="3">
        <v>0</v>
      </c>
      <c r="I27" s="3"/>
      <c r="J27" s="3"/>
    </row>
    <row r="28" customFormat="1" spans="1:10">
      <c r="A28" s="3">
        <v>27</v>
      </c>
      <c r="B28" s="4">
        <v>45307</v>
      </c>
      <c r="C28" s="3" t="s">
        <v>580</v>
      </c>
      <c r="D28" s="3">
        <v>0</v>
      </c>
      <c r="E28" s="3">
        <v>199800</v>
      </c>
      <c r="F28" s="3" t="s">
        <v>574</v>
      </c>
      <c r="G28" s="3">
        <v>0</v>
      </c>
      <c r="H28" s="3">
        <v>0</v>
      </c>
      <c r="I28" s="3"/>
      <c r="J28" s="3"/>
    </row>
    <row r="29" customFormat="1" spans="1:10">
      <c r="A29" s="3">
        <v>28</v>
      </c>
      <c r="B29" s="4">
        <v>45307</v>
      </c>
      <c r="C29" s="3" t="s">
        <v>85</v>
      </c>
      <c r="D29" s="3">
        <v>0</v>
      </c>
      <c r="E29" s="3">
        <v>100000</v>
      </c>
      <c r="F29" s="3" t="s">
        <v>569</v>
      </c>
      <c r="G29" s="3">
        <v>0</v>
      </c>
      <c r="H29" s="3">
        <v>0</v>
      </c>
      <c r="I29" s="3"/>
      <c r="J29" s="3"/>
    </row>
    <row r="30" customFormat="1" spans="1:10">
      <c r="A30" s="3">
        <v>29</v>
      </c>
      <c r="B30" s="4">
        <v>45308</v>
      </c>
      <c r="C30" s="3" t="s">
        <v>581</v>
      </c>
      <c r="D30" s="3">
        <v>0</v>
      </c>
      <c r="E30" s="3">
        <v>2913.26</v>
      </c>
      <c r="F30" s="3" t="s">
        <v>582</v>
      </c>
      <c r="G30" s="3">
        <v>0</v>
      </c>
      <c r="H30" s="3">
        <v>0</v>
      </c>
      <c r="I30" s="3"/>
      <c r="J30" s="3"/>
    </row>
    <row r="31" customFormat="1" spans="1:10">
      <c r="A31" s="3">
        <v>30</v>
      </c>
      <c r="B31" s="4">
        <v>45308</v>
      </c>
      <c r="C31" s="3" t="s">
        <v>583</v>
      </c>
      <c r="D31" s="3">
        <v>0</v>
      </c>
      <c r="E31" s="3">
        <v>40000</v>
      </c>
      <c r="F31" s="3" t="s">
        <v>584</v>
      </c>
      <c r="G31" s="3">
        <v>0</v>
      </c>
      <c r="H31" s="3">
        <v>0</v>
      </c>
      <c r="I31" s="3"/>
      <c r="J31" s="3"/>
    </row>
    <row r="32" customFormat="1" spans="1:10">
      <c r="A32" s="3">
        <v>31</v>
      </c>
      <c r="B32" s="4">
        <v>45309</v>
      </c>
      <c r="C32" s="3" t="s">
        <v>585</v>
      </c>
      <c r="D32" s="3">
        <v>0</v>
      </c>
      <c r="E32" s="3">
        <v>41014.12</v>
      </c>
      <c r="F32" s="3" t="s">
        <v>582</v>
      </c>
      <c r="G32" s="3">
        <v>0</v>
      </c>
      <c r="H32" s="3">
        <v>0</v>
      </c>
      <c r="I32" s="3"/>
      <c r="J32" s="3"/>
    </row>
    <row r="33" customFormat="1" spans="1:10">
      <c r="A33" s="3">
        <v>32</v>
      </c>
      <c r="B33" s="4">
        <v>45313</v>
      </c>
      <c r="C33" s="3" t="s">
        <v>11</v>
      </c>
      <c r="D33" s="3">
        <v>0</v>
      </c>
      <c r="E33" s="3">
        <v>650</v>
      </c>
      <c r="F33" s="3" t="s">
        <v>567</v>
      </c>
      <c r="G33" s="3">
        <v>0</v>
      </c>
      <c r="H33" s="3">
        <v>0</v>
      </c>
      <c r="I33" s="3"/>
      <c r="J33" s="3"/>
    </row>
    <row r="34" customFormat="1" spans="1:10">
      <c r="A34" s="3">
        <v>33</v>
      </c>
      <c r="B34" s="4">
        <v>45313</v>
      </c>
      <c r="C34" s="3" t="s">
        <v>11</v>
      </c>
      <c r="D34" s="3">
        <v>0</v>
      </c>
      <c r="E34" s="3">
        <v>14851</v>
      </c>
      <c r="F34" s="3" t="s">
        <v>567</v>
      </c>
      <c r="G34" s="3">
        <v>0</v>
      </c>
      <c r="H34" s="3">
        <v>0</v>
      </c>
      <c r="I34" s="3"/>
      <c r="J34" s="3"/>
    </row>
    <row r="35" customFormat="1" spans="1:10">
      <c r="A35" s="3">
        <v>34</v>
      </c>
      <c r="B35" s="4">
        <v>45313</v>
      </c>
      <c r="C35" s="3" t="s">
        <v>586</v>
      </c>
      <c r="D35" s="3">
        <v>0</v>
      </c>
      <c r="E35" s="3">
        <v>55300</v>
      </c>
      <c r="F35" s="3" t="s">
        <v>574</v>
      </c>
      <c r="G35" s="3">
        <v>0</v>
      </c>
      <c r="H35" s="3">
        <v>0</v>
      </c>
      <c r="I35" s="3"/>
      <c r="J35" s="3"/>
    </row>
    <row r="36" customFormat="1" spans="1:10">
      <c r="A36" s="3">
        <v>35</v>
      </c>
      <c r="B36" s="4">
        <v>45313</v>
      </c>
      <c r="C36" s="3" t="s">
        <v>369</v>
      </c>
      <c r="D36" s="3">
        <v>0</v>
      </c>
      <c r="E36" s="3">
        <v>36100</v>
      </c>
      <c r="F36" s="3" t="s">
        <v>574</v>
      </c>
      <c r="G36" s="3">
        <v>0</v>
      </c>
      <c r="H36" s="3">
        <v>0</v>
      </c>
      <c r="I36" s="3"/>
      <c r="J36" s="3"/>
    </row>
    <row r="37" customFormat="1" spans="1:10">
      <c r="A37" s="3">
        <v>36</v>
      </c>
      <c r="B37" s="4">
        <v>45313</v>
      </c>
      <c r="C37" s="3" t="s">
        <v>174</v>
      </c>
      <c r="D37" s="3">
        <v>0</v>
      </c>
      <c r="E37" s="3">
        <v>49500</v>
      </c>
      <c r="F37" s="3" t="s">
        <v>582</v>
      </c>
      <c r="G37" s="3">
        <v>0</v>
      </c>
      <c r="H37" s="3">
        <v>0</v>
      </c>
      <c r="I37" s="3"/>
      <c r="J37" s="3"/>
    </row>
    <row r="38" customFormat="1" spans="1:10">
      <c r="A38" s="3">
        <v>37</v>
      </c>
      <c r="B38" s="4">
        <v>45313</v>
      </c>
      <c r="C38" s="3" t="s">
        <v>587</v>
      </c>
      <c r="D38" s="3">
        <v>0</v>
      </c>
      <c r="E38" s="3">
        <v>22487</v>
      </c>
      <c r="F38" s="3" t="s">
        <v>113</v>
      </c>
      <c r="G38" s="3">
        <v>0</v>
      </c>
      <c r="H38" s="3">
        <v>0</v>
      </c>
      <c r="I38" s="3"/>
      <c r="J38" s="3"/>
    </row>
    <row r="39" customFormat="1" spans="1:10">
      <c r="A39" s="3">
        <v>38</v>
      </c>
      <c r="B39" s="4">
        <v>45313</v>
      </c>
      <c r="C39" s="3" t="s">
        <v>587</v>
      </c>
      <c r="D39" s="3">
        <v>0</v>
      </c>
      <c r="E39" s="3">
        <v>12791.7</v>
      </c>
      <c r="F39" s="3" t="s">
        <v>113</v>
      </c>
      <c r="G39" s="3">
        <v>0</v>
      </c>
      <c r="H39" s="3">
        <v>0</v>
      </c>
      <c r="I39" s="3"/>
      <c r="J39" s="3"/>
    </row>
    <row r="40" customFormat="1" spans="1:10">
      <c r="A40" s="3">
        <v>39</v>
      </c>
      <c r="B40" s="4">
        <v>45314</v>
      </c>
      <c r="C40" s="3" t="s">
        <v>588</v>
      </c>
      <c r="D40" s="3">
        <v>0</v>
      </c>
      <c r="E40" s="3">
        <v>7119</v>
      </c>
      <c r="F40" s="3" t="s">
        <v>113</v>
      </c>
      <c r="G40" s="3">
        <v>0</v>
      </c>
      <c r="H40" s="3">
        <v>0</v>
      </c>
      <c r="I40" s="3"/>
      <c r="J40" s="3"/>
    </row>
    <row r="41" customFormat="1" spans="1:10">
      <c r="A41" s="3">
        <v>40</v>
      </c>
      <c r="B41" s="4">
        <v>45314</v>
      </c>
      <c r="C41" s="3" t="s">
        <v>589</v>
      </c>
      <c r="D41" s="3">
        <v>0</v>
      </c>
      <c r="E41" s="3">
        <v>34960</v>
      </c>
      <c r="F41" s="3" t="s">
        <v>574</v>
      </c>
      <c r="G41" s="3">
        <v>0</v>
      </c>
      <c r="H41" s="3">
        <v>0</v>
      </c>
      <c r="I41" s="3"/>
      <c r="J41" s="3"/>
    </row>
    <row r="42" customFormat="1" spans="1:10">
      <c r="A42" s="3">
        <v>41</v>
      </c>
      <c r="B42" s="4">
        <v>45314</v>
      </c>
      <c r="C42" s="3" t="s">
        <v>590</v>
      </c>
      <c r="D42" s="3">
        <v>0</v>
      </c>
      <c r="E42" s="3">
        <v>5432</v>
      </c>
      <c r="F42" s="3" t="s">
        <v>574</v>
      </c>
      <c r="G42" s="3">
        <v>0</v>
      </c>
      <c r="H42" s="3">
        <v>0</v>
      </c>
      <c r="I42" s="3"/>
      <c r="J42" s="3"/>
    </row>
    <row r="43" customFormat="1" spans="1:10">
      <c r="A43" s="3">
        <v>42</v>
      </c>
      <c r="B43" s="4">
        <v>45314</v>
      </c>
      <c r="C43" s="3" t="s">
        <v>556</v>
      </c>
      <c r="D43" s="3">
        <v>0</v>
      </c>
      <c r="E43" s="3">
        <v>28346.76</v>
      </c>
      <c r="F43" s="3" t="s">
        <v>574</v>
      </c>
      <c r="G43" s="3">
        <v>0</v>
      </c>
      <c r="H43" s="3">
        <v>0</v>
      </c>
      <c r="I43" s="3"/>
      <c r="J43" s="3"/>
    </row>
    <row r="44" customFormat="1" spans="1:10">
      <c r="A44" s="3">
        <v>43</v>
      </c>
      <c r="B44" s="4">
        <v>45314</v>
      </c>
      <c r="C44" s="3" t="s">
        <v>45</v>
      </c>
      <c r="D44" s="3">
        <v>0</v>
      </c>
      <c r="E44" s="3">
        <v>1397600</v>
      </c>
      <c r="F44" s="3" t="s">
        <v>47</v>
      </c>
      <c r="G44" s="3">
        <v>0</v>
      </c>
      <c r="H44" s="3">
        <v>0</v>
      </c>
      <c r="I44" s="3"/>
      <c r="J44" s="3"/>
    </row>
    <row r="45" customFormat="1" spans="1:10">
      <c r="A45" s="3">
        <v>44</v>
      </c>
      <c r="B45" s="4">
        <v>45314</v>
      </c>
      <c r="C45" s="3" t="s">
        <v>591</v>
      </c>
      <c r="D45" s="3">
        <v>0</v>
      </c>
      <c r="E45" s="3">
        <v>72000</v>
      </c>
      <c r="F45" s="3" t="s">
        <v>571</v>
      </c>
      <c r="G45" s="3">
        <v>0</v>
      </c>
      <c r="H45" s="3">
        <v>0</v>
      </c>
      <c r="I45" s="3"/>
      <c r="J45" s="3"/>
    </row>
    <row r="46" customFormat="1" spans="1:10">
      <c r="A46" s="3">
        <v>45</v>
      </c>
      <c r="B46" s="4">
        <v>45315</v>
      </c>
      <c r="C46" s="3" t="s">
        <v>592</v>
      </c>
      <c r="D46" s="3">
        <v>0</v>
      </c>
      <c r="E46" s="3">
        <v>10460</v>
      </c>
      <c r="F46" s="3" t="s">
        <v>567</v>
      </c>
      <c r="G46" s="3">
        <v>0</v>
      </c>
      <c r="H46" s="3">
        <v>0</v>
      </c>
      <c r="I46" s="3"/>
      <c r="J46" s="3"/>
    </row>
    <row r="47" customFormat="1" spans="1:10">
      <c r="A47" s="3">
        <v>46</v>
      </c>
      <c r="B47" s="4">
        <v>45315</v>
      </c>
      <c r="C47" s="3" t="s">
        <v>593</v>
      </c>
      <c r="D47" s="3">
        <v>0</v>
      </c>
      <c r="E47" s="3">
        <v>29670</v>
      </c>
      <c r="F47" s="3" t="s">
        <v>574</v>
      </c>
      <c r="G47" s="3">
        <v>0</v>
      </c>
      <c r="H47" s="3">
        <v>0</v>
      </c>
      <c r="I47" s="3"/>
      <c r="J47" s="3"/>
    </row>
    <row r="48" customFormat="1" spans="1:10">
      <c r="A48" s="3">
        <v>47</v>
      </c>
      <c r="B48" s="4">
        <v>45315</v>
      </c>
      <c r="C48" s="3" t="s">
        <v>546</v>
      </c>
      <c r="D48" s="3">
        <v>0</v>
      </c>
      <c r="E48" s="3">
        <v>104000</v>
      </c>
      <c r="F48" s="3" t="s">
        <v>574</v>
      </c>
      <c r="G48" s="3">
        <v>0</v>
      </c>
      <c r="H48" s="3">
        <v>0</v>
      </c>
      <c r="I48" s="3"/>
      <c r="J48" s="3"/>
    </row>
    <row r="49" customFormat="1" spans="1:10">
      <c r="A49" s="3">
        <v>48</v>
      </c>
      <c r="B49" s="4">
        <v>45315</v>
      </c>
      <c r="C49" s="3" t="s">
        <v>14</v>
      </c>
      <c r="D49" s="3">
        <v>0</v>
      </c>
      <c r="E49" s="3">
        <v>1045000</v>
      </c>
      <c r="F49" s="3" t="s">
        <v>594</v>
      </c>
      <c r="G49" s="3">
        <v>0</v>
      </c>
      <c r="H49" s="3">
        <v>0</v>
      </c>
      <c r="I49" s="3"/>
      <c r="J49" s="3"/>
    </row>
    <row r="50" customFormat="1" spans="1:10">
      <c r="A50" s="3">
        <v>49</v>
      </c>
      <c r="B50" s="4">
        <v>45315</v>
      </c>
      <c r="C50" s="3" t="s">
        <v>14</v>
      </c>
      <c r="D50" s="3">
        <v>0</v>
      </c>
      <c r="E50" s="3">
        <v>10000</v>
      </c>
      <c r="F50" s="3" t="s">
        <v>569</v>
      </c>
      <c r="G50" s="3">
        <v>0</v>
      </c>
      <c r="H50" s="3">
        <v>0</v>
      </c>
      <c r="I50" s="3"/>
      <c r="J50" s="3"/>
    </row>
    <row r="51" customFormat="1" spans="1:10">
      <c r="A51" s="3">
        <v>50</v>
      </c>
      <c r="B51" s="4">
        <v>45315</v>
      </c>
      <c r="C51" s="3" t="s">
        <v>546</v>
      </c>
      <c r="D51" s="3">
        <v>0</v>
      </c>
      <c r="E51" s="3">
        <v>390000</v>
      </c>
      <c r="F51" s="3" t="s">
        <v>569</v>
      </c>
      <c r="G51" s="3">
        <v>0</v>
      </c>
      <c r="H51" s="3">
        <v>0</v>
      </c>
      <c r="I51" s="3"/>
      <c r="J51" s="3"/>
    </row>
    <row r="52" customFormat="1" spans="1:10">
      <c r="A52" s="3">
        <v>51</v>
      </c>
      <c r="B52" s="4">
        <v>45315</v>
      </c>
      <c r="C52" s="3" t="s">
        <v>546</v>
      </c>
      <c r="D52" s="3">
        <v>0</v>
      </c>
      <c r="E52" s="3">
        <v>10000</v>
      </c>
      <c r="F52" s="3" t="s">
        <v>569</v>
      </c>
      <c r="G52" s="3">
        <v>0</v>
      </c>
      <c r="H52" s="3">
        <v>0</v>
      </c>
      <c r="I52" s="3"/>
      <c r="J52" s="3"/>
    </row>
    <row r="53" customFormat="1" spans="1:10">
      <c r="A53" s="3">
        <v>52</v>
      </c>
      <c r="B53" s="4">
        <v>45316</v>
      </c>
      <c r="C53" s="3" t="s">
        <v>595</v>
      </c>
      <c r="D53" s="3">
        <v>0</v>
      </c>
      <c r="E53" s="3">
        <v>45000</v>
      </c>
      <c r="F53" s="3" t="s">
        <v>574</v>
      </c>
      <c r="G53" s="3">
        <v>0</v>
      </c>
      <c r="H53" s="3">
        <v>0</v>
      </c>
      <c r="I53" s="3"/>
      <c r="J53" s="3"/>
    </row>
    <row r="54" customFormat="1" spans="1:10">
      <c r="A54" s="3">
        <v>53</v>
      </c>
      <c r="B54" s="4">
        <v>45316</v>
      </c>
      <c r="C54" s="3" t="s">
        <v>596</v>
      </c>
      <c r="D54" s="3">
        <v>0</v>
      </c>
      <c r="E54" s="3">
        <v>3132</v>
      </c>
      <c r="F54" s="3" t="s">
        <v>574</v>
      </c>
      <c r="G54" s="3">
        <v>0</v>
      </c>
      <c r="H54" s="3">
        <v>0</v>
      </c>
      <c r="I54" s="3"/>
      <c r="J54" s="3"/>
    </row>
    <row r="55" customFormat="1" spans="1:10">
      <c r="A55" s="3">
        <v>54</v>
      </c>
      <c r="B55" s="4">
        <v>45316</v>
      </c>
      <c r="C55" s="3" t="s">
        <v>597</v>
      </c>
      <c r="D55" s="3">
        <v>0</v>
      </c>
      <c r="E55" s="3">
        <v>4500</v>
      </c>
      <c r="F55" s="3" t="s">
        <v>577</v>
      </c>
      <c r="G55" s="3">
        <v>0</v>
      </c>
      <c r="H55" s="3">
        <v>0</v>
      </c>
      <c r="I55" s="3"/>
      <c r="J55" s="3"/>
    </row>
    <row r="56" customFormat="1" spans="1:10">
      <c r="A56" s="3">
        <v>55</v>
      </c>
      <c r="B56" s="4">
        <v>45316</v>
      </c>
      <c r="C56" s="3" t="s">
        <v>598</v>
      </c>
      <c r="D56" s="3">
        <v>0</v>
      </c>
      <c r="E56" s="3">
        <v>15582</v>
      </c>
      <c r="F56" s="3" t="s">
        <v>577</v>
      </c>
      <c r="G56" s="3">
        <v>0</v>
      </c>
      <c r="H56" s="3">
        <v>0</v>
      </c>
      <c r="I56" s="3"/>
      <c r="J56" s="3"/>
    </row>
    <row r="57" customFormat="1" spans="1:10">
      <c r="A57" s="3">
        <v>56</v>
      </c>
      <c r="B57" s="4">
        <v>45316</v>
      </c>
      <c r="C57" s="3" t="s">
        <v>599</v>
      </c>
      <c r="D57" s="3">
        <v>0</v>
      </c>
      <c r="E57" s="3">
        <v>12040</v>
      </c>
      <c r="F57" s="3" t="s">
        <v>582</v>
      </c>
      <c r="G57" s="3">
        <v>0</v>
      </c>
      <c r="H57" s="3">
        <v>0</v>
      </c>
      <c r="I57" s="3"/>
      <c r="J57" s="3"/>
    </row>
    <row r="58" customFormat="1" spans="1:10">
      <c r="A58" s="3">
        <v>57</v>
      </c>
      <c r="B58" s="4">
        <v>45316</v>
      </c>
      <c r="C58" s="3" t="s">
        <v>49</v>
      </c>
      <c r="D58" s="3">
        <v>0</v>
      </c>
      <c r="E58" s="3">
        <v>174600</v>
      </c>
      <c r="F58" s="3" t="s">
        <v>600</v>
      </c>
      <c r="G58" s="3">
        <v>0</v>
      </c>
      <c r="H58" s="3">
        <v>0</v>
      </c>
      <c r="I58" s="3"/>
      <c r="J58" s="3"/>
    </row>
    <row r="59" customFormat="1" spans="1:10">
      <c r="A59" s="3">
        <v>58</v>
      </c>
      <c r="B59" s="4">
        <v>45316</v>
      </c>
      <c r="C59" s="3" t="s">
        <v>601</v>
      </c>
      <c r="D59" s="3">
        <v>0</v>
      </c>
      <c r="E59" s="3">
        <v>96200</v>
      </c>
      <c r="F59" s="3" t="s">
        <v>229</v>
      </c>
      <c r="G59" s="3">
        <v>0</v>
      </c>
      <c r="H59" s="3">
        <v>0</v>
      </c>
      <c r="I59" s="3"/>
      <c r="J59" s="3"/>
    </row>
    <row r="60" customFormat="1" spans="1:10">
      <c r="A60" s="3">
        <v>59</v>
      </c>
      <c r="B60" s="4">
        <v>45317</v>
      </c>
      <c r="C60" s="3" t="s">
        <v>11</v>
      </c>
      <c r="D60" s="3">
        <v>0</v>
      </c>
      <c r="E60" s="3">
        <v>60351</v>
      </c>
      <c r="F60" s="3" t="s">
        <v>567</v>
      </c>
      <c r="G60" s="3">
        <v>0</v>
      </c>
      <c r="H60" s="3">
        <v>0</v>
      </c>
      <c r="I60" s="3"/>
      <c r="J60" s="3"/>
    </row>
    <row r="61" customFormat="1" spans="1:10">
      <c r="A61" s="3">
        <v>60</v>
      </c>
      <c r="B61" s="4">
        <v>45317</v>
      </c>
      <c r="C61" s="3" t="s">
        <v>602</v>
      </c>
      <c r="D61" s="3">
        <v>0</v>
      </c>
      <c r="E61" s="3">
        <v>50000</v>
      </c>
      <c r="F61" s="3" t="s">
        <v>567</v>
      </c>
      <c r="G61" s="3">
        <v>0</v>
      </c>
      <c r="H61" s="3">
        <v>0</v>
      </c>
      <c r="I61" s="3"/>
      <c r="J61" s="3"/>
    </row>
    <row r="62" customFormat="1" spans="1:10">
      <c r="A62" s="3">
        <v>61</v>
      </c>
      <c r="B62" s="4">
        <v>45317</v>
      </c>
      <c r="C62" s="3" t="s">
        <v>603</v>
      </c>
      <c r="D62" s="3">
        <v>0</v>
      </c>
      <c r="E62" s="3">
        <v>22500</v>
      </c>
      <c r="F62" s="3" t="s">
        <v>567</v>
      </c>
      <c r="G62" s="3">
        <v>0</v>
      </c>
      <c r="H62" s="3">
        <v>0</v>
      </c>
      <c r="I62" s="3"/>
      <c r="J62" s="3"/>
    </row>
    <row r="63" customFormat="1" spans="1:10">
      <c r="A63" s="3">
        <v>62</v>
      </c>
      <c r="B63" s="4">
        <v>45317</v>
      </c>
      <c r="C63" s="3" t="s">
        <v>604</v>
      </c>
      <c r="D63" s="3">
        <v>0</v>
      </c>
      <c r="E63" s="3">
        <v>117621.81</v>
      </c>
      <c r="F63" s="3" t="s">
        <v>577</v>
      </c>
      <c r="G63" s="3">
        <v>0</v>
      </c>
      <c r="H63" s="3">
        <v>0</v>
      </c>
      <c r="I63" s="3"/>
      <c r="J63" s="3"/>
    </row>
    <row r="64" customFormat="1" spans="1:10">
      <c r="A64" s="3">
        <v>63</v>
      </c>
      <c r="B64" s="4">
        <v>45317</v>
      </c>
      <c r="C64" s="3" t="s">
        <v>605</v>
      </c>
      <c r="D64" s="3">
        <v>0</v>
      </c>
      <c r="E64" s="3">
        <v>32850</v>
      </c>
      <c r="F64" s="3" t="s">
        <v>582</v>
      </c>
      <c r="G64" s="3">
        <v>0</v>
      </c>
      <c r="H64" s="3">
        <v>0</v>
      </c>
      <c r="I64" s="3"/>
      <c r="J64" s="3"/>
    </row>
    <row r="65" customFormat="1" spans="1:10">
      <c r="A65" s="3">
        <v>64</v>
      </c>
      <c r="B65" s="4">
        <v>45317</v>
      </c>
      <c r="C65" s="3" t="s">
        <v>606</v>
      </c>
      <c r="D65" s="3">
        <v>0</v>
      </c>
      <c r="E65" s="3">
        <v>53000</v>
      </c>
      <c r="F65" s="3" t="s">
        <v>575</v>
      </c>
      <c r="G65" s="3">
        <v>0</v>
      </c>
      <c r="H65" s="3">
        <v>0</v>
      </c>
      <c r="I65" s="3"/>
      <c r="J65" s="3"/>
    </row>
    <row r="66" customFormat="1" spans="1:10">
      <c r="A66" s="3">
        <v>65</v>
      </c>
      <c r="B66" s="4">
        <v>45317</v>
      </c>
      <c r="C66" s="3" t="s">
        <v>607</v>
      </c>
      <c r="D66" s="3">
        <v>0</v>
      </c>
      <c r="E66" s="3">
        <v>50000</v>
      </c>
      <c r="F66" s="3" t="s">
        <v>608</v>
      </c>
      <c r="G66" s="3">
        <v>0</v>
      </c>
      <c r="H66" s="3">
        <v>0</v>
      </c>
      <c r="I66" s="3"/>
      <c r="J66" s="3"/>
    </row>
    <row r="67" customFormat="1" spans="1:10">
      <c r="A67" s="3">
        <v>66</v>
      </c>
      <c r="B67" s="4">
        <v>45320</v>
      </c>
      <c r="C67" s="3" t="s">
        <v>609</v>
      </c>
      <c r="D67" s="3">
        <v>0</v>
      </c>
      <c r="E67" s="3">
        <v>38639.1</v>
      </c>
      <c r="F67" s="3" t="s">
        <v>567</v>
      </c>
      <c r="G67" s="3">
        <v>0</v>
      </c>
      <c r="H67" s="3">
        <v>0</v>
      </c>
      <c r="I67" s="3"/>
      <c r="J67" s="3"/>
    </row>
    <row r="68" customFormat="1" spans="1:10">
      <c r="A68" s="3">
        <v>67</v>
      </c>
      <c r="B68" s="4">
        <v>45320</v>
      </c>
      <c r="C68" s="3" t="s">
        <v>562</v>
      </c>
      <c r="D68" s="3">
        <v>0</v>
      </c>
      <c r="E68" s="3">
        <v>243000</v>
      </c>
      <c r="F68" s="3" t="s">
        <v>567</v>
      </c>
      <c r="G68" s="3">
        <v>0</v>
      </c>
      <c r="H68" s="3">
        <v>0</v>
      </c>
      <c r="I68" s="3"/>
      <c r="J68" s="3"/>
    </row>
    <row r="69" customFormat="1" spans="1:10">
      <c r="A69" s="3">
        <v>68</v>
      </c>
      <c r="B69" s="4">
        <v>45320</v>
      </c>
      <c r="C69" s="3" t="s">
        <v>610</v>
      </c>
      <c r="D69" s="3">
        <v>0</v>
      </c>
      <c r="E69" s="3">
        <v>3200</v>
      </c>
      <c r="F69" s="3" t="s">
        <v>567</v>
      </c>
      <c r="G69" s="3">
        <v>0</v>
      </c>
      <c r="H69" s="3">
        <v>0</v>
      </c>
      <c r="I69" s="3"/>
      <c r="J69" s="3"/>
    </row>
    <row r="70" customFormat="1" spans="1:10">
      <c r="A70" s="3">
        <v>69</v>
      </c>
      <c r="B70" s="4">
        <v>45320</v>
      </c>
      <c r="C70" s="3" t="s">
        <v>536</v>
      </c>
      <c r="D70" s="3">
        <v>0</v>
      </c>
      <c r="E70" s="3">
        <v>18000</v>
      </c>
      <c r="F70" s="3" t="s">
        <v>571</v>
      </c>
      <c r="G70" s="3">
        <v>0</v>
      </c>
      <c r="H70" s="3">
        <v>0</v>
      </c>
      <c r="I70" s="3"/>
      <c r="J70" s="3"/>
    </row>
    <row r="71" customFormat="1" spans="1:10">
      <c r="A71" s="3">
        <v>70</v>
      </c>
      <c r="B71" s="4">
        <v>45320</v>
      </c>
      <c r="C71" s="3" t="s">
        <v>536</v>
      </c>
      <c r="D71" s="3">
        <v>0</v>
      </c>
      <c r="E71" s="3">
        <v>12000</v>
      </c>
      <c r="F71" s="3" t="s">
        <v>571</v>
      </c>
      <c r="G71" s="3">
        <v>0</v>
      </c>
      <c r="H71" s="3">
        <v>0</v>
      </c>
      <c r="I71" s="3"/>
      <c r="J71" s="3"/>
    </row>
    <row r="72" customFormat="1" spans="1:10">
      <c r="A72" s="3">
        <v>71</v>
      </c>
      <c r="B72" s="4">
        <v>45320</v>
      </c>
      <c r="C72" s="3" t="s">
        <v>361</v>
      </c>
      <c r="D72" s="3">
        <v>0</v>
      </c>
      <c r="E72" s="3">
        <v>110000</v>
      </c>
      <c r="F72" s="3" t="s">
        <v>574</v>
      </c>
      <c r="G72" s="3">
        <v>0</v>
      </c>
      <c r="H72" s="3">
        <v>0</v>
      </c>
      <c r="I72" s="3"/>
      <c r="J72" s="3"/>
    </row>
    <row r="73" customFormat="1" spans="1:10">
      <c r="A73" s="3">
        <v>72</v>
      </c>
      <c r="B73" s="4">
        <v>45320</v>
      </c>
      <c r="C73" s="3" t="s">
        <v>611</v>
      </c>
      <c r="D73" s="3">
        <v>0</v>
      </c>
      <c r="E73" s="3">
        <v>410000</v>
      </c>
      <c r="F73" s="3" t="s">
        <v>569</v>
      </c>
      <c r="G73" s="3">
        <v>0</v>
      </c>
      <c r="H73" s="3">
        <v>0</v>
      </c>
      <c r="I73" s="3"/>
      <c r="J73" s="3"/>
    </row>
    <row r="74" customFormat="1" spans="1:10">
      <c r="A74" s="3">
        <v>73</v>
      </c>
      <c r="B74" s="4">
        <v>45321</v>
      </c>
      <c r="C74" s="3" t="s">
        <v>612</v>
      </c>
      <c r="D74" s="3">
        <v>0</v>
      </c>
      <c r="E74" s="3">
        <v>3000</v>
      </c>
      <c r="F74" s="3" t="s">
        <v>567</v>
      </c>
      <c r="G74" s="3">
        <v>0</v>
      </c>
      <c r="H74" s="3">
        <v>0</v>
      </c>
      <c r="I74" s="3"/>
      <c r="J74" s="3"/>
    </row>
    <row r="75" customFormat="1" spans="1:10">
      <c r="A75" s="3">
        <v>74</v>
      </c>
      <c r="B75" s="4">
        <v>45321</v>
      </c>
      <c r="C75" s="3" t="s">
        <v>612</v>
      </c>
      <c r="D75" s="3">
        <v>0</v>
      </c>
      <c r="E75" s="3">
        <v>741.6</v>
      </c>
      <c r="F75" s="3" t="s">
        <v>567</v>
      </c>
      <c r="G75" s="3">
        <v>0</v>
      </c>
      <c r="H75" s="3">
        <v>0</v>
      </c>
      <c r="I75" s="3"/>
      <c r="J75" s="3"/>
    </row>
    <row r="76" customFormat="1" spans="1:10">
      <c r="A76" s="3">
        <v>75</v>
      </c>
      <c r="B76" s="4">
        <v>45321</v>
      </c>
      <c r="C76" s="3" t="s">
        <v>613</v>
      </c>
      <c r="D76" s="3">
        <v>0</v>
      </c>
      <c r="E76" s="3">
        <v>45000</v>
      </c>
      <c r="F76" s="3" t="s">
        <v>574</v>
      </c>
      <c r="G76" s="3">
        <v>0</v>
      </c>
      <c r="H76" s="3">
        <v>0</v>
      </c>
      <c r="I76" s="3"/>
      <c r="J76" s="3"/>
    </row>
    <row r="77" customFormat="1" spans="1:10">
      <c r="A77" s="3">
        <v>76</v>
      </c>
      <c r="B77" s="4">
        <v>45321</v>
      </c>
      <c r="C77" s="3" t="s">
        <v>614</v>
      </c>
      <c r="D77" s="3">
        <v>0</v>
      </c>
      <c r="E77" s="3">
        <v>23000</v>
      </c>
      <c r="F77" s="3" t="s">
        <v>574</v>
      </c>
      <c r="G77" s="3">
        <v>0</v>
      </c>
      <c r="H77" s="3">
        <v>0</v>
      </c>
      <c r="I77" s="3"/>
      <c r="J77" s="3"/>
    </row>
    <row r="78" customFormat="1" spans="1:10">
      <c r="A78" s="3">
        <v>77</v>
      </c>
      <c r="B78" s="4">
        <v>45322</v>
      </c>
      <c r="C78" s="3" t="s">
        <v>615</v>
      </c>
      <c r="D78" s="3">
        <v>0</v>
      </c>
      <c r="E78" s="3">
        <v>54000</v>
      </c>
      <c r="F78" s="3" t="s">
        <v>567</v>
      </c>
      <c r="G78" s="3">
        <v>0</v>
      </c>
      <c r="H78" s="3">
        <v>0</v>
      </c>
      <c r="I78" s="3"/>
      <c r="J78" s="3"/>
    </row>
    <row r="79" customFormat="1" spans="1:10">
      <c r="A79" s="3">
        <v>78</v>
      </c>
      <c r="B79" s="4">
        <v>45322</v>
      </c>
      <c r="C79" s="3" t="s">
        <v>616</v>
      </c>
      <c r="D79" s="3">
        <v>0</v>
      </c>
      <c r="E79" s="3">
        <v>98500</v>
      </c>
      <c r="F79" s="3" t="s">
        <v>567</v>
      </c>
      <c r="G79" s="3">
        <v>0</v>
      </c>
      <c r="H79" s="3">
        <v>0</v>
      </c>
      <c r="I79" s="3"/>
      <c r="J79" s="3"/>
    </row>
    <row r="80" customFormat="1" spans="1:10">
      <c r="A80" s="3">
        <v>79</v>
      </c>
      <c r="B80" s="4">
        <v>45322</v>
      </c>
      <c r="C80" s="3" t="s">
        <v>559</v>
      </c>
      <c r="D80" s="3">
        <v>0</v>
      </c>
      <c r="E80" s="3">
        <v>50000</v>
      </c>
      <c r="F80" s="3" t="s">
        <v>567</v>
      </c>
      <c r="G80" s="3">
        <v>0</v>
      </c>
      <c r="H80" s="3">
        <v>0</v>
      </c>
      <c r="I80" s="3"/>
      <c r="J80" s="3"/>
    </row>
    <row r="81" customFormat="1" spans="1:10">
      <c r="A81" s="3">
        <v>80</v>
      </c>
      <c r="B81" s="4">
        <v>45322</v>
      </c>
      <c r="C81" s="3" t="s">
        <v>548</v>
      </c>
      <c r="D81" s="3">
        <v>0</v>
      </c>
      <c r="E81" s="3">
        <v>50400</v>
      </c>
      <c r="F81" s="3" t="s">
        <v>575</v>
      </c>
      <c r="G81" s="3">
        <v>0</v>
      </c>
      <c r="H81" s="3">
        <v>0</v>
      </c>
      <c r="I81" s="3"/>
      <c r="J81" s="3"/>
    </row>
    <row r="82" customFormat="1" spans="1:10">
      <c r="A82" s="3">
        <v>81</v>
      </c>
      <c r="B82" s="4">
        <v>45322</v>
      </c>
      <c r="C82" s="3" t="s">
        <v>617</v>
      </c>
      <c r="D82" s="3">
        <v>0</v>
      </c>
      <c r="E82" s="3">
        <v>100000</v>
      </c>
      <c r="F82" s="3" t="s">
        <v>618</v>
      </c>
      <c r="G82" s="3">
        <v>0</v>
      </c>
      <c r="H82" s="3">
        <v>0</v>
      </c>
      <c r="I82" s="3"/>
      <c r="J82" s="3"/>
    </row>
    <row r="83" customFormat="1" spans="1:10">
      <c r="A83" s="3">
        <v>82</v>
      </c>
      <c r="B83" s="4">
        <v>45322</v>
      </c>
      <c r="C83" s="3" t="s">
        <v>617</v>
      </c>
      <c r="D83" s="3">
        <v>0</v>
      </c>
      <c r="E83" s="3">
        <v>10000</v>
      </c>
      <c r="F83" s="3" t="s">
        <v>618</v>
      </c>
      <c r="G83" s="3">
        <v>0</v>
      </c>
      <c r="H83" s="3">
        <v>0</v>
      </c>
      <c r="I83" s="3"/>
      <c r="J83" s="3"/>
    </row>
    <row r="84" customFormat="1" spans="1:10">
      <c r="A84" s="3">
        <v>83</v>
      </c>
      <c r="B84" s="4">
        <v>45322</v>
      </c>
      <c r="C84" s="3" t="s">
        <v>617</v>
      </c>
      <c r="D84" s="3">
        <v>0</v>
      </c>
      <c r="E84" s="3">
        <v>140000</v>
      </c>
      <c r="F84" s="3" t="s">
        <v>618</v>
      </c>
      <c r="G84" s="3">
        <v>0</v>
      </c>
      <c r="H84" s="3">
        <v>0</v>
      </c>
      <c r="I84" s="3"/>
      <c r="J84" s="3"/>
    </row>
    <row r="85" customFormat="1" spans="1:10">
      <c r="A85" s="3">
        <v>1</v>
      </c>
      <c r="B85" s="4">
        <v>45323</v>
      </c>
      <c r="C85" s="3" t="s">
        <v>619</v>
      </c>
      <c r="D85" s="3">
        <v>0</v>
      </c>
      <c r="E85" s="3">
        <v>36500</v>
      </c>
      <c r="F85" s="3" t="s">
        <v>574</v>
      </c>
      <c r="G85" s="3">
        <v>0</v>
      </c>
      <c r="H85" s="3">
        <v>0</v>
      </c>
      <c r="I85" s="3"/>
      <c r="J85" s="3"/>
    </row>
    <row r="86" customFormat="1" spans="1:10">
      <c r="A86" s="3">
        <v>2</v>
      </c>
      <c r="B86" s="4">
        <v>45324</v>
      </c>
      <c r="C86" s="3" t="s">
        <v>620</v>
      </c>
      <c r="D86" s="3">
        <v>0</v>
      </c>
      <c r="E86" s="3">
        <v>12480</v>
      </c>
      <c r="F86" s="3" t="s">
        <v>574</v>
      </c>
      <c r="G86" s="3">
        <v>0</v>
      </c>
      <c r="H86" s="3">
        <v>0</v>
      </c>
      <c r="I86" s="3"/>
      <c r="J86" s="3"/>
    </row>
    <row r="87" customFormat="1" spans="1:10">
      <c r="A87" s="3">
        <v>3</v>
      </c>
      <c r="B87" s="4">
        <v>45324</v>
      </c>
      <c r="C87" s="3" t="s">
        <v>621</v>
      </c>
      <c r="D87" s="3">
        <v>0</v>
      </c>
      <c r="E87" s="3">
        <v>7000</v>
      </c>
      <c r="F87" s="3" t="s">
        <v>574</v>
      </c>
      <c r="G87" s="3">
        <v>0</v>
      </c>
      <c r="H87" s="3">
        <v>0</v>
      </c>
      <c r="I87" s="3"/>
      <c r="J87" s="3"/>
    </row>
    <row r="88" s="1" customFormat="1" spans="1:10">
      <c r="A88" s="9">
        <v>4</v>
      </c>
      <c r="B88" s="10">
        <v>45324</v>
      </c>
      <c r="C88" s="9" t="s">
        <v>622</v>
      </c>
      <c r="D88" s="9">
        <v>0</v>
      </c>
      <c r="E88" s="11">
        <v>50000</v>
      </c>
      <c r="F88" s="9" t="s">
        <v>618</v>
      </c>
      <c r="G88" s="9">
        <v>0</v>
      </c>
      <c r="H88" s="9">
        <v>0</v>
      </c>
      <c r="I88" s="9"/>
      <c r="J88" s="9"/>
    </row>
    <row r="89" customFormat="1" spans="1:10">
      <c r="A89" s="3">
        <v>5</v>
      </c>
      <c r="B89" s="4">
        <v>45325</v>
      </c>
      <c r="C89" s="3" t="s">
        <v>623</v>
      </c>
      <c r="D89" s="3">
        <v>0</v>
      </c>
      <c r="E89" s="3">
        <v>50000</v>
      </c>
      <c r="F89" s="3" t="s">
        <v>567</v>
      </c>
      <c r="G89" s="3">
        <v>0</v>
      </c>
      <c r="H89" s="3">
        <v>0</v>
      </c>
      <c r="I89" s="3"/>
      <c r="J89" s="3"/>
    </row>
    <row r="90" customFormat="1" spans="1:10">
      <c r="A90" s="3">
        <v>6</v>
      </c>
      <c r="B90" s="4">
        <v>45326</v>
      </c>
      <c r="C90" s="3" t="s">
        <v>624</v>
      </c>
      <c r="D90" s="3">
        <v>0</v>
      </c>
      <c r="E90" s="3">
        <v>100000</v>
      </c>
      <c r="F90" s="3" t="s">
        <v>571</v>
      </c>
      <c r="G90" s="3">
        <v>0</v>
      </c>
      <c r="H90" s="3">
        <v>0</v>
      </c>
      <c r="I90" s="3"/>
      <c r="J90" s="3"/>
    </row>
    <row r="91" customFormat="1" spans="1:10">
      <c r="A91" s="3">
        <v>7</v>
      </c>
      <c r="B91" s="4">
        <v>45326</v>
      </c>
      <c r="C91" s="3" t="s">
        <v>625</v>
      </c>
      <c r="D91" s="3">
        <v>0</v>
      </c>
      <c r="E91" s="3">
        <v>5989</v>
      </c>
      <c r="F91" s="3" t="s">
        <v>574</v>
      </c>
      <c r="G91" s="3">
        <v>0</v>
      </c>
      <c r="H91" s="3">
        <v>0</v>
      </c>
      <c r="I91" s="3"/>
      <c r="J91" s="3"/>
    </row>
    <row r="92" customFormat="1" spans="1:10">
      <c r="A92" s="3">
        <v>8</v>
      </c>
      <c r="B92" s="4">
        <v>45327</v>
      </c>
      <c r="C92" s="3" t="s">
        <v>626</v>
      </c>
      <c r="D92" s="3">
        <v>0</v>
      </c>
      <c r="E92" s="3">
        <v>10170</v>
      </c>
      <c r="F92" s="3" t="s">
        <v>567</v>
      </c>
      <c r="G92" s="3">
        <v>0</v>
      </c>
      <c r="H92" s="3">
        <v>0</v>
      </c>
      <c r="I92" s="3"/>
      <c r="J92" s="3"/>
    </row>
    <row r="93" customFormat="1" spans="1:10">
      <c r="A93" s="3">
        <v>9</v>
      </c>
      <c r="B93" s="4">
        <v>45327</v>
      </c>
      <c r="C93" s="3" t="s">
        <v>627</v>
      </c>
      <c r="D93" s="3">
        <v>0</v>
      </c>
      <c r="E93" s="3">
        <v>50000</v>
      </c>
      <c r="F93" s="3" t="s">
        <v>567</v>
      </c>
      <c r="G93" s="3">
        <v>0</v>
      </c>
      <c r="H93" s="3">
        <v>0</v>
      </c>
      <c r="I93" s="3"/>
      <c r="J93" s="3"/>
    </row>
    <row r="94" customFormat="1" spans="1:10">
      <c r="A94" s="3">
        <v>10</v>
      </c>
      <c r="B94" s="4">
        <v>45327</v>
      </c>
      <c r="C94" s="3" t="s">
        <v>628</v>
      </c>
      <c r="D94" s="3">
        <v>0</v>
      </c>
      <c r="E94" s="3">
        <v>20000</v>
      </c>
      <c r="F94" s="3" t="s">
        <v>574</v>
      </c>
      <c r="G94" s="3">
        <v>0</v>
      </c>
      <c r="H94" s="3">
        <v>0</v>
      </c>
      <c r="I94" s="3"/>
      <c r="J94" s="3"/>
    </row>
    <row r="95" customFormat="1" spans="1:10">
      <c r="A95" s="3">
        <v>11</v>
      </c>
      <c r="B95" s="4">
        <v>45327</v>
      </c>
      <c r="C95" s="3" t="s">
        <v>629</v>
      </c>
      <c r="D95" s="3">
        <v>0</v>
      </c>
      <c r="E95" s="3">
        <v>276000</v>
      </c>
      <c r="F95" s="3" t="s">
        <v>229</v>
      </c>
      <c r="G95" s="3">
        <v>0</v>
      </c>
      <c r="H95" s="3">
        <v>0</v>
      </c>
      <c r="I95" s="3"/>
      <c r="J95" s="3"/>
    </row>
    <row r="96" customFormat="1" spans="1:10">
      <c r="A96" s="3">
        <v>12</v>
      </c>
      <c r="B96" s="4">
        <v>45328</v>
      </c>
      <c r="C96" s="3" t="s">
        <v>630</v>
      </c>
      <c r="D96" s="3">
        <v>0</v>
      </c>
      <c r="E96" s="3">
        <v>1500</v>
      </c>
      <c r="F96" s="3" t="s">
        <v>567</v>
      </c>
      <c r="G96" s="3">
        <v>0</v>
      </c>
      <c r="H96" s="3">
        <v>0</v>
      </c>
      <c r="I96" s="3"/>
      <c r="J96" s="3"/>
    </row>
    <row r="97" customFormat="1" spans="1:10">
      <c r="A97" s="3">
        <v>13</v>
      </c>
      <c r="B97" s="4">
        <v>45329</v>
      </c>
      <c r="C97" s="3" t="s">
        <v>631</v>
      </c>
      <c r="D97" s="3">
        <v>0</v>
      </c>
      <c r="E97" s="3">
        <v>315200</v>
      </c>
      <c r="F97" s="3" t="s">
        <v>567</v>
      </c>
      <c r="G97" s="3">
        <v>0</v>
      </c>
      <c r="H97" s="3">
        <v>0</v>
      </c>
      <c r="I97" s="3"/>
      <c r="J97" s="3"/>
    </row>
    <row r="98" customFormat="1" spans="1:10">
      <c r="A98" s="3">
        <v>14</v>
      </c>
      <c r="B98" s="4">
        <v>45329</v>
      </c>
      <c r="C98" s="3" t="s">
        <v>632</v>
      </c>
      <c r="D98" s="3">
        <v>0</v>
      </c>
      <c r="E98" s="3">
        <v>50000</v>
      </c>
      <c r="F98" s="3" t="s">
        <v>574</v>
      </c>
      <c r="G98" s="3">
        <v>0</v>
      </c>
      <c r="H98" s="3">
        <v>0</v>
      </c>
      <c r="I98" s="3"/>
      <c r="J98" s="3"/>
    </row>
    <row r="99" customFormat="1" spans="1:10">
      <c r="A99" s="3">
        <v>15</v>
      </c>
      <c r="B99" s="4">
        <v>45329</v>
      </c>
      <c r="C99" s="3" t="s">
        <v>633</v>
      </c>
      <c r="D99" s="3">
        <v>0</v>
      </c>
      <c r="E99" s="3">
        <v>50000</v>
      </c>
      <c r="F99" s="3" t="s">
        <v>571</v>
      </c>
      <c r="G99" s="3">
        <v>0</v>
      </c>
      <c r="H99" s="3">
        <v>0</v>
      </c>
      <c r="I99" s="3"/>
      <c r="J99" s="3"/>
    </row>
    <row r="100" customFormat="1" spans="1:10">
      <c r="A100" s="3">
        <v>16</v>
      </c>
      <c r="B100" s="4">
        <v>45329</v>
      </c>
      <c r="C100" s="3" t="s">
        <v>634</v>
      </c>
      <c r="D100" s="3">
        <v>0</v>
      </c>
      <c r="E100" s="3">
        <v>100000</v>
      </c>
      <c r="F100" s="3" t="s">
        <v>571</v>
      </c>
      <c r="G100" s="3">
        <v>0</v>
      </c>
      <c r="H100" s="3">
        <v>0</v>
      </c>
      <c r="I100" s="3"/>
      <c r="J100" s="3"/>
    </row>
    <row r="101" customFormat="1" spans="1:10">
      <c r="A101" s="3">
        <v>17</v>
      </c>
      <c r="B101" s="4">
        <v>45329</v>
      </c>
      <c r="C101" s="3" t="s">
        <v>635</v>
      </c>
      <c r="D101" s="3">
        <v>0</v>
      </c>
      <c r="E101" s="3">
        <v>30000</v>
      </c>
      <c r="F101" s="3" t="s">
        <v>571</v>
      </c>
      <c r="G101" s="3">
        <v>0</v>
      </c>
      <c r="H101" s="3">
        <v>0</v>
      </c>
      <c r="I101" s="3"/>
      <c r="J101" s="3"/>
    </row>
    <row r="102" customFormat="1" spans="1:10">
      <c r="A102" s="3">
        <v>18</v>
      </c>
      <c r="B102" s="4">
        <v>45330</v>
      </c>
      <c r="C102" s="3" t="s">
        <v>636</v>
      </c>
      <c r="D102" s="3">
        <v>0</v>
      </c>
      <c r="E102" s="3">
        <v>5500</v>
      </c>
      <c r="F102" s="3" t="s">
        <v>567</v>
      </c>
      <c r="G102" s="3">
        <v>0</v>
      </c>
      <c r="H102" s="3">
        <v>0</v>
      </c>
      <c r="I102" s="3"/>
      <c r="J102" s="3"/>
    </row>
    <row r="103" customFormat="1" spans="1:10">
      <c r="A103" s="3">
        <v>19</v>
      </c>
      <c r="B103" s="4">
        <v>45330</v>
      </c>
      <c r="C103" s="3" t="s">
        <v>637</v>
      </c>
      <c r="D103" s="3">
        <v>0</v>
      </c>
      <c r="E103" s="3">
        <v>71000</v>
      </c>
      <c r="F103" s="3" t="s">
        <v>574</v>
      </c>
      <c r="G103" s="3">
        <v>0</v>
      </c>
      <c r="H103" s="3">
        <v>0</v>
      </c>
      <c r="I103" s="3"/>
      <c r="J103" s="3"/>
    </row>
    <row r="104" customFormat="1" spans="1:10">
      <c r="A104" s="3">
        <v>20</v>
      </c>
      <c r="B104" s="4">
        <v>45330</v>
      </c>
      <c r="C104" s="3" t="s">
        <v>638</v>
      </c>
      <c r="D104" s="3">
        <v>0</v>
      </c>
      <c r="E104" s="3">
        <v>100000</v>
      </c>
      <c r="F104" s="3" t="s">
        <v>577</v>
      </c>
      <c r="G104" s="3">
        <v>0</v>
      </c>
      <c r="H104" s="3">
        <v>0</v>
      </c>
      <c r="I104" s="3"/>
      <c r="J104" s="3"/>
    </row>
    <row r="105" customFormat="1" spans="1:10">
      <c r="A105" s="3">
        <v>21</v>
      </c>
      <c r="B105" s="4">
        <v>45330</v>
      </c>
      <c r="C105" s="3" t="s">
        <v>639</v>
      </c>
      <c r="D105" s="3">
        <v>0</v>
      </c>
      <c r="E105" s="3">
        <v>150000</v>
      </c>
      <c r="F105" s="3" t="s">
        <v>582</v>
      </c>
      <c r="G105" s="3">
        <v>0</v>
      </c>
      <c r="H105" s="3">
        <v>0</v>
      </c>
      <c r="I105" s="3"/>
      <c r="J105" s="3"/>
    </row>
    <row r="106" customFormat="1" spans="1:10">
      <c r="A106" s="3">
        <v>22</v>
      </c>
      <c r="B106" s="4">
        <v>45330</v>
      </c>
      <c r="C106" s="3" t="s">
        <v>570</v>
      </c>
      <c r="D106" s="3">
        <v>0</v>
      </c>
      <c r="E106" s="3">
        <v>1235</v>
      </c>
      <c r="F106" s="3" t="s">
        <v>571</v>
      </c>
      <c r="G106" s="3">
        <v>0</v>
      </c>
      <c r="H106" s="3">
        <v>0</v>
      </c>
      <c r="I106" s="3"/>
      <c r="J106" s="3"/>
    </row>
    <row r="107" customFormat="1" spans="1:10">
      <c r="A107" s="3">
        <v>23</v>
      </c>
      <c r="B107" s="4">
        <v>45330</v>
      </c>
      <c r="C107" s="3" t="s">
        <v>570</v>
      </c>
      <c r="D107" s="3">
        <v>0</v>
      </c>
      <c r="E107" s="3">
        <v>27000</v>
      </c>
      <c r="F107" s="3" t="s">
        <v>571</v>
      </c>
      <c r="G107" s="3">
        <v>0</v>
      </c>
      <c r="H107" s="3">
        <v>0</v>
      </c>
      <c r="I107" s="3"/>
      <c r="J107" s="3"/>
    </row>
    <row r="108" customFormat="1" spans="1:10">
      <c r="A108" s="3">
        <v>24</v>
      </c>
      <c r="B108" s="4">
        <v>45330</v>
      </c>
      <c r="C108" s="3" t="s">
        <v>640</v>
      </c>
      <c r="D108" s="3">
        <v>0</v>
      </c>
      <c r="E108" s="3">
        <v>73000</v>
      </c>
      <c r="F108" s="3" t="s">
        <v>641</v>
      </c>
      <c r="G108" s="3">
        <v>0</v>
      </c>
      <c r="H108" s="3">
        <v>0</v>
      </c>
      <c r="I108" s="3"/>
      <c r="J108" s="3"/>
    </row>
    <row r="109" customFormat="1" spans="1:10">
      <c r="A109" s="3">
        <v>25</v>
      </c>
      <c r="B109" s="4">
        <v>45342</v>
      </c>
      <c r="C109" s="3" t="s">
        <v>642</v>
      </c>
      <c r="D109" s="3">
        <v>0</v>
      </c>
      <c r="E109" s="3">
        <v>24600</v>
      </c>
      <c r="F109" s="3" t="s">
        <v>567</v>
      </c>
      <c r="G109" s="3">
        <v>0</v>
      </c>
      <c r="H109" s="3">
        <v>0</v>
      </c>
      <c r="I109" s="3"/>
      <c r="J109" s="3"/>
    </row>
    <row r="110" customFormat="1" spans="1:10">
      <c r="A110" s="3">
        <v>26</v>
      </c>
      <c r="B110" s="4">
        <v>45343</v>
      </c>
      <c r="C110" s="3" t="s">
        <v>643</v>
      </c>
      <c r="D110" s="3">
        <v>0</v>
      </c>
      <c r="E110" s="3">
        <v>30000</v>
      </c>
      <c r="F110" s="3" t="s">
        <v>574</v>
      </c>
      <c r="G110" s="3">
        <v>0</v>
      </c>
      <c r="H110" s="3">
        <v>0</v>
      </c>
      <c r="I110" s="3"/>
      <c r="J110" s="3"/>
    </row>
    <row r="111" customFormat="1" spans="1:10">
      <c r="A111" s="3">
        <v>27</v>
      </c>
      <c r="B111" s="4">
        <v>45345</v>
      </c>
      <c r="C111" s="3" t="s">
        <v>53</v>
      </c>
      <c r="D111" s="3">
        <v>0</v>
      </c>
      <c r="E111" s="3">
        <v>162529.32</v>
      </c>
      <c r="F111" s="3" t="s">
        <v>571</v>
      </c>
      <c r="G111" s="3">
        <v>0</v>
      </c>
      <c r="H111" s="3">
        <v>0</v>
      </c>
      <c r="I111" s="3"/>
      <c r="J111" s="3"/>
    </row>
    <row r="112" customFormat="1" spans="1:10">
      <c r="A112" s="3">
        <v>28</v>
      </c>
      <c r="B112" s="4">
        <v>45345</v>
      </c>
      <c r="C112" s="3" t="s">
        <v>45</v>
      </c>
      <c r="D112" s="3">
        <v>0</v>
      </c>
      <c r="E112" s="3">
        <v>695000</v>
      </c>
      <c r="F112" s="3" t="s">
        <v>575</v>
      </c>
      <c r="G112" s="3">
        <v>0</v>
      </c>
      <c r="H112" s="3">
        <v>0</v>
      </c>
      <c r="I112" s="3"/>
      <c r="J112" s="3"/>
    </row>
    <row r="113" customFormat="1" spans="1:10">
      <c r="A113" s="3">
        <v>29</v>
      </c>
      <c r="B113" s="4">
        <v>45348</v>
      </c>
      <c r="C113" s="3" t="s">
        <v>644</v>
      </c>
      <c r="D113" s="3">
        <v>0</v>
      </c>
      <c r="E113" s="3">
        <v>20000</v>
      </c>
      <c r="F113" s="3" t="s">
        <v>567</v>
      </c>
      <c r="G113" s="3">
        <v>0</v>
      </c>
      <c r="H113" s="3">
        <v>0</v>
      </c>
      <c r="I113" s="3"/>
      <c r="J113" s="3"/>
    </row>
    <row r="114" customFormat="1" spans="1:10">
      <c r="A114" s="3">
        <v>30</v>
      </c>
      <c r="B114" s="4">
        <v>45349</v>
      </c>
      <c r="C114" s="3" t="s">
        <v>555</v>
      </c>
      <c r="D114" s="3">
        <v>0</v>
      </c>
      <c r="E114" s="3">
        <v>150000</v>
      </c>
      <c r="F114" s="3" t="s">
        <v>574</v>
      </c>
      <c r="G114" s="3">
        <v>0</v>
      </c>
      <c r="H114" s="3">
        <v>0</v>
      </c>
      <c r="I114" s="3"/>
      <c r="J114" s="3"/>
    </row>
    <row r="115" customFormat="1" spans="1:10">
      <c r="A115" s="3">
        <v>31</v>
      </c>
      <c r="B115" s="4">
        <v>45350</v>
      </c>
      <c r="C115" s="3" t="s">
        <v>645</v>
      </c>
      <c r="D115" s="3">
        <v>0</v>
      </c>
      <c r="E115" s="3">
        <v>20000</v>
      </c>
      <c r="F115" s="3" t="s">
        <v>567</v>
      </c>
      <c r="G115" s="3">
        <v>0</v>
      </c>
      <c r="H115" s="3">
        <v>0</v>
      </c>
      <c r="I115" s="3"/>
      <c r="J115" s="3"/>
    </row>
    <row r="116" customFormat="1" spans="1:10">
      <c r="A116" s="3">
        <v>32</v>
      </c>
      <c r="B116" s="4">
        <v>45350</v>
      </c>
      <c r="C116" s="3" t="s">
        <v>646</v>
      </c>
      <c r="D116" s="3">
        <v>0</v>
      </c>
      <c r="E116" s="3">
        <v>165396.82</v>
      </c>
      <c r="F116" s="3" t="s">
        <v>567</v>
      </c>
      <c r="G116" s="3">
        <v>0</v>
      </c>
      <c r="H116" s="3">
        <v>0</v>
      </c>
      <c r="I116" s="3"/>
      <c r="J116" s="3"/>
    </row>
    <row r="117" customFormat="1" spans="1:10">
      <c r="A117" s="3">
        <v>33</v>
      </c>
      <c r="B117" s="4">
        <v>45350</v>
      </c>
      <c r="C117" s="3" t="s">
        <v>647</v>
      </c>
      <c r="D117" s="3">
        <v>0</v>
      </c>
      <c r="E117" s="3">
        <v>548873.71</v>
      </c>
      <c r="F117" s="3" t="s">
        <v>567</v>
      </c>
      <c r="G117" s="3">
        <v>0</v>
      </c>
      <c r="H117" s="3">
        <v>0</v>
      </c>
      <c r="I117" s="3"/>
      <c r="J117" s="3"/>
    </row>
    <row r="118" customFormat="1" spans="1:10">
      <c r="A118" s="3">
        <v>34</v>
      </c>
      <c r="B118" s="4">
        <v>45350</v>
      </c>
      <c r="C118" s="3" t="s">
        <v>648</v>
      </c>
      <c r="D118" s="3">
        <v>0</v>
      </c>
      <c r="E118" s="3">
        <v>2048.51</v>
      </c>
      <c r="F118" s="3" t="s">
        <v>574</v>
      </c>
      <c r="G118" s="3">
        <v>0</v>
      </c>
      <c r="H118" s="3">
        <v>0</v>
      </c>
      <c r="I118" s="3"/>
      <c r="J118" s="3"/>
    </row>
    <row r="119" customFormat="1" spans="1:10">
      <c r="A119" s="3">
        <v>35</v>
      </c>
      <c r="B119" s="4">
        <v>45350</v>
      </c>
      <c r="C119" s="3" t="s">
        <v>14</v>
      </c>
      <c r="D119" s="3">
        <v>0</v>
      </c>
      <c r="E119" s="3">
        <v>1918677.62</v>
      </c>
      <c r="F119" s="3" t="s">
        <v>569</v>
      </c>
      <c r="G119" s="3">
        <v>0</v>
      </c>
      <c r="H119" s="3">
        <v>0</v>
      </c>
      <c r="I119" s="3"/>
      <c r="J119" s="3"/>
    </row>
    <row r="120" customFormat="1" spans="1:10">
      <c r="A120" s="3">
        <v>36</v>
      </c>
      <c r="B120" s="4">
        <v>45351</v>
      </c>
      <c r="C120" s="3" t="s">
        <v>649</v>
      </c>
      <c r="D120" s="3">
        <v>0</v>
      </c>
      <c r="E120" s="3">
        <v>263500</v>
      </c>
      <c r="F120" s="3" t="s">
        <v>571</v>
      </c>
      <c r="G120" s="3">
        <v>0</v>
      </c>
      <c r="H120" s="3">
        <v>0</v>
      </c>
      <c r="I120" s="3"/>
      <c r="J120" s="3"/>
    </row>
    <row r="121" customFormat="1" spans="1:10">
      <c r="A121" s="3">
        <v>1</v>
      </c>
      <c r="B121" s="4">
        <v>45359</v>
      </c>
      <c r="C121" s="3" t="s">
        <v>650</v>
      </c>
      <c r="D121" s="3">
        <v>0</v>
      </c>
      <c r="E121" s="3">
        <v>108900</v>
      </c>
      <c r="F121" s="3" t="s">
        <v>574</v>
      </c>
      <c r="G121" s="3">
        <v>0</v>
      </c>
      <c r="H121" s="3">
        <v>0</v>
      </c>
      <c r="I121" s="3"/>
      <c r="J121" s="3"/>
    </row>
    <row r="122" customFormat="1" spans="1:10">
      <c r="A122" s="3">
        <v>2</v>
      </c>
      <c r="B122" s="4">
        <v>45360</v>
      </c>
      <c r="C122" s="3" t="s">
        <v>651</v>
      </c>
      <c r="D122" s="3">
        <v>0</v>
      </c>
      <c r="E122" s="3">
        <v>9000</v>
      </c>
      <c r="F122" s="3" t="s">
        <v>229</v>
      </c>
      <c r="G122" s="3">
        <v>0</v>
      </c>
      <c r="H122" s="3">
        <v>0</v>
      </c>
      <c r="I122" s="3"/>
      <c r="J122" s="3"/>
    </row>
    <row r="123" customFormat="1" spans="1:10">
      <c r="A123" s="3">
        <v>3</v>
      </c>
      <c r="B123" s="4">
        <v>45365</v>
      </c>
      <c r="C123" s="3" t="s">
        <v>186</v>
      </c>
      <c r="D123" s="3">
        <v>0</v>
      </c>
      <c r="E123" s="3">
        <v>150000</v>
      </c>
      <c r="F123" s="3" t="s">
        <v>569</v>
      </c>
      <c r="G123" s="3">
        <v>0</v>
      </c>
      <c r="H123" s="3">
        <v>0</v>
      </c>
      <c r="I123" s="3"/>
      <c r="J123" s="3"/>
    </row>
    <row r="124" customFormat="1" spans="1:10">
      <c r="A124" s="3">
        <v>4</v>
      </c>
      <c r="B124" s="4">
        <v>45366</v>
      </c>
      <c r="C124" s="3" t="s">
        <v>650</v>
      </c>
      <c r="D124" s="3">
        <v>0</v>
      </c>
      <c r="E124" s="3">
        <v>181500</v>
      </c>
      <c r="F124" s="3" t="s">
        <v>574</v>
      </c>
      <c r="G124" s="3">
        <v>0</v>
      </c>
      <c r="H124" s="3">
        <v>0</v>
      </c>
      <c r="I124" s="3"/>
      <c r="J124" s="3"/>
    </row>
    <row r="125" customFormat="1" spans="1:10">
      <c r="A125" s="3">
        <v>5</v>
      </c>
      <c r="B125" s="4">
        <v>45370</v>
      </c>
      <c r="C125" s="3" t="s">
        <v>652</v>
      </c>
      <c r="D125" s="3">
        <v>0</v>
      </c>
      <c r="E125" s="3">
        <v>34220</v>
      </c>
      <c r="F125" s="3" t="s">
        <v>574</v>
      </c>
      <c r="G125" s="3">
        <v>0</v>
      </c>
      <c r="H125" s="3">
        <v>0</v>
      </c>
      <c r="I125" s="3"/>
      <c r="J125" s="3"/>
    </row>
    <row r="126" customFormat="1" spans="1:10">
      <c r="A126" s="3">
        <v>6</v>
      </c>
      <c r="B126" s="4">
        <v>45370</v>
      </c>
      <c r="C126" s="3" t="s">
        <v>186</v>
      </c>
      <c r="D126" s="3">
        <v>0</v>
      </c>
      <c r="E126" s="3">
        <v>10024</v>
      </c>
      <c r="F126" s="3" t="s">
        <v>574</v>
      </c>
      <c r="G126" s="3">
        <v>0</v>
      </c>
      <c r="H126" s="3">
        <v>0</v>
      </c>
      <c r="I126" s="3"/>
      <c r="J126" s="3"/>
    </row>
    <row r="127" customFormat="1" spans="1:10">
      <c r="A127" s="3">
        <v>7</v>
      </c>
      <c r="B127" s="4">
        <v>45371</v>
      </c>
      <c r="C127" s="3" t="s">
        <v>359</v>
      </c>
      <c r="D127" s="3">
        <v>0</v>
      </c>
      <c r="E127" s="3">
        <v>10300</v>
      </c>
      <c r="F127" s="3" t="s">
        <v>574</v>
      </c>
      <c r="G127" s="3">
        <v>0</v>
      </c>
      <c r="H127" s="3">
        <v>0</v>
      </c>
      <c r="I127" s="3"/>
      <c r="J127" s="3"/>
    </row>
    <row r="128" customFormat="1" spans="1:10">
      <c r="A128" s="3">
        <v>8</v>
      </c>
      <c r="B128" s="4">
        <v>45371</v>
      </c>
      <c r="C128" s="3" t="s">
        <v>361</v>
      </c>
      <c r="D128" s="3">
        <v>0</v>
      </c>
      <c r="E128" s="3">
        <v>100000</v>
      </c>
      <c r="F128" s="3" t="s">
        <v>574</v>
      </c>
      <c r="G128" s="3">
        <v>0</v>
      </c>
      <c r="H128" s="3">
        <v>0</v>
      </c>
      <c r="I128" s="3"/>
      <c r="J128" s="3"/>
    </row>
    <row r="129" customFormat="1" spans="1:10">
      <c r="A129" s="3">
        <v>10</v>
      </c>
      <c r="B129" s="4">
        <v>45371</v>
      </c>
      <c r="C129" s="3" t="s">
        <v>362</v>
      </c>
      <c r="D129" s="3">
        <v>0</v>
      </c>
      <c r="E129" s="3">
        <v>10000</v>
      </c>
      <c r="F129" s="3" t="s">
        <v>567</v>
      </c>
      <c r="G129" s="3">
        <v>0</v>
      </c>
      <c r="H129" s="3">
        <v>0</v>
      </c>
      <c r="I129" s="3"/>
      <c r="J129" s="3"/>
    </row>
    <row r="130" customFormat="1" spans="1:10">
      <c r="A130" s="3">
        <v>11</v>
      </c>
      <c r="B130" s="4">
        <v>45372</v>
      </c>
      <c r="C130" s="3" t="s">
        <v>363</v>
      </c>
      <c r="D130" s="3">
        <v>0</v>
      </c>
      <c r="E130" s="3">
        <v>20000</v>
      </c>
      <c r="F130" s="3" t="s">
        <v>567</v>
      </c>
      <c r="G130" s="3">
        <v>0</v>
      </c>
      <c r="H130" s="3">
        <v>0</v>
      </c>
      <c r="I130" s="3"/>
      <c r="J130" s="3"/>
    </row>
    <row r="131" customFormat="1" spans="1:10">
      <c r="A131" s="3">
        <v>12</v>
      </c>
      <c r="B131" s="4">
        <v>45372</v>
      </c>
      <c r="C131" s="3" t="s">
        <v>364</v>
      </c>
      <c r="D131" s="3">
        <v>0</v>
      </c>
      <c r="E131" s="3">
        <v>20000</v>
      </c>
      <c r="F131" s="3" t="s">
        <v>574</v>
      </c>
      <c r="G131" s="3">
        <v>0</v>
      </c>
      <c r="H131" s="3">
        <v>0</v>
      </c>
      <c r="I131" s="3"/>
      <c r="J131" s="3"/>
    </row>
    <row r="132" customFormat="1" spans="1:10">
      <c r="A132" s="3">
        <v>13</v>
      </c>
      <c r="B132" s="4">
        <v>45372</v>
      </c>
      <c r="C132" s="3" t="s">
        <v>653</v>
      </c>
      <c r="D132" s="3">
        <v>0</v>
      </c>
      <c r="E132" s="3">
        <v>20000</v>
      </c>
      <c r="F132" s="3" t="s">
        <v>574</v>
      </c>
      <c r="G132" s="3">
        <v>0</v>
      </c>
      <c r="H132" s="3">
        <v>0</v>
      </c>
      <c r="I132" s="3"/>
      <c r="J132" s="3"/>
    </row>
    <row r="133" customFormat="1" spans="1:10">
      <c r="A133" s="3">
        <v>14</v>
      </c>
      <c r="B133" s="4">
        <v>45373</v>
      </c>
      <c r="C133" s="3" t="s">
        <v>365</v>
      </c>
      <c r="D133" s="3">
        <v>0</v>
      </c>
      <c r="E133" s="3">
        <v>3000</v>
      </c>
      <c r="F133" s="3" t="s">
        <v>574</v>
      </c>
      <c r="G133" s="3">
        <v>0</v>
      </c>
      <c r="H133" s="3">
        <v>0</v>
      </c>
      <c r="I133" s="3"/>
      <c r="J133" s="3"/>
    </row>
    <row r="134" customFormat="1" spans="1:10">
      <c r="A134" s="3">
        <v>15</v>
      </c>
      <c r="B134" s="4">
        <v>45376</v>
      </c>
      <c r="C134" s="3" t="s">
        <v>366</v>
      </c>
      <c r="D134" s="3">
        <v>0</v>
      </c>
      <c r="E134" s="3">
        <v>850</v>
      </c>
      <c r="F134" s="3" t="s">
        <v>229</v>
      </c>
      <c r="G134" s="3">
        <v>0</v>
      </c>
      <c r="H134" s="3">
        <v>0</v>
      </c>
      <c r="I134" s="3"/>
      <c r="J134" s="3"/>
    </row>
    <row r="135" customFormat="1" spans="1:10">
      <c r="A135" s="3">
        <v>16</v>
      </c>
      <c r="B135" s="4">
        <v>45377</v>
      </c>
      <c r="C135" s="3" t="s">
        <v>366</v>
      </c>
      <c r="D135" s="3">
        <v>0</v>
      </c>
      <c r="E135" s="3">
        <v>40000</v>
      </c>
      <c r="F135" s="3" t="s">
        <v>608</v>
      </c>
      <c r="G135" s="3">
        <v>0</v>
      </c>
      <c r="H135" s="3">
        <v>0</v>
      </c>
      <c r="I135" s="3"/>
      <c r="J135" s="3"/>
    </row>
    <row r="136" customFormat="1" spans="1:10">
      <c r="A136" s="3">
        <v>16</v>
      </c>
      <c r="B136" s="4">
        <v>45378</v>
      </c>
      <c r="C136" s="3" t="s">
        <v>367</v>
      </c>
      <c r="D136" s="3">
        <v>0</v>
      </c>
      <c r="E136" s="3">
        <v>3100</v>
      </c>
      <c r="F136" s="3" t="s">
        <v>567</v>
      </c>
      <c r="G136" s="3">
        <v>0</v>
      </c>
      <c r="H136" s="3">
        <v>0</v>
      </c>
      <c r="I136" s="3"/>
      <c r="J136" s="3"/>
    </row>
    <row r="137" customFormat="1" spans="1:10">
      <c r="A137" s="3">
        <v>17</v>
      </c>
      <c r="B137" s="4">
        <v>45378</v>
      </c>
      <c r="C137" s="3" t="s">
        <v>14</v>
      </c>
      <c r="D137" s="3">
        <v>0</v>
      </c>
      <c r="E137" s="3">
        <v>2180.1</v>
      </c>
      <c r="F137" s="3" t="s">
        <v>574</v>
      </c>
      <c r="G137" s="3">
        <v>0</v>
      </c>
      <c r="H137" s="3">
        <v>0</v>
      </c>
      <c r="I137" s="3"/>
      <c r="J137" s="3"/>
    </row>
    <row r="138" customFormat="1" spans="1:10">
      <c r="A138" s="3">
        <v>18</v>
      </c>
      <c r="B138" s="4">
        <v>45378</v>
      </c>
      <c r="C138" s="3" t="s">
        <v>368</v>
      </c>
      <c r="D138" s="3">
        <v>0</v>
      </c>
      <c r="E138" s="3">
        <v>3500</v>
      </c>
      <c r="F138" s="3" t="s">
        <v>574</v>
      </c>
      <c r="G138" s="3">
        <v>0</v>
      </c>
      <c r="H138" s="3">
        <v>0</v>
      </c>
      <c r="I138" s="3"/>
      <c r="J138" s="3"/>
    </row>
    <row r="139" customFormat="1" spans="1:10">
      <c r="A139" s="3">
        <v>19</v>
      </c>
      <c r="B139" s="4">
        <v>45378</v>
      </c>
      <c r="C139" s="3" t="s">
        <v>369</v>
      </c>
      <c r="D139" s="3">
        <v>0</v>
      </c>
      <c r="E139" s="3">
        <v>88000</v>
      </c>
      <c r="F139" s="3" t="s">
        <v>574</v>
      </c>
      <c r="G139" s="3">
        <v>0</v>
      </c>
      <c r="H139" s="3">
        <v>0</v>
      </c>
      <c r="I139" s="3"/>
      <c r="J139" s="3"/>
    </row>
    <row r="140" customFormat="1" spans="1:10">
      <c r="A140" s="3">
        <v>20</v>
      </c>
      <c r="B140" s="4">
        <v>45380</v>
      </c>
      <c r="C140" s="3" t="s">
        <v>14</v>
      </c>
      <c r="D140" s="3">
        <v>0</v>
      </c>
      <c r="E140" s="3">
        <v>100000</v>
      </c>
      <c r="F140" s="3" t="s">
        <v>569</v>
      </c>
      <c r="G140" s="3">
        <v>0</v>
      </c>
      <c r="H140" s="3">
        <v>0</v>
      </c>
      <c r="I140" s="3"/>
      <c r="J140" s="3"/>
    </row>
    <row r="141" customFormat="1" spans="1:10">
      <c r="A141" s="3">
        <v>21</v>
      </c>
      <c r="B141" s="4">
        <v>45380</v>
      </c>
      <c r="C141" s="3" t="s">
        <v>14</v>
      </c>
      <c r="D141" s="3">
        <v>0</v>
      </c>
      <c r="E141" s="3">
        <v>85000</v>
      </c>
      <c r="F141" s="3" t="s">
        <v>569</v>
      </c>
      <c r="G141" s="3">
        <v>0</v>
      </c>
      <c r="H141" s="3">
        <v>0</v>
      </c>
      <c r="I141" s="3"/>
      <c r="J141" s="3"/>
    </row>
    <row r="142" customFormat="1" spans="1:10">
      <c r="A142" s="3">
        <v>22</v>
      </c>
      <c r="B142" s="4">
        <v>45380</v>
      </c>
      <c r="C142" s="3" t="s">
        <v>14</v>
      </c>
      <c r="D142" s="3">
        <v>0</v>
      </c>
      <c r="E142" s="3">
        <v>40000</v>
      </c>
      <c r="F142" s="3" t="s">
        <v>569</v>
      </c>
      <c r="G142" s="3">
        <v>0</v>
      </c>
      <c r="H142" s="3">
        <v>0</v>
      </c>
      <c r="I142" s="3"/>
      <c r="J142" s="3"/>
    </row>
    <row r="143" customFormat="1" spans="1:10">
      <c r="A143" s="3">
        <v>23</v>
      </c>
      <c r="B143" s="4">
        <v>45380</v>
      </c>
      <c r="C143" s="3" t="s">
        <v>14</v>
      </c>
      <c r="D143" s="3">
        <v>0</v>
      </c>
      <c r="E143" s="3">
        <v>311893</v>
      </c>
      <c r="F143" s="3" t="s">
        <v>569</v>
      </c>
      <c r="G143" s="3">
        <v>0</v>
      </c>
      <c r="H143" s="3">
        <v>0</v>
      </c>
      <c r="I143" s="3"/>
      <c r="J143" s="3"/>
    </row>
    <row r="144" customFormat="1" spans="1:10">
      <c r="A144" s="3">
        <v>24</v>
      </c>
      <c r="B144" s="4">
        <v>45380</v>
      </c>
      <c r="C144" s="3" t="s">
        <v>14</v>
      </c>
      <c r="D144" s="3">
        <v>0</v>
      </c>
      <c r="E144" s="3">
        <v>35000</v>
      </c>
      <c r="F144" s="3" t="s">
        <v>569</v>
      </c>
      <c r="G144" s="3">
        <v>0</v>
      </c>
      <c r="H144" s="3">
        <v>0</v>
      </c>
      <c r="I144" s="3"/>
      <c r="J144" s="3"/>
    </row>
    <row r="145" customFormat="1" spans="1:10">
      <c r="A145" s="3">
        <v>12</v>
      </c>
      <c r="B145" s="4">
        <v>45384</v>
      </c>
      <c r="C145" s="3" t="s">
        <v>654</v>
      </c>
      <c r="D145" s="3" t="s">
        <v>655</v>
      </c>
      <c r="E145" s="3">
        <v>92</v>
      </c>
      <c r="F145" s="3" t="s">
        <v>656</v>
      </c>
      <c r="G145" s="3">
        <v>0</v>
      </c>
      <c r="H145" s="3">
        <v>0</v>
      </c>
      <c r="I145" s="3"/>
      <c r="J145" s="3"/>
    </row>
    <row r="146" customFormat="1" spans="1:10">
      <c r="A146" s="3">
        <v>1</v>
      </c>
      <c r="B146" s="4">
        <v>45389</v>
      </c>
      <c r="C146" s="3" t="s">
        <v>657</v>
      </c>
      <c r="D146" s="3" t="s">
        <v>658</v>
      </c>
      <c r="E146" s="3">
        <v>47000</v>
      </c>
      <c r="F146" s="3" t="s">
        <v>567</v>
      </c>
      <c r="G146" s="3">
        <v>0</v>
      </c>
      <c r="H146" s="3">
        <v>0</v>
      </c>
      <c r="I146" s="3"/>
      <c r="J146" s="3"/>
    </row>
    <row r="147" customFormat="1" spans="1:10">
      <c r="A147" s="3">
        <v>2</v>
      </c>
      <c r="B147" s="4">
        <v>45392</v>
      </c>
      <c r="C147" s="3" t="s">
        <v>659</v>
      </c>
      <c r="D147" s="3" t="s">
        <v>660</v>
      </c>
      <c r="E147" s="3">
        <v>38160</v>
      </c>
      <c r="F147" s="3" t="s">
        <v>574</v>
      </c>
      <c r="G147" s="3">
        <v>0</v>
      </c>
      <c r="H147" s="3">
        <v>0</v>
      </c>
      <c r="I147" s="3"/>
      <c r="J147" s="3"/>
    </row>
    <row r="148" customFormat="1" spans="1:10">
      <c r="A148" s="3">
        <v>3</v>
      </c>
      <c r="B148" s="4">
        <v>45392</v>
      </c>
      <c r="C148" s="3" t="s">
        <v>107</v>
      </c>
      <c r="D148" s="3" t="s">
        <v>661</v>
      </c>
      <c r="E148" s="3">
        <v>5763</v>
      </c>
      <c r="F148" s="3" t="s">
        <v>567</v>
      </c>
      <c r="G148" s="3">
        <v>0</v>
      </c>
      <c r="H148" s="3">
        <v>0</v>
      </c>
      <c r="I148" s="3"/>
      <c r="J148" s="3"/>
    </row>
    <row r="149" customFormat="1" spans="1:10">
      <c r="A149" s="3">
        <v>4</v>
      </c>
      <c r="B149" s="4">
        <v>45393</v>
      </c>
      <c r="C149" s="3" t="s">
        <v>638</v>
      </c>
      <c r="D149" s="3" t="s">
        <v>662</v>
      </c>
      <c r="E149" s="3">
        <v>50000</v>
      </c>
      <c r="F149" s="3" t="s">
        <v>577</v>
      </c>
      <c r="G149" s="3">
        <v>0</v>
      </c>
      <c r="H149" s="3">
        <v>0</v>
      </c>
      <c r="I149" s="3"/>
      <c r="J149" s="3"/>
    </row>
    <row r="150" customFormat="1" spans="1:10">
      <c r="A150" s="3">
        <v>7</v>
      </c>
      <c r="B150" s="4">
        <v>45397</v>
      </c>
      <c r="C150" s="3" t="s">
        <v>583</v>
      </c>
      <c r="D150" s="3" t="s">
        <v>663</v>
      </c>
      <c r="E150" s="3">
        <v>10000</v>
      </c>
      <c r="F150" s="3" t="s">
        <v>577</v>
      </c>
      <c r="G150" s="3">
        <v>0</v>
      </c>
      <c r="H150" s="3">
        <v>0</v>
      </c>
      <c r="I150" s="3"/>
      <c r="J150" s="3"/>
    </row>
    <row r="151" customFormat="1" spans="1:10">
      <c r="A151" s="3">
        <v>8</v>
      </c>
      <c r="B151" s="4">
        <v>45399</v>
      </c>
      <c r="C151" s="3" t="s">
        <v>664</v>
      </c>
      <c r="D151" s="3" t="s">
        <v>665</v>
      </c>
      <c r="E151" s="3">
        <v>6000</v>
      </c>
      <c r="F151" s="3" t="s">
        <v>577</v>
      </c>
      <c r="G151" s="3">
        <v>0</v>
      </c>
      <c r="H151" s="3">
        <v>0</v>
      </c>
      <c r="I151" s="3"/>
      <c r="J151" s="3"/>
    </row>
    <row r="152" customFormat="1" spans="1:10">
      <c r="A152" s="3">
        <v>9</v>
      </c>
      <c r="B152" s="4">
        <v>45399</v>
      </c>
      <c r="C152" s="3" t="s">
        <v>664</v>
      </c>
      <c r="D152" s="3" t="s">
        <v>666</v>
      </c>
      <c r="E152" s="3">
        <v>14000</v>
      </c>
      <c r="F152" s="3" t="s">
        <v>577</v>
      </c>
      <c r="G152" s="3">
        <v>0</v>
      </c>
      <c r="H152" s="3">
        <v>0</v>
      </c>
      <c r="I152" s="3"/>
      <c r="J152" s="3"/>
    </row>
    <row r="153" customFormat="1" spans="1:10">
      <c r="A153" s="3">
        <v>10</v>
      </c>
      <c r="B153" s="4">
        <v>45399</v>
      </c>
      <c r="C153" s="3" t="s">
        <v>667</v>
      </c>
      <c r="D153" s="3" t="s">
        <v>668</v>
      </c>
      <c r="E153" s="3">
        <v>4500</v>
      </c>
      <c r="F153" s="3" t="s">
        <v>574</v>
      </c>
      <c r="G153" s="3">
        <v>0</v>
      </c>
      <c r="H153" s="3">
        <v>0</v>
      </c>
      <c r="I153" s="3"/>
      <c r="J153" s="3"/>
    </row>
    <row r="154" customFormat="1" spans="1:10">
      <c r="A154" s="3">
        <v>11</v>
      </c>
      <c r="B154" s="4">
        <v>45399</v>
      </c>
      <c r="C154" s="3" t="s">
        <v>107</v>
      </c>
      <c r="D154" s="3" t="s">
        <v>662</v>
      </c>
      <c r="E154" s="3">
        <v>5367.5</v>
      </c>
      <c r="F154" s="3" t="s">
        <v>567</v>
      </c>
      <c r="G154" s="3">
        <v>0</v>
      </c>
      <c r="H154" s="3">
        <v>0</v>
      </c>
      <c r="I154" s="3"/>
      <c r="J154" s="3"/>
    </row>
    <row r="155" customFormat="1" spans="1:10">
      <c r="A155" s="3">
        <v>16</v>
      </c>
      <c r="B155" s="4">
        <v>45399</v>
      </c>
      <c r="C155" s="3" t="s">
        <v>669</v>
      </c>
      <c r="D155" s="3" t="s">
        <v>670</v>
      </c>
      <c r="E155" s="3">
        <v>30000</v>
      </c>
      <c r="F155" s="3" t="s">
        <v>113</v>
      </c>
      <c r="G155" s="3">
        <v>0</v>
      </c>
      <c r="H155" s="3">
        <v>0</v>
      </c>
      <c r="I155" s="3"/>
      <c r="J155" s="3"/>
    </row>
    <row r="156" customFormat="1" spans="1:10">
      <c r="A156" s="3">
        <v>13</v>
      </c>
      <c r="B156" s="4">
        <v>45400</v>
      </c>
      <c r="C156" s="3" t="s">
        <v>671</v>
      </c>
      <c r="D156" s="3" t="s">
        <v>672</v>
      </c>
      <c r="E156" s="3">
        <v>19382.91</v>
      </c>
      <c r="F156" s="3" t="s">
        <v>577</v>
      </c>
      <c r="G156" s="3">
        <v>0</v>
      </c>
      <c r="H156" s="3">
        <v>0</v>
      </c>
      <c r="I156" s="3"/>
      <c r="J156" s="3"/>
    </row>
    <row r="157" customFormat="1" spans="1:10">
      <c r="A157" s="3">
        <v>14</v>
      </c>
      <c r="B157" s="4">
        <v>45401</v>
      </c>
      <c r="C157" s="3" t="s">
        <v>673</v>
      </c>
      <c r="D157" s="3" t="s">
        <v>674</v>
      </c>
      <c r="E157" s="3">
        <v>57600</v>
      </c>
      <c r="F157" s="3" t="s">
        <v>675</v>
      </c>
      <c r="G157" s="3">
        <v>0</v>
      </c>
      <c r="H157" s="3">
        <v>0</v>
      </c>
      <c r="I157" s="3"/>
      <c r="J157" s="3"/>
    </row>
    <row r="158" customFormat="1" spans="1:10">
      <c r="A158" s="3">
        <v>0</v>
      </c>
      <c r="B158" s="4">
        <v>45401</v>
      </c>
      <c r="C158" s="3" t="s">
        <v>673</v>
      </c>
      <c r="D158" s="3" t="s">
        <v>676</v>
      </c>
      <c r="E158" s="3">
        <v>85680</v>
      </c>
      <c r="F158" s="3" t="s">
        <v>675</v>
      </c>
      <c r="G158" s="3">
        <v>0</v>
      </c>
      <c r="H158" s="3">
        <v>0</v>
      </c>
      <c r="I158" s="3"/>
      <c r="J158" s="3"/>
    </row>
    <row r="159" customFormat="1" spans="1:10">
      <c r="A159" s="3">
        <v>19</v>
      </c>
      <c r="B159" s="4">
        <v>45404</v>
      </c>
      <c r="C159" s="3" t="s">
        <v>677</v>
      </c>
      <c r="D159" s="3" t="s">
        <v>678</v>
      </c>
      <c r="E159" s="3">
        <v>2700</v>
      </c>
      <c r="F159" s="3" t="s">
        <v>567</v>
      </c>
      <c r="G159" s="3">
        <v>0</v>
      </c>
      <c r="H159" s="3">
        <v>0</v>
      </c>
      <c r="I159" s="3"/>
      <c r="J159" s="3"/>
    </row>
    <row r="160" customFormat="1" spans="1:10">
      <c r="A160" s="3">
        <v>17</v>
      </c>
      <c r="B160" s="4">
        <v>45405</v>
      </c>
      <c r="C160" s="3" t="s">
        <v>679</v>
      </c>
      <c r="D160" s="3" t="s">
        <v>680</v>
      </c>
      <c r="E160" s="3">
        <v>36855</v>
      </c>
      <c r="F160" s="3" t="s">
        <v>574</v>
      </c>
      <c r="G160" s="3">
        <v>0</v>
      </c>
      <c r="H160" s="3">
        <v>0</v>
      </c>
      <c r="I160" s="3"/>
      <c r="J160" s="3"/>
    </row>
    <row r="161" customFormat="1" spans="1:10">
      <c r="A161" s="3">
        <v>18</v>
      </c>
      <c r="B161" s="4">
        <v>45405</v>
      </c>
      <c r="C161" s="3" t="s">
        <v>681</v>
      </c>
      <c r="D161" s="3" t="s">
        <v>682</v>
      </c>
      <c r="E161" s="3">
        <v>4268</v>
      </c>
      <c r="F161" s="3" t="s">
        <v>574</v>
      </c>
      <c r="G161" s="3">
        <v>0</v>
      </c>
      <c r="H161" s="3" t="s">
        <v>683</v>
      </c>
      <c r="I161" s="3"/>
      <c r="J161" s="3"/>
    </row>
    <row r="162" customFormat="1" spans="1:10">
      <c r="A162" s="3">
        <v>20</v>
      </c>
      <c r="B162" s="4">
        <v>45407</v>
      </c>
      <c r="C162" s="3" t="s">
        <v>684</v>
      </c>
      <c r="D162" s="3" t="s">
        <v>685</v>
      </c>
      <c r="E162" s="3">
        <v>15190</v>
      </c>
      <c r="F162" s="3" t="s">
        <v>574</v>
      </c>
      <c r="G162" s="3">
        <v>0</v>
      </c>
      <c r="H162" s="3">
        <v>0</v>
      </c>
      <c r="I162" s="3"/>
      <c r="J162" s="3"/>
    </row>
    <row r="163" customFormat="1" spans="1:10">
      <c r="A163" s="3">
        <v>21</v>
      </c>
      <c r="B163" s="4">
        <v>45407</v>
      </c>
      <c r="C163" s="3" t="s">
        <v>684</v>
      </c>
      <c r="D163" s="3" t="s">
        <v>686</v>
      </c>
      <c r="E163" s="3">
        <v>3800</v>
      </c>
      <c r="F163" s="3" t="s">
        <v>574</v>
      </c>
      <c r="G163" s="3">
        <v>0</v>
      </c>
      <c r="H163" s="3">
        <v>0</v>
      </c>
      <c r="I163" s="3"/>
      <c r="J163" s="3"/>
    </row>
    <row r="164" customFormat="1" spans="1:10">
      <c r="A164" s="3">
        <v>22</v>
      </c>
      <c r="B164" s="4">
        <v>45407</v>
      </c>
      <c r="C164" s="3" t="s">
        <v>684</v>
      </c>
      <c r="D164" s="3" t="s">
        <v>687</v>
      </c>
      <c r="E164" s="3">
        <v>25620</v>
      </c>
      <c r="F164" s="3" t="s">
        <v>574</v>
      </c>
      <c r="G164" s="3">
        <v>0</v>
      </c>
      <c r="H164" s="3">
        <v>0</v>
      </c>
      <c r="I164" s="3"/>
      <c r="J164" s="3"/>
    </row>
    <row r="165" customFormat="1" spans="1:10">
      <c r="A165" s="3">
        <v>23</v>
      </c>
      <c r="B165" s="4">
        <v>45407</v>
      </c>
      <c r="C165" s="3" t="s">
        <v>684</v>
      </c>
      <c r="D165" s="3" t="s">
        <v>688</v>
      </c>
      <c r="E165" s="3">
        <v>700</v>
      </c>
      <c r="F165" s="3" t="s">
        <v>689</v>
      </c>
      <c r="G165" s="3">
        <v>0</v>
      </c>
      <c r="H165" s="3">
        <v>0</v>
      </c>
      <c r="I165" s="3"/>
      <c r="J165" s="3"/>
    </row>
    <row r="166" customFormat="1" spans="1:10">
      <c r="A166" s="3">
        <v>23</v>
      </c>
      <c r="B166" s="4">
        <v>45407</v>
      </c>
      <c r="C166" s="3" t="s">
        <v>684</v>
      </c>
      <c r="D166" s="3" t="s">
        <v>690</v>
      </c>
      <c r="E166" s="3">
        <v>500</v>
      </c>
      <c r="F166" s="3" t="s">
        <v>689</v>
      </c>
      <c r="G166" s="3">
        <v>0</v>
      </c>
      <c r="H166" s="3">
        <v>0</v>
      </c>
      <c r="I166" s="3"/>
      <c r="J166" s="3"/>
    </row>
    <row r="167" customFormat="1" spans="1:10">
      <c r="A167" s="3">
        <v>23</v>
      </c>
      <c r="B167" s="4">
        <v>45407</v>
      </c>
      <c r="C167" s="3" t="s">
        <v>684</v>
      </c>
      <c r="D167" s="3" t="s">
        <v>691</v>
      </c>
      <c r="E167" s="3">
        <v>300</v>
      </c>
      <c r="F167" s="3" t="s">
        <v>689</v>
      </c>
      <c r="G167" s="3">
        <v>0</v>
      </c>
      <c r="H167" s="3">
        <v>0</v>
      </c>
      <c r="I167" s="3"/>
      <c r="J167" s="3"/>
    </row>
    <row r="168" customFormat="1" spans="1:10">
      <c r="A168" s="3">
        <v>23</v>
      </c>
      <c r="B168" s="4">
        <v>45407</v>
      </c>
      <c r="C168" s="3" t="s">
        <v>684</v>
      </c>
      <c r="D168" s="3" t="s">
        <v>692</v>
      </c>
      <c r="E168" s="3">
        <v>10150</v>
      </c>
      <c r="F168" s="3" t="s">
        <v>689</v>
      </c>
      <c r="G168" s="3">
        <v>0</v>
      </c>
      <c r="H168" s="3">
        <v>0</v>
      </c>
      <c r="I168" s="3"/>
      <c r="J168" s="3"/>
    </row>
    <row r="169" customFormat="1" spans="1:10">
      <c r="A169" s="3">
        <v>23</v>
      </c>
      <c r="B169" s="4">
        <v>45407</v>
      </c>
      <c r="C169" s="3" t="s">
        <v>684</v>
      </c>
      <c r="D169" s="3" t="s">
        <v>693</v>
      </c>
      <c r="E169" s="3">
        <v>3800</v>
      </c>
      <c r="F169" s="3" t="s">
        <v>689</v>
      </c>
      <c r="G169" s="3">
        <v>0</v>
      </c>
      <c r="H169" s="3">
        <v>0</v>
      </c>
      <c r="I169" s="3"/>
      <c r="J169" s="3"/>
    </row>
    <row r="170" customFormat="1" spans="1:10">
      <c r="A170" s="3">
        <v>24</v>
      </c>
      <c r="B170" s="4">
        <v>45407</v>
      </c>
      <c r="C170" s="3" t="s">
        <v>684</v>
      </c>
      <c r="D170" s="3" t="s">
        <v>694</v>
      </c>
      <c r="E170" s="3">
        <v>1400</v>
      </c>
      <c r="F170" s="3" t="s">
        <v>574</v>
      </c>
      <c r="G170" s="3">
        <v>0</v>
      </c>
      <c r="H170" s="3">
        <v>0</v>
      </c>
      <c r="I170" s="3"/>
      <c r="J170" s="3"/>
    </row>
    <row r="171" customFormat="1" spans="1:10">
      <c r="A171" s="3">
        <v>25</v>
      </c>
      <c r="B171" s="4">
        <v>45408</v>
      </c>
      <c r="C171" s="3" t="s">
        <v>695</v>
      </c>
      <c r="D171" s="3" t="s">
        <v>696</v>
      </c>
      <c r="E171" s="3">
        <v>126010.96</v>
      </c>
      <c r="F171" s="3" t="s">
        <v>577</v>
      </c>
      <c r="G171" s="3">
        <v>0</v>
      </c>
      <c r="H171" s="3" t="s">
        <v>697</v>
      </c>
      <c r="I171" s="3"/>
      <c r="J171" s="3"/>
    </row>
    <row r="172" customFormat="1" spans="1:10">
      <c r="A172" s="3">
        <v>26</v>
      </c>
      <c r="B172" s="4">
        <v>45408</v>
      </c>
      <c r="C172" s="3" t="s">
        <v>698</v>
      </c>
      <c r="D172" s="3" t="s">
        <v>699</v>
      </c>
      <c r="E172" s="3">
        <v>3800</v>
      </c>
      <c r="F172" s="3" t="s">
        <v>577</v>
      </c>
      <c r="G172" s="3">
        <v>0</v>
      </c>
      <c r="H172" s="3">
        <v>0</v>
      </c>
      <c r="I172" s="3"/>
      <c r="J172" s="3"/>
    </row>
    <row r="173" customFormat="1" spans="1:10">
      <c r="A173" s="3">
        <v>27</v>
      </c>
      <c r="B173" s="4">
        <v>45408</v>
      </c>
      <c r="C173" s="3" t="s">
        <v>700</v>
      </c>
      <c r="D173" s="3" t="s">
        <v>701</v>
      </c>
      <c r="E173" s="3">
        <v>40367</v>
      </c>
      <c r="F173" s="3" t="s">
        <v>567</v>
      </c>
      <c r="G173" s="3" t="s">
        <v>702</v>
      </c>
      <c r="H173" s="3" t="s">
        <v>703</v>
      </c>
      <c r="I173" s="3"/>
      <c r="J173" s="3"/>
    </row>
    <row r="174" customFormat="1" spans="1:10">
      <c r="A174" s="3">
        <v>28</v>
      </c>
      <c r="B174" s="4">
        <v>45408</v>
      </c>
      <c r="C174" s="3" t="s">
        <v>700</v>
      </c>
      <c r="D174" s="3" t="s">
        <v>701</v>
      </c>
      <c r="E174" s="3">
        <v>27150.43</v>
      </c>
      <c r="F174" s="3" t="s">
        <v>567</v>
      </c>
      <c r="G174" s="3" t="s">
        <v>702</v>
      </c>
      <c r="H174" s="3" t="s">
        <v>703</v>
      </c>
      <c r="I174" s="3"/>
      <c r="J174" s="3"/>
    </row>
    <row r="175" customFormat="1" spans="1:10">
      <c r="A175" s="3">
        <v>29</v>
      </c>
      <c r="B175" s="4">
        <v>45408</v>
      </c>
      <c r="C175" s="3" t="s">
        <v>700</v>
      </c>
      <c r="D175" s="3" t="s">
        <v>701</v>
      </c>
      <c r="E175" s="3">
        <v>28214</v>
      </c>
      <c r="F175" s="3" t="s">
        <v>567</v>
      </c>
      <c r="G175" s="3" t="s">
        <v>702</v>
      </c>
      <c r="H175" s="3" t="s">
        <v>703</v>
      </c>
      <c r="I175" s="3"/>
      <c r="J175" s="3"/>
    </row>
    <row r="176" customFormat="1" spans="1:10">
      <c r="A176" s="3">
        <v>32</v>
      </c>
      <c r="B176" s="4">
        <v>45410</v>
      </c>
      <c r="C176" s="3" t="s">
        <v>649</v>
      </c>
      <c r="D176" s="3" t="s">
        <v>701</v>
      </c>
      <c r="E176" s="3">
        <v>630.57</v>
      </c>
      <c r="F176" s="3" t="s">
        <v>567</v>
      </c>
      <c r="G176" s="3">
        <v>0</v>
      </c>
      <c r="H176" s="3" t="s">
        <v>703</v>
      </c>
      <c r="I176" s="3"/>
      <c r="J176" s="3"/>
    </row>
    <row r="177" s="1" customFormat="1" spans="1:10">
      <c r="A177" s="9">
        <v>30</v>
      </c>
      <c r="B177" s="10">
        <v>45410</v>
      </c>
      <c r="C177" s="9" t="s">
        <v>704</v>
      </c>
      <c r="D177" s="9" t="s">
        <v>705</v>
      </c>
      <c r="E177" s="9">
        <v>60000</v>
      </c>
      <c r="F177" s="9" t="s">
        <v>113</v>
      </c>
      <c r="G177" s="9">
        <v>0</v>
      </c>
      <c r="H177" s="9">
        <v>0</v>
      </c>
      <c r="I177" s="9"/>
      <c r="J177" s="9"/>
    </row>
    <row r="178" s="1" customFormat="1" spans="1:10">
      <c r="A178" s="9">
        <v>0</v>
      </c>
      <c r="B178" s="10">
        <v>45410</v>
      </c>
      <c r="C178" s="9" t="s">
        <v>704</v>
      </c>
      <c r="D178" s="9" t="s">
        <v>706</v>
      </c>
      <c r="E178" s="9">
        <v>25800</v>
      </c>
      <c r="F178" s="9" t="s">
        <v>707</v>
      </c>
      <c r="G178" s="9">
        <v>0</v>
      </c>
      <c r="H178" s="9">
        <v>0</v>
      </c>
      <c r="I178" s="9"/>
      <c r="J178" s="9"/>
    </row>
    <row r="179" customFormat="1" spans="1:10">
      <c r="A179" s="3">
        <v>31</v>
      </c>
      <c r="B179" s="4">
        <v>45410</v>
      </c>
      <c r="C179" s="3" t="s">
        <v>708</v>
      </c>
      <c r="D179" s="3" t="s">
        <v>709</v>
      </c>
      <c r="E179" s="3">
        <v>8800</v>
      </c>
      <c r="F179" s="3" t="s">
        <v>567</v>
      </c>
      <c r="G179" s="3">
        <v>0</v>
      </c>
      <c r="H179" s="3">
        <v>0</v>
      </c>
      <c r="I179" s="3"/>
      <c r="J179" s="3"/>
    </row>
    <row r="180" s="2" customFormat="1" spans="1:10">
      <c r="A180" s="12">
        <v>33</v>
      </c>
      <c r="B180" s="13">
        <v>45411</v>
      </c>
      <c r="C180" s="12" t="s">
        <v>710</v>
      </c>
      <c r="D180" s="12" t="s">
        <v>711</v>
      </c>
      <c r="E180" s="12">
        <v>3385</v>
      </c>
      <c r="F180" s="12" t="s">
        <v>712</v>
      </c>
      <c r="G180" s="12" t="s">
        <v>702</v>
      </c>
      <c r="H180" s="12">
        <v>0</v>
      </c>
      <c r="I180" s="12"/>
      <c r="J180" s="12"/>
    </row>
    <row r="181" s="2" customFormat="1" spans="1:10">
      <c r="A181" s="12">
        <v>0</v>
      </c>
      <c r="B181" s="13">
        <v>45411</v>
      </c>
      <c r="C181" s="12" t="s">
        <v>710</v>
      </c>
      <c r="D181" s="12" t="s">
        <v>713</v>
      </c>
      <c r="E181" s="12">
        <v>77851.14</v>
      </c>
      <c r="F181" s="12" t="s">
        <v>712</v>
      </c>
      <c r="G181" s="12">
        <v>0</v>
      </c>
      <c r="H181" s="12">
        <v>0</v>
      </c>
      <c r="I181" s="12"/>
      <c r="J181" s="12"/>
    </row>
    <row r="182" s="2" customFormat="1" spans="1:10">
      <c r="A182" s="12">
        <v>0</v>
      </c>
      <c r="B182" s="13">
        <v>45411</v>
      </c>
      <c r="C182" s="12" t="s">
        <v>710</v>
      </c>
      <c r="D182" s="12" t="s">
        <v>714</v>
      </c>
      <c r="E182" s="12">
        <v>58763.86</v>
      </c>
      <c r="F182" s="12" t="s">
        <v>712</v>
      </c>
      <c r="G182" s="12">
        <v>0</v>
      </c>
      <c r="H182" s="12">
        <v>0</v>
      </c>
      <c r="I182" s="12"/>
      <c r="J182" s="12"/>
    </row>
    <row r="183" customFormat="1" spans="1:10">
      <c r="A183" s="3">
        <v>34</v>
      </c>
      <c r="B183" s="4">
        <v>45411</v>
      </c>
      <c r="C183" s="3" t="s">
        <v>715</v>
      </c>
      <c r="D183" s="3" t="s">
        <v>716</v>
      </c>
      <c r="E183" s="3">
        <v>30000</v>
      </c>
      <c r="F183" s="3" t="s">
        <v>567</v>
      </c>
      <c r="G183" s="3">
        <v>0</v>
      </c>
      <c r="H183" s="3">
        <v>0</v>
      </c>
      <c r="I183" s="3"/>
      <c r="J183" s="3"/>
    </row>
    <row r="184" customFormat="1" spans="1:10">
      <c r="A184" s="3">
        <v>35</v>
      </c>
      <c r="B184" s="4">
        <v>45411</v>
      </c>
      <c r="C184" s="3" t="s">
        <v>717</v>
      </c>
      <c r="D184" s="3" t="s">
        <v>718</v>
      </c>
      <c r="E184" s="3">
        <v>30000</v>
      </c>
      <c r="F184" s="3" t="s">
        <v>567</v>
      </c>
      <c r="G184" s="3" t="s">
        <v>719</v>
      </c>
      <c r="H184" s="3">
        <v>0</v>
      </c>
      <c r="I184" s="3"/>
      <c r="J184" s="3"/>
    </row>
    <row r="185" customFormat="1" spans="1:10">
      <c r="A185" s="3">
        <v>1</v>
      </c>
      <c r="B185" s="4">
        <v>45425</v>
      </c>
      <c r="C185" s="3" t="s">
        <v>56</v>
      </c>
      <c r="D185" s="3" t="s">
        <v>720</v>
      </c>
      <c r="E185" s="3">
        <v>175</v>
      </c>
      <c r="F185" s="3" t="s">
        <v>574</v>
      </c>
      <c r="G185" s="3" t="s">
        <v>721</v>
      </c>
      <c r="H185" s="3">
        <v>0</v>
      </c>
      <c r="I185" s="3"/>
      <c r="J185" s="3"/>
    </row>
    <row r="186" customFormat="1" spans="1:10">
      <c r="A186" s="3">
        <v>2</v>
      </c>
      <c r="B186" s="4">
        <v>45425</v>
      </c>
      <c r="C186" s="3" t="s">
        <v>174</v>
      </c>
      <c r="D186" s="3" t="s">
        <v>722</v>
      </c>
      <c r="E186" s="3">
        <v>4384.4</v>
      </c>
      <c r="F186" s="3" t="s">
        <v>723</v>
      </c>
      <c r="G186" s="3" t="s">
        <v>721</v>
      </c>
      <c r="H186" s="3">
        <v>0</v>
      </c>
      <c r="I186" s="3"/>
      <c r="J186" s="3"/>
    </row>
    <row r="187" customFormat="1" spans="1:10">
      <c r="A187" s="3">
        <v>3</v>
      </c>
      <c r="B187" s="4">
        <v>45428</v>
      </c>
      <c r="C187" s="3" t="s">
        <v>724</v>
      </c>
      <c r="D187" s="3" t="s">
        <v>725</v>
      </c>
      <c r="E187" s="3">
        <v>850</v>
      </c>
      <c r="F187" s="3" t="s">
        <v>726</v>
      </c>
      <c r="G187" s="3" t="s">
        <v>727</v>
      </c>
      <c r="H187" s="3">
        <v>0</v>
      </c>
      <c r="I187" s="3"/>
      <c r="J187" s="3"/>
    </row>
    <row r="188" customFormat="1" spans="1:10">
      <c r="A188" s="3">
        <v>5</v>
      </c>
      <c r="B188" s="4">
        <v>45429</v>
      </c>
      <c r="C188" s="3" t="s">
        <v>728</v>
      </c>
      <c r="D188" s="3" t="s">
        <v>655</v>
      </c>
      <c r="E188" s="3">
        <v>92</v>
      </c>
      <c r="F188" s="3" t="s">
        <v>656</v>
      </c>
      <c r="G188" s="3" t="s">
        <v>729</v>
      </c>
      <c r="H188" s="3">
        <v>0</v>
      </c>
      <c r="I188" s="3"/>
      <c r="J188" s="3"/>
    </row>
    <row r="189" customFormat="1" spans="1:10">
      <c r="A189" s="3">
        <v>6</v>
      </c>
      <c r="B189" s="4">
        <v>45429</v>
      </c>
      <c r="C189" s="3" t="s">
        <v>653</v>
      </c>
      <c r="D189" s="3" t="s">
        <v>670</v>
      </c>
      <c r="E189" s="3">
        <v>30000</v>
      </c>
      <c r="F189" s="3" t="s">
        <v>113</v>
      </c>
      <c r="G189" s="3" t="s">
        <v>730</v>
      </c>
      <c r="H189" s="3">
        <v>0</v>
      </c>
      <c r="I189" s="3"/>
      <c r="J189" s="3"/>
    </row>
    <row r="190" customFormat="1" spans="1:10">
      <c r="A190" s="3">
        <v>4</v>
      </c>
      <c r="B190" s="4">
        <v>45432</v>
      </c>
      <c r="C190" s="3" t="s">
        <v>56</v>
      </c>
      <c r="D190" s="3" t="s">
        <v>720</v>
      </c>
      <c r="E190" s="3">
        <v>19625</v>
      </c>
      <c r="F190" s="3" t="s">
        <v>731</v>
      </c>
      <c r="G190" s="3" t="s">
        <v>732</v>
      </c>
      <c r="H190" s="3">
        <v>0</v>
      </c>
      <c r="I190" s="3"/>
      <c r="J190" s="3"/>
    </row>
    <row r="191" customFormat="1" spans="1:10">
      <c r="A191" s="3">
        <v>0</v>
      </c>
      <c r="B191" s="4">
        <v>45432</v>
      </c>
      <c r="C191" s="3" t="s">
        <v>56</v>
      </c>
      <c r="D191" s="3" t="s">
        <v>733</v>
      </c>
      <c r="E191" s="3">
        <v>9150</v>
      </c>
      <c r="F191" s="3" t="s">
        <v>731</v>
      </c>
      <c r="G191" s="3">
        <v>0</v>
      </c>
      <c r="H191" s="3">
        <v>0</v>
      </c>
      <c r="I191" s="3"/>
      <c r="J191" s="3"/>
    </row>
    <row r="192" customFormat="1" spans="1:10">
      <c r="A192" s="3">
        <v>7</v>
      </c>
      <c r="B192" s="4">
        <v>45433</v>
      </c>
      <c r="C192" s="3" t="s">
        <v>85</v>
      </c>
      <c r="D192" s="3" t="s">
        <v>734</v>
      </c>
      <c r="E192" s="3">
        <v>7500</v>
      </c>
      <c r="F192" s="3" t="s">
        <v>574</v>
      </c>
      <c r="G192" s="3" t="s">
        <v>36</v>
      </c>
      <c r="H192" s="3">
        <v>0</v>
      </c>
      <c r="I192" s="3"/>
      <c r="J192" s="3"/>
    </row>
    <row r="193" customFormat="1" spans="1:10">
      <c r="A193" s="3">
        <v>8</v>
      </c>
      <c r="B193" s="4">
        <v>45433</v>
      </c>
      <c r="C193" s="3" t="s">
        <v>85</v>
      </c>
      <c r="D193" s="3" t="s">
        <v>734</v>
      </c>
      <c r="E193" s="3">
        <v>32300</v>
      </c>
      <c r="F193" s="3" t="s">
        <v>574</v>
      </c>
      <c r="G193" s="3" t="s">
        <v>36</v>
      </c>
      <c r="H193" s="3">
        <v>0</v>
      </c>
      <c r="I193" s="3"/>
      <c r="J193" s="3"/>
    </row>
    <row r="194" customFormat="1" spans="1:10">
      <c r="A194" s="3">
        <v>9</v>
      </c>
      <c r="B194" s="4">
        <v>45433</v>
      </c>
      <c r="C194" s="3" t="s">
        <v>735</v>
      </c>
      <c r="D194" s="3" t="s">
        <v>736</v>
      </c>
      <c r="E194" s="3">
        <v>50000</v>
      </c>
      <c r="F194" s="3" t="s">
        <v>13</v>
      </c>
      <c r="G194" s="3" t="s">
        <v>732</v>
      </c>
      <c r="H194" s="3">
        <v>0</v>
      </c>
      <c r="I194" s="3"/>
      <c r="J194" s="3"/>
    </row>
    <row r="195" customFormat="1" spans="1:10">
      <c r="A195" s="3">
        <v>10</v>
      </c>
      <c r="B195" s="4">
        <v>45433</v>
      </c>
      <c r="C195" s="3" t="s">
        <v>617</v>
      </c>
      <c r="D195" s="3" t="s">
        <v>737</v>
      </c>
      <c r="E195" s="3">
        <v>22520</v>
      </c>
      <c r="F195" s="3" t="s">
        <v>738</v>
      </c>
      <c r="G195" s="3" t="s">
        <v>732</v>
      </c>
      <c r="H195" s="3">
        <v>0</v>
      </c>
      <c r="I195" s="3"/>
      <c r="J195" s="3"/>
    </row>
    <row r="196" customFormat="1" spans="1:10">
      <c r="A196" s="3">
        <v>10</v>
      </c>
      <c r="B196" s="4">
        <v>45433</v>
      </c>
      <c r="C196" s="3" t="s">
        <v>617</v>
      </c>
      <c r="D196" s="3" t="s">
        <v>737</v>
      </c>
      <c r="E196" s="3">
        <v>27480</v>
      </c>
      <c r="F196" s="3" t="s">
        <v>738</v>
      </c>
      <c r="G196" s="3" t="s">
        <v>732</v>
      </c>
      <c r="H196" s="3">
        <v>0</v>
      </c>
      <c r="I196" s="3"/>
      <c r="J196" s="3"/>
    </row>
    <row r="197" customFormat="1" spans="1:10">
      <c r="A197" s="3">
        <v>14</v>
      </c>
      <c r="B197" s="4">
        <v>45433</v>
      </c>
      <c r="C197" s="3" t="s">
        <v>739</v>
      </c>
      <c r="D197" s="3" t="s">
        <v>740</v>
      </c>
      <c r="E197" s="3">
        <v>52515</v>
      </c>
      <c r="F197" s="3" t="s">
        <v>574</v>
      </c>
      <c r="G197" s="3">
        <v>0</v>
      </c>
      <c r="H197" s="3">
        <v>0</v>
      </c>
      <c r="I197" s="3"/>
      <c r="J197" s="3"/>
    </row>
    <row r="198" customFormat="1" spans="1:10">
      <c r="A198" s="3">
        <v>11</v>
      </c>
      <c r="B198" s="4">
        <v>45434</v>
      </c>
      <c r="C198" s="3" t="s">
        <v>741</v>
      </c>
      <c r="D198" s="3" t="s">
        <v>742</v>
      </c>
      <c r="E198" s="3">
        <v>56611.26</v>
      </c>
      <c r="F198" s="3" t="s">
        <v>574</v>
      </c>
      <c r="G198" s="3">
        <v>0</v>
      </c>
      <c r="H198" s="3">
        <v>0</v>
      </c>
      <c r="I198" s="3"/>
      <c r="J198" s="3"/>
    </row>
    <row r="199" customFormat="1" spans="1:10">
      <c r="A199" s="3">
        <v>13</v>
      </c>
      <c r="B199" s="4">
        <v>45435</v>
      </c>
      <c r="C199" s="3" t="s">
        <v>361</v>
      </c>
      <c r="D199" s="3" t="s">
        <v>743</v>
      </c>
      <c r="E199" s="3">
        <v>78000</v>
      </c>
      <c r="F199" s="3" t="s">
        <v>574</v>
      </c>
      <c r="G199" s="3">
        <v>0</v>
      </c>
      <c r="H199" s="3">
        <v>0</v>
      </c>
      <c r="I199" s="3"/>
      <c r="J199" s="3"/>
    </row>
    <row r="200" customFormat="1" spans="1:10">
      <c r="A200" s="3">
        <v>15</v>
      </c>
      <c r="B200" s="4">
        <v>45435</v>
      </c>
      <c r="C200" s="3" t="s">
        <v>744</v>
      </c>
      <c r="D200" s="3" t="s">
        <v>745</v>
      </c>
      <c r="E200" s="3">
        <v>13475</v>
      </c>
      <c r="F200" s="3" t="s">
        <v>567</v>
      </c>
      <c r="G200" s="3">
        <v>0</v>
      </c>
      <c r="H200" s="3">
        <v>0</v>
      </c>
      <c r="I200" s="3"/>
      <c r="J200" s="3"/>
    </row>
    <row r="201" customFormat="1" spans="1:10">
      <c r="A201" s="3">
        <v>16</v>
      </c>
      <c r="B201" s="4">
        <v>45436</v>
      </c>
      <c r="C201" s="3" t="s">
        <v>546</v>
      </c>
      <c r="D201" s="3" t="s">
        <v>746</v>
      </c>
      <c r="E201" s="3">
        <v>33900</v>
      </c>
      <c r="F201" s="3" t="s">
        <v>574</v>
      </c>
      <c r="G201" s="3">
        <v>0</v>
      </c>
      <c r="H201" s="3" t="s">
        <v>747</v>
      </c>
      <c r="I201" s="3"/>
      <c r="J201" s="3"/>
    </row>
    <row r="202" customFormat="1" spans="1:10">
      <c r="A202" s="3">
        <v>17</v>
      </c>
      <c r="B202" s="4">
        <v>45436</v>
      </c>
      <c r="C202" s="3" t="s">
        <v>590</v>
      </c>
      <c r="D202" s="3" t="s">
        <v>682</v>
      </c>
      <c r="E202" s="3">
        <v>3492</v>
      </c>
      <c r="F202" s="3" t="s">
        <v>574</v>
      </c>
      <c r="G202" s="3">
        <v>0</v>
      </c>
      <c r="H202" s="3" t="s">
        <v>683</v>
      </c>
      <c r="I202" s="3"/>
      <c r="J202" s="3"/>
    </row>
    <row r="203" customFormat="1" spans="1:10">
      <c r="A203" s="3">
        <v>18</v>
      </c>
      <c r="B203" s="4">
        <v>45436</v>
      </c>
      <c r="C203" s="3" t="s">
        <v>546</v>
      </c>
      <c r="D203" s="3" t="s">
        <v>746</v>
      </c>
      <c r="E203" s="3">
        <v>79100</v>
      </c>
      <c r="F203" s="3" t="s">
        <v>574</v>
      </c>
      <c r="G203" s="3" t="s">
        <v>36</v>
      </c>
      <c r="H203" s="3">
        <v>0</v>
      </c>
      <c r="I203" s="3"/>
      <c r="J203" s="3"/>
    </row>
    <row r="204" customFormat="1" spans="1:10">
      <c r="A204" s="3">
        <v>19</v>
      </c>
      <c r="B204" s="4">
        <v>45436</v>
      </c>
      <c r="C204" s="3" t="s">
        <v>748</v>
      </c>
      <c r="D204" s="3" t="s">
        <v>749</v>
      </c>
      <c r="E204" s="3">
        <v>15403</v>
      </c>
      <c r="F204" s="3" t="s">
        <v>574</v>
      </c>
      <c r="G204" s="3" t="s">
        <v>36</v>
      </c>
      <c r="H204" s="3">
        <v>0</v>
      </c>
      <c r="I204" s="3"/>
      <c r="J204" s="3"/>
    </row>
    <row r="205" customFormat="1" spans="1:10">
      <c r="A205" s="3">
        <v>20</v>
      </c>
      <c r="B205" s="4">
        <v>45436</v>
      </c>
      <c r="C205" s="3" t="s">
        <v>750</v>
      </c>
      <c r="D205" s="3" t="s">
        <v>751</v>
      </c>
      <c r="E205" s="3">
        <v>59500</v>
      </c>
      <c r="F205" s="3" t="s">
        <v>567</v>
      </c>
      <c r="G205" s="3">
        <v>0</v>
      </c>
      <c r="H205" s="3" t="s">
        <v>752</v>
      </c>
      <c r="I205" s="3"/>
      <c r="J205" s="3"/>
    </row>
    <row r="206" customFormat="1" spans="1:10">
      <c r="A206" s="3">
        <v>21</v>
      </c>
      <c r="B206" s="4">
        <v>45436</v>
      </c>
      <c r="C206" s="3" t="s">
        <v>753</v>
      </c>
      <c r="D206" s="3" t="s">
        <v>754</v>
      </c>
      <c r="E206" s="3">
        <v>4178.51</v>
      </c>
      <c r="F206" s="3" t="s">
        <v>755</v>
      </c>
      <c r="G206" s="3">
        <v>0</v>
      </c>
      <c r="H206" s="3">
        <v>0</v>
      </c>
      <c r="I206" s="3"/>
      <c r="J206" s="3"/>
    </row>
    <row r="207" customFormat="1" spans="1:10">
      <c r="A207" s="3">
        <v>0</v>
      </c>
      <c r="B207" s="4">
        <v>45436</v>
      </c>
      <c r="C207" s="3" t="s">
        <v>753</v>
      </c>
      <c r="D207" s="3" t="s">
        <v>756</v>
      </c>
      <c r="E207" s="3">
        <v>50006.69</v>
      </c>
      <c r="F207" s="3" t="s">
        <v>755</v>
      </c>
      <c r="G207" s="3">
        <v>0</v>
      </c>
      <c r="H207" s="3">
        <v>0</v>
      </c>
      <c r="I207" s="3"/>
      <c r="J207" s="3"/>
    </row>
    <row r="208" customFormat="1" spans="1:10">
      <c r="A208" s="3">
        <v>0</v>
      </c>
      <c r="B208" s="4">
        <v>45436</v>
      </c>
      <c r="C208" s="3" t="s">
        <v>753</v>
      </c>
      <c r="D208" s="3" t="s">
        <v>757</v>
      </c>
      <c r="E208" s="3">
        <v>4760</v>
      </c>
      <c r="F208" s="3" t="s">
        <v>755</v>
      </c>
      <c r="G208" s="3">
        <v>0</v>
      </c>
      <c r="H208" s="3">
        <v>0</v>
      </c>
      <c r="I208" s="3"/>
      <c r="J208" s="3"/>
    </row>
    <row r="209" customFormat="1" spans="1:10">
      <c r="A209" s="3">
        <v>0</v>
      </c>
      <c r="B209" s="4">
        <v>45436</v>
      </c>
      <c r="C209" s="3" t="s">
        <v>753</v>
      </c>
      <c r="D209" s="3" t="s">
        <v>758</v>
      </c>
      <c r="E209" s="3">
        <v>254.8</v>
      </c>
      <c r="F209" s="3" t="s">
        <v>755</v>
      </c>
      <c r="G209" s="3">
        <v>0</v>
      </c>
      <c r="H209" s="3">
        <v>0</v>
      </c>
      <c r="I209" s="3"/>
      <c r="J209" s="3"/>
    </row>
    <row r="210" customFormat="1" spans="1:10">
      <c r="A210" s="3">
        <v>22</v>
      </c>
      <c r="B210" s="4">
        <v>45436</v>
      </c>
      <c r="C210" s="3" t="s">
        <v>759</v>
      </c>
      <c r="D210" s="3" t="s">
        <v>760</v>
      </c>
      <c r="E210" s="3">
        <v>21000</v>
      </c>
      <c r="F210" s="3" t="s">
        <v>567</v>
      </c>
      <c r="G210" s="3" t="s">
        <v>732</v>
      </c>
      <c r="H210" s="3">
        <v>0</v>
      </c>
      <c r="I210" s="3"/>
      <c r="J210" s="3"/>
    </row>
    <row r="211" customFormat="1" spans="1:10">
      <c r="A211" s="3">
        <v>23</v>
      </c>
      <c r="B211" s="4">
        <v>45439</v>
      </c>
      <c r="C211" s="3" t="s">
        <v>761</v>
      </c>
      <c r="D211" s="3" t="s">
        <v>762</v>
      </c>
      <c r="E211" s="3">
        <v>60819</v>
      </c>
      <c r="F211" s="3" t="s">
        <v>567</v>
      </c>
      <c r="G211" s="3">
        <v>0</v>
      </c>
      <c r="H211" s="3">
        <v>0</v>
      </c>
      <c r="I211" s="3"/>
      <c r="J211" s="3"/>
    </row>
    <row r="212" customFormat="1" spans="1:10">
      <c r="A212" s="3">
        <v>24</v>
      </c>
      <c r="B212" s="4">
        <v>45439</v>
      </c>
      <c r="C212" s="3" t="s">
        <v>763</v>
      </c>
      <c r="D212" s="3" t="s">
        <v>764</v>
      </c>
      <c r="E212" s="3">
        <v>15594</v>
      </c>
      <c r="F212" s="3" t="s">
        <v>574</v>
      </c>
      <c r="G212" s="3">
        <v>0</v>
      </c>
      <c r="H212" s="3">
        <v>0</v>
      </c>
      <c r="I212" s="3"/>
      <c r="J212" s="3"/>
    </row>
    <row r="213" customFormat="1" spans="1:10">
      <c r="A213" s="3">
        <v>25</v>
      </c>
      <c r="B213" s="4">
        <v>45439</v>
      </c>
      <c r="C213" s="3" t="s">
        <v>765</v>
      </c>
      <c r="D213" s="3">
        <v>0</v>
      </c>
      <c r="E213" s="3">
        <v>19200</v>
      </c>
      <c r="F213" s="3" t="s">
        <v>574</v>
      </c>
      <c r="G213" s="3">
        <v>0</v>
      </c>
      <c r="H213" s="3">
        <v>0</v>
      </c>
      <c r="I213" s="3"/>
      <c r="J213" s="3"/>
    </row>
    <row r="214" customFormat="1" spans="1:10">
      <c r="A214" s="3">
        <v>26</v>
      </c>
      <c r="B214" s="4">
        <v>45439</v>
      </c>
      <c r="C214" s="3" t="s">
        <v>766</v>
      </c>
      <c r="D214" s="3" t="s">
        <v>767</v>
      </c>
      <c r="E214" s="3">
        <v>45000</v>
      </c>
      <c r="F214" s="3" t="s">
        <v>723</v>
      </c>
      <c r="G214" s="3">
        <v>0</v>
      </c>
      <c r="H214" s="3">
        <v>0</v>
      </c>
      <c r="I214" s="3"/>
      <c r="J214" s="3"/>
    </row>
    <row r="215" customFormat="1" spans="1:10">
      <c r="A215" s="3">
        <v>27</v>
      </c>
      <c r="B215" s="4">
        <v>45439</v>
      </c>
      <c r="C215" s="3" t="s">
        <v>768</v>
      </c>
      <c r="D215" s="3" t="s">
        <v>769</v>
      </c>
      <c r="E215" s="3">
        <v>3256.46</v>
      </c>
      <c r="F215" s="3" t="s">
        <v>723</v>
      </c>
      <c r="G215" s="3">
        <v>0</v>
      </c>
      <c r="H215" s="3" t="s">
        <v>747</v>
      </c>
      <c r="I215" s="3"/>
      <c r="J215" s="3"/>
    </row>
    <row r="216" customFormat="1" spans="1:10">
      <c r="A216" s="3">
        <v>28</v>
      </c>
      <c r="B216" s="4">
        <v>45439</v>
      </c>
      <c r="C216" s="3" t="s">
        <v>45</v>
      </c>
      <c r="D216" s="3" t="s">
        <v>770</v>
      </c>
      <c r="E216" s="3">
        <v>6441</v>
      </c>
      <c r="F216" s="3" t="s">
        <v>574</v>
      </c>
      <c r="G216" s="3" t="s">
        <v>719</v>
      </c>
      <c r="H216" s="3">
        <v>0</v>
      </c>
      <c r="I216" s="3"/>
      <c r="J216" s="3"/>
    </row>
    <row r="217" customFormat="1" spans="1:10">
      <c r="A217" s="3">
        <v>29</v>
      </c>
      <c r="B217" s="4">
        <v>45441</v>
      </c>
      <c r="C217" s="3" t="s">
        <v>536</v>
      </c>
      <c r="D217" s="3" t="s">
        <v>771</v>
      </c>
      <c r="E217" s="3">
        <v>100000</v>
      </c>
      <c r="F217" s="3" t="s">
        <v>567</v>
      </c>
      <c r="G217" s="3" t="s">
        <v>719</v>
      </c>
      <c r="H217" s="3" t="s">
        <v>747</v>
      </c>
      <c r="I217" s="3"/>
      <c r="J217" s="3"/>
    </row>
    <row r="218" customFormat="1" spans="1:10">
      <c r="A218" s="3">
        <v>31</v>
      </c>
      <c r="B218" s="4">
        <v>45441</v>
      </c>
      <c r="C218" s="3" t="s">
        <v>559</v>
      </c>
      <c r="D218" s="3" t="s">
        <v>772</v>
      </c>
      <c r="E218" s="3">
        <v>10000</v>
      </c>
      <c r="F218" s="3" t="s">
        <v>567</v>
      </c>
      <c r="G218" s="3">
        <v>0</v>
      </c>
      <c r="H218" s="3">
        <v>0</v>
      </c>
      <c r="I218" s="3"/>
      <c r="J218" s="3"/>
    </row>
    <row r="219" customFormat="1" spans="1:10">
      <c r="A219" s="3">
        <v>33</v>
      </c>
      <c r="B219" s="4">
        <v>45441</v>
      </c>
      <c r="C219" s="3" t="s">
        <v>548</v>
      </c>
      <c r="D219" s="3" t="s">
        <v>773</v>
      </c>
      <c r="E219" s="3">
        <v>25200</v>
      </c>
      <c r="F219" s="3" t="s">
        <v>574</v>
      </c>
      <c r="G219" s="3" t="s">
        <v>732</v>
      </c>
      <c r="H219" s="3">
        <v>0</v>
      </c>
      <c r="I219" s="3"/>
      <c r="J219" s="3"/>
    </row>
    <row r="220" customFormat="1" spans="1:10">
      <c r="A220" s="3">
        <v>35</v>
      </c>
      <c r="B220" s="4">
        <v>45443</v>
      </c>
      <c r="C220" s="3" t="s">
        <v>557</v>
      </c>
      <c r="D220" s="3" t="s">
        <v>774</v>
      </c>
      <c r="E220" s="3">
        <v>20000</v>
      </c>
      <c r="F220" s="3" t="s">
        <v>567</v>
      </c>
      <c r="G220" s="3">
        <v>0</v>
      </c>
      <c r="H220" s="3" t="s">
        <v>747</v>
      </c>
      <c r="I220" s="3"/>
      <c r="J220" s="3"/>
    </row>
    <row r="221" customFormat="1" spans="1:10">
      <c r="A221" s="3">
        <v>1</v>
      </c>
      <c r="B221" s="4">
        <v>45447</v>
      </c>
      <c r="C221" s="3" t="s">
        <v>593</v>
      </c>
      <c r="D221" s="3" t="s">
        <v>775</v>
      </c>
      <c r="E221" s="3">
        <v>30000</v>
      </c>
      <c r="F221" s="3" t="s">
        <v>574</v>
      </c>
      <c r="G221" s="3" t="s">
        <v>36</v>
      </c>
      <c r="H221" s="3">
        <v>0</v>
      </c>
      <c r="I221" s="3"/>
      <c r="J221" s="3"/>
    </row>
    <row r="222" customFormat="1" spans="1:10">
      <c r="A222" s="3">
        <v>2</v>
      </c>
      <c r="B222" s="4">
        <v>45448</v>
      </c>
      <c r="C222" s="3" t="s">
        <v>107</v>
      </c>
      <c r="D222" s="3" t="s">
        <v>776</v>
      </c>
      <c r="E222" s="3">
        <v>4578</v>
      </c>
      <c r="F222" s="3" t="s">
        <v>567</v>
      </c>
      <c r="G222" s="3">
        <v>0</v>
      </c>
      <c r="H222" s="3">
        <v>0</v>
      </c>
      <c r="I222" s="3"/>
      <c r="J222" s="3"/>
    </row>
    <row r="223" customFormat="1" spans="1:10">
      <c r="A223" s="3">
        <v>3</v>
      </c>
      <c r="B223" s="4">
        <v>45449</v>
      </c>
      <c r="C223" s="3" t="s">
        <v>546</v>
      </c>
      <c r="D223" s="3" t="s">
        <v>777</v>
      </c>
      <c r="E223" s="3">
        <v>142380</v>
      </c>
      <c r="F223" s="3" t="s">
        <v>574</v>
      </c>
      <c r="G223" s="3" t="s">
        <v>36</v>
      </c>
      <c r="H223" s="3">
        <v>0</v>
      </c>
      <c r="I223" s="3"/>
      <c r="J223" s="3"/>
    </row>
    <row r="224" customFormat="1" spans="1:10">
      <c r="A224" s="3">
        <v>4</v>
      </c>
      <c r="B224" s="4">
        <v>45449</v>
      </c>
      <c r="C224" s="3" t="s">
        <v>778</v>
      </c>
      <c r="D224" s="3" t="s">
        <v>779</v>
      </c>
      <c r="E224" s="3">
        <v>63000</v>
      </c>
      <c r="F224" s="3" t="s">
        <v>582</v>
      </c>
      <c r="G224" s="3">
        <v>0</v>
      </c>
      <c r="H224" s="3">
        <v>0</v>
      </c>
      <c r="I224" s="3"/>
      <c r="J224" s="3"/>
    </row>
    <row r="225" customFormat="1" spans="1:10">
      <c r="A225" s="3">
        <v>5</v>
      </c>
      <c r="B225" s="4">
        <v>45449</v>
      </c>
      <c r="C225" s="3" t="s">
        <v>780</v>
      </c>
      <c r="D225" s="3" t="s">
        <v>781</v>
      </c>
      <c r="E225" s="3">
        <v>5000</v>
      </c>
      <c r="F225" s="3" t="s">
        <v>782</v>
      </c>
      <c r="G225" s="3">
        <v>0</v>
      </c>
      <c r="H225" s="3">
        <v>0</v>
      </c>
      <c r="I225" s="3"/>
      <c r="J225" s="3"/>
    </row>
    <row r="226" customFormat="1" spans="1:10">
      <c r="A226" s="3">
        <v>6</v>
      </c>
      <c r="B226" s="4">
        <v>45450</v>
      </c>
      <c r="C226" s="3" t="s">
        <v>546</v>
      </c>
      <c r="D226" s="3" t="s">
        <v>777</v>
      </c>
      <c r="E226" s="3">
        <v>61020</v>
      </c>
      <c r="F226" s="3" t="s">
        <v>574</v>
      </c>
      <c r="G226" s="3">
        <v>0</v>
      </c>
      <c r="H226" s="3">
        <v>0</v>
      </c>
      <c r="I226" s="3"/>
      <c r="J226" s="3"/>
    </row>
    <row r="227" customFormat="1" spans="1:10">
      <c r="A227" s="3">
        <v>7</v>
      </c>
      <c r="B227" s="4">
        <v>45455</v>
      </c>
      <c r="C227" s="3" t="s">
        <v>367</v>
      </c>
      <c r="D227" s="3" t="s">
        <v>783</v>
      </c>
      <c r="E227" s="3">
        <v>2500</v>
      </c>
      <c r="F227" s="3" t="s">
        <v>567</v>
      </c>
      <c r="G227" s="3">
        <v>0</v>
      </c>
      <c r="H227" s="3">
        <v>0</v>
      </c>
      <c r="I227" s="3"/>
      <c r="J227" s="3"/>
    </row>
    <row r="228" customFormat="1" spans="1:10">
      <c r="A228" s="3">
        <v>8</v>
      </c>
      <c r="B228" s="4">
        <v>45460</v>
      </c>
      <c r="C228" s="3" t="s">
        <v>784</v>
      </c>
      <c r="D228" s="3" t="s">
        <v>785</v>
      </c>
      <c r="E228" s="3">
        <v>62141.58</v>
      </c>
      <c r="F228" s="3" t="s">
        <v>567</v>
      </c>
      <c r="G228" s="3" t="s">
        <v>36</v>
      </c>
      <c r="H228" s="3">
        <v>0</v>
      </c>
      <c r="I228" s="3"/>
      <c r="J228" s="3"/>
    </row>
    <row r="229" customFormat="1" spans="1:10">
      <c r="A229" s="3">
        <v>9</v>
      </c>
      <c r="B229" s="4">
        <v>45461</v>
      </c>
      <c r="C229" s="3" t="s">
        <v>243</v>
      </c>
      <c r="D229" s="3" t="s">
        <v>251</v>
      </c>
      <c r="E229" s="3">
        <v>112100</v>
      </c>
      <c r="F229" s="3" t="s">
        <v>567</v>
      </c>
      <c r="G229" s="3">
        <v>0</v>
      </c>
      <c r="H229" s="3">
        <v>0</v>
      </c>
      <c r="I229" s="3"/>
      <c r="J229" s="3"/>
    </row>
    <row r="230" customFormat="1" spans="1:10">
      <c r="A230" s="3">
        <v>10</v>
      </c>
      <c r="B230" s="4">
        <v>45461</v>
      </c>
      <c r="C230" s="3" t="s">
        <v>786</v>
      </c>
      <c r="D230" s="3" t="s">
        <v>787</v>
      </c>
      <c r="E230" s="3">
        <v>63000</v>
      </c>
      <c r="F230" s="3" t="s">
        <v>574</v>
      </c>
      <c r="G230" s="3">
        <v>0</v>
      </c>
      <c r="H230" s="3">
        <v>0</v>
      </c>
      <c r="I230" s="3"/>
      <c r="J230" s="3"/>
    </row>
    <row r="231" customFormat="1" spans="1:10">
      <c r="A231" s="3">
        <v>28</v>
      </c>
      <c r="B231" s="4">
        <v>45463</v>
      </c>
      <c r="C231" s="3" t="s">
        <v>788</v>
      </c>
      <c r="D231" s="3" t="s">
        <v>789</v>
      </c>
      <c r="E231" s="3">
        <v>500</v>
      </c>
      <c r="F231" s="3" t="s">
        <v>20</v>
      </c>
      <c r="G231" s="3" t="s">
        <v>790</v>
      </c>
      <c r="H231" s="3" t="s">
        <v>291</v>
      </c>
      <c r="I231" s="3"/>
      <c r="J231" s="3"/>
    </row>
    <row r="232" customFormat="1" spans="1:10">
      <c r="A232" s="3">
        <v>29</v>
      </c>
      <c r="B232" s="4">
        <v>45464</v>
      </c>
      <c r="C232" s="3" t="s">
        <v>788</v>
      </c>
      <c r="D232" s="3" t="s">
        <v>791</v>
      </c>
      <c r="E232" s="3">
        <v>4000</v>
      </c>
      <c r="F232" s="3" t="s">
        <v>20</v>
      </c>
      <c r="G232" s="3" t="s">
        <v>790</v>
      </c>
      <c r="H232" s="3" t="s">
        <v>291</v>
      </c>
      <c r="I232" s="3"/>
      <c r="J232" s="3"/>
    </row>
    <row r="233" customFormat="1" spans="1:10">
      <c r="A233" s="3">
        <v>30</v>
      </c>
      <c r="B233" s="4">
        <v>45464</v>
      </c>
      <c r="C233" s="3" t="s">
        <v>788</v>
      </c>
      <c r="D233" s="3" t="s">
        <v>792</v>
      </c>
      <c r="E233" s="3">
        <v>3000</v>
      </c>
      <c r="F233" s="3" t="s">
        <v>20</v>
      </c>
      <c r="G233" s="3" t="s">
        <v>790</v>
      </c>
      <c r="H233" s="3" t="s">
        <v>291</v>
      </c>
      <c r="I233" s="3"/>
      <c r="J233" s="3"/>
    </row>
    <row r="234" customFormat="1" spans="1:10">
      <c r="A234" s="3">
        <v>27</v>
      </c>
      <c r="B234" s="4">
        <v>45467</v>
      </c>
      <c r="C234" s="3" t="s">
        <v>780</v>
      </c>
      <c r="D234" s="3" t="s">
        <v>781</v>
      </c>
      <c r="E234" s="3">
        <v>5000</v>
      </c>
      <c r="F234" s="3" t="s">
        <v>782</v>
      </c>
      <c r="G234" s="3">
        <v>0</v>
      </c>
      <c r="H234" s="3">
        <v>0</v>
      </c>
      <c r="I234" s="3"/>
      <c r="J234" s="3"/>
    </row>
    <row r="235" customFormat="1" spans="1:10">
      <c r="A235" s="3">
        <v>11</v>
      </c>
      <c r="B235" s="4">
        <v>45468</v>
      </c>
      <c r="C235" s="3" t="s">
        <v>533</v>
      </c>
      <c r="D235" s="3" t="s">
        <v>793</v>
      </c>
      <c r="E235" s="3">
        <v>48638.44</v>
      </c>
      <c r="F235" s="3" t="s">
        <v>567</v>
      </c>
      <c r="G235" s="3" t="s">
        <v>794</v>
      </c>
      <c r="H235" s="3">
        <v>0</v>
      </c>
      <c r="I235" s="3"/>
      <c r="J235" s="3"/>
    </row>
    <row r="236" customFormat="1" spans="1:10">
      <c r="A236" s="3">
        <v>12</v>
      </c>
      <c r="B236" s="4">
        <v>45468</v>
      </c>
      <c r="C236" s="3" t="s">
        <v>361</v>
      </c>
      <c r="D236" s="3" t="s">
        <v>795</v>
      </c>
      <c r="E236" s="3">
        <v>85500</v>
      </c>
      <c r="F236" s="3" t="s">
        <v>796</v>
      </c>
      <c r="G236" s="3">
        <v>0</v>
      </c>
      <c r="H236" s="3">
        <v>0</v>
      </c>
      <c r="I236" s="3"/>
      <c r="J236" s="3"/>
    </row>
    <row r="237" customFormat="1" spans="1:10">
      <c r="A237" s="3">
        <v>15</v>
      </c>
      <c r="B237" s="4">
        <v>45468</v>
      </c>
      <c r="C237" s="3" t="s">
        <v>728</v>
      </c>
      <c r="D237" s="3" t="s">
        <v>655</v>
      </c>
      <c r="E237" s="3">
        <v>92</v>
      </c>
      <c r="F237" s="3" t="s">
        <v>797</v>
      </c>
      <c r="G237" s="3" t="s">
        <v>798</v>
      </c>
      <c r="H237" s="3">
        <v>0</v>
      </c>
      <c r="I237" s="3"/>
      <c r="J237" s="3"/>
    </row>
    <row r="238" customFormat="1" spans="1:10">
      <c r="A238" s="3">
        <v>13</v>
      </c>
      <c r="B238" s="4">
        <v>45469</v>
      </c>
      <c r="C238" s="3" t="s">
        <v>361</v>
      </c>
      <c r="D238" s="3" t="s">
        <v>799</v>
      </c>
      <c r="E238" s="3">
        <v>54000</v>
      </c>
      <c r="F238" s="3" t="s">
        <v>796</v>
      </c>
      <c r="G238" s="3">
        <v>0</v>
      </c>
      <c r="H238" s="3">
        <v>0</v>
      </c>
      <c r="I238" s="3"/>
      <c r="J238" s="3"/>
    </row>
    <row r="239" customFormat="1" spans="1:10">
      <c r="A239" s="3">
        <v>16</v>
      </c>
      <c r="B239" s="4">
        <v>45469</v>
      </c>
      <c r="C239" s="3" t="s">
        <v>45</v>
      </c>
      <c r="D239" s="3" t="s">
        <v>800</v>
      </c>
      <c r="E239" s="3">
        <v>498200</v>
      </c>
      <c r="F239" s="3" t="s">
        <v>801</v>
      </c>
      <c r="G239" s="3" t="s">
        <v>802</v>
      </c>
      <c r="H239" s="3" t="s">
        <v>803</v>
      </c>
      <c r="I239" s="3"/>
      <c r="J239" s="3"/>
    </row>
    <row r="240" customFormat="1" spans="1:10">
      <c r="A240" s="3">
        <v>14</v>
      </c>
      <c r="B240" s="4">
        <v>45470</v>
      </c>
      <c r="C240" s="3" t="s">
        <v>361</v>
      </c>
      <c r="D240" s="3" t="s">
        <v>804</v>
      </c>
      <c r="E240" s="3">
        <v>61200</v>
      </c>
      <c r="F240" s="3" t="s">
        <v>796</v>
      </c>
      <c r="G240" s="3">
        <v>0</v>
      </c>
      <c r="H240" s="3">
        <v>0</v>
      </c>
      <c r="I240" s="3"/>
      <c r="J240" s="3"/>
    </row>
    <row r="241" customFormat="1" spans="1:10">
      <c r="A241" s="3">
        <v>17</v>
      </c>
      <c r="B241" s="4">
        <v>45470</v>
      </c>
      <c r="C241" s="3" t="s">
        <v>610</v>
      </c>
      <c r="D241" s="3" t="s">
        <v>805</v>
      </c>
      <c r="E241" s="3">
        <v>18000</v>
      </c>
      <c r="F241" s="3" t="s">
        <v>13</v>
      </c>
      <c r="G241" s="3">
        <v>0</v>
      </c>
      <c r="H241" s="3">
        <v>0</v>
      </c>
      <c r="I241" s="3"/>
      <c r="J241" s="3"/>
    </row>
    <row r="242" customFormat="1" spans="1:10">
      <c r="A242" s="3">
        <v>18</v>
      </c>
      <c r="B242" s="4">
        <v>45471</v>
      </c>
      <c r="C242" s="3" t="s">
        <v>806</v>
      </c>
      <c r="D242" s="3" t="s">
        <v>807</v>
      </c>
      <c r="E242" s="3">
        <v>50000</v>
      </c>
      <c r="F242" s="3" t="s">
        <v>16</v>
      </c>
      <c r="G242" s="3" t="s">
        <v>808</v>
      </c>
      <c r="H242" s="3">
        <v>0</v>
      </c>
      <c r="I242" s="3"/>
      <c r="J242" s="3"/>
    </row>
    <row r="243" customFormat="1" spans="1:10">
      <c r="A243" s="3">
        <v>20</v>
      </c>
      <c r="B243" s="4">
        <v>45471</v>
      </c>
      <c r="C243" s="3" t="s">
        <v>14</v>
      </c>
      <c r="D243" s="3" t="s">
        <v>809</v>
      </c>
      <c r="E243" s="3">
        <v>84061.46</v>
      </c>
      <c r="F243" s="3" t="s">
        <v>16</v>
      </c>
      <c r="G243" s="3" t="s">
        <v>36</v>
      </c>
      <c r="H243" s="3" t="s">
        <v>281</v>
      </c>
      <c r="I243" s="3"/>
      <c r="J243" s="3"/>
    </row>
    <row r="244" customFormat="1" spans="1:10">
      <c r="A244" s="3">
        <v>21</v>
      </c>
      <c r="B244" s="4">
        <v>45471</v>
      </c>
      <c r="C244" s="3" t="s">
        <v>14</v>
      </c>
      <c r="D244" s="3" t="s">
        <v>809</v>
      </c>
      <c r="E244" s="3">
        <v>20000</v>
      </c>
      <c r="F244" s="3" t="s">
        <v>16</v>
      </c>
      <c r="G244" s="3" t="s">
        <v>36</v>
      </c>
      <c r="H244" s="3" t="s">
        <v>281</v>
      </c>
      <c r="I244" s="3"/>
      <c r="J244" s="3"/>
    </row>
    <row r="245" s="1" customFormat="1" spans="1:10">
      <c r="A245" s="9">
        <v>26</v>
      </c>
      <c r="B245" s="10">
        <v>45471</v>
      </c>
      <c r="C245" s="9" t="s">
        <v>529</v>
      </c>
      <c r="D245" s="9" t="s">
        <v>810</v>
      </c>
      <c r="E245" s="9">
        <v>91320</v>
      </c>
      <c r="F245" s="9" t="s">
        <v>811</v>
      </c>
      <c r="G245" s="9">
        <v>0</v>
      </c>
      <c r="H245" s="9">
        <v>0</v>
      </c>
      <c r="I245" s="9"/>
      <c r="J245" s="9"/>
    </row>
    <row r="246" s="1" customFormat="1" spans="1:10">
      <c r="A246" s="9">
        <v>0</v>
      </c>
      <c r="B246" s="10">
        <v>45471</v>
      </c>
      <c r="C246" s="9" t="s">
        <v>529</v>
      </c>
      <c r="D246" s="9" t="s">
        <v>812</v>
      </c>
      <c r="E246" s="9">
        <v>60680</v>
      </c>
      <c r="F246" s="9" t="s">
        <v>811</v>
      </c>
      <c r="G246" s="9">
        <v>0</v>
      </c>
      <c r="H246" s="9">
        <v>0</v>
      </c>
      <c r="I246" s="9"/>
      <c r="J246" s="9"/>
    </row>
    <row r="247" s="1" customFormat="1" spans="1:10">
      <c r="A247" s="9">
        <v>0</v>
      </c>
      <c r="B247" s="10">
        <v>45471</v>
      </c>
      <c r="C247" s="9" t="s">
        <v>529</v>
      </c>
      <c r="D247" s="9" t="s">
        <v>813</v>
      </c>
      <c r="E247" s="9">
        <v>48000</v>
      </c>
      <c r="F247" s="9" t="s">
        <v>811</v>
      </c>
      <c r="G247" s="9">
        <v>0</v>
      </c>
      <c r="H247" s="9">
        <v>0</v>
      </c>
      <c r="I247" s="9"/>
      <c r="J247" s="9"/>
    </row>
    <row r="248" customFormat="1" spans="1:10">
      <c r="A248" s="3">
        <v>31</v>
      </c>
      <c r="B248" s="4">
        <v>45471</v>
      </c>
      <c r="C248" s="3" t="s">
        <v>558</v>
      </c>
      <c r="D248" s="3" t="s">
        <v>814</v>
      </c>
      <c r="E248" s="3">
        <v>6000</v>
      </c>
      <c r="F248" s="3" t="s">
        <v>815</v>
      </c>
      <c r="G248" s="3" t="s">
        <v>790</v>
      </c>
      <c r="H248" s="3" t="s">
        <v>816</v>
      </c>
      <c r="I248" s="3"/>
      <c r="J248" s="3"/>
    </row>
    <row r="249" customFormat="1" spans="1:10">
      <c r="A249" s="3">
        <v>32</v>
      </c>
      <c r="B249" s="4">
        <v>45471</v>
      </c>
      <c r="C249" s="3" t="s">
        <v>558</v>
      </c>
      <c r="D249" s="3" t="s">
        <v>817</v>
      </c>
      <c r="E249" s="3">
        <v>3600</v>
      </c>
      <c r="F249" s="3" t="s">
        <v>815</v>
      </c>
      <c r="G249" s="3" t="s">
        <v>790</v>
      </c>
      <c r="H249" s="3" t="s">
        <v>816</v>
      </c>
      <c r="I249" s="3"/>
      <c r="J249" s="3"/>
    </row>
    <row r="250" customFormat="1" spans="1:10">
      <c r="A250" s="3">
        <v>33</v>
      </c>
      <c r="B250" s="4">
        <v>45471</v>
      </c>
      <c r="C250" s="3" t="s">
        <v>14</v>
      </c>
      <c r="D250" s="3" t="s">
        <v>809</v>
      </c>
      <c r="E250" s="3">
        <v>138.54</v>
      </c>
      <c r="F250" s="3" t="s">
        <v>16</v>
      </c>
      <c r="G250" s="3" t="s">
        <v>790</v>
      </c>
      <c r="H250" s="3" t="s">
        <v>281</v>
      </c>
      <c r="I250" s="3"/>
      <c r="J250" s="3"/>
    </row>
    <row r="251" customFormat="1" spans="1:10">
      <c r="A251" s="3">
        <v>22</v>
      </c>
      <c r="B251" s="4">
        <v>45472</v>
      </c>
      <c r="C251" s="3" t="s">
        <v>536</v>
      </c>
      <c r="D251" s="3" t="s">
        <v>771</v>
      </c>
      <c r="E251" s="3">
        <v>80000</v>
      </c>
      <c r="F251" s="3" t="s">
        <v>13</v>
      </c>
      <c r="G251" s="3" t="s">
        <v>36</v>
      </c>
      <c r="H251" s="3">
        <v>0</v>
      </c>
      <c r="I251" s="3"/>
      <c r="J251" s="3"/>
    </row>
    <row r="252" customFormat="1" spans="1:10">
      <c r="A252" s="3">
        <v>23</v>
      </c>
      <c r="B252" s="4">
        <v>45472</v>
      </c>
      <c r="C252" s="3" t="s">
        <v>536</v>
      </c>
      <c r="D252" s="3" t="s">
        <v>818</v>
      </c>
      <c r="E252" s="3">
        <v>5000</v>
      </c>
      <c r="F252" s="3" t="s">
        <v>819</v>
      </c>
      <c r="G252" s="3" t="s">
        <v>36</v>
      </c>
      <c r="H252" s="3">
        <v>0</v>
      </c>
      <c r="I252" s="3"/>
      <c r="J252" s="3"/>
    </row>
    <row r="253" customFormat="1" spans="1:10">
      <c r="A253" s="3">
        <v>0</v>
      </c>
      <c r="B253" s="4">
        <v>45472</v>
      </c>
      <c r="C253" s="3" t="s">
        <v>536</v>
      </c>
      <c r="D253" s="3" t="s">
        <v>820</v>
      </c>
      <c r="E253" s="3">
        <v>15000</v>
      </c>
      <c r="F253" s="3" t="s">
        <v>819</v>
      </c>
      <c r="G253" s="3" t="s">
        <v>36</v>
      </c>
      <c r="H253" s="3">
        <v>0</v>
      </c>
      <c r="I253" s="3"/>
      <c r="J253" s="3"/>
    </row>
    <row r="254" customFormat="1" spans="1:10">
      <c r="A254" s="3">
        <v>24</v>
      </c>
      <c r="B254" s="4">
        <v>45472</v>
      </c>
      <c r="C254" s="3" t="s">
        <v>821</v>
      </c>
      <c r="D254" s="3" t="s">
        <v>822</v>
      </c>
      <c r="E254" s="3">
        <v>70000</v>
      </c>
      <c r="F254" s="3" t="s">
        <v>823</v>
      </c>
      <c r="G254" s="3" t="s">
        <v>36</v>
      </c>
      <c r="H254" s="3">
        <v>0</v>
      </c>
      <c r="I254" s="3"/>
      <c r="J254" s="3"/>
    </row>
    <row r="255" customFormat="1" spans="1:10">
      <c r="A255" s="3">
        <v>19</v>
      </c>
      <c r="B255" s="4">
        <v>45473</v>
      </c>
      <c r="C255" s="3" t="s">
        <v>765</v>
      </c>
      <c r="D255" s="3" t="s">
        <v>824</v>
      </c>
      <c r="E255" s="3">
        <v>30840</v>
      </c>
      <c r="F255" s="3" t="s">
        <v>16</v>
      </c>
      <c r="G255" s="3">
        <v>0</v>
      </c>
      <c r="H255" s="3">
        <v>0</v>
      </c>
      <c r="I255" s="3"/>
      <c r="J255" s="3"/>
    </row>
    <row r="256" customFormat="1" spans="1:10">
      <c r="A256" s="3">
        <v>25</v>
      </c>
      <c r="B256" s="4">
        <v>45473</v>
      </c>
      <c r="C256" s="3" t="s">
        <v>821</v>
      </c>
      <c r="D256" s="3" t="s">
        <v>825</v>
      </c>
      <c r="E256" s="3">
        <v>18488.75</v>
      </c>
      <c r="F256" s="3" t="s">
        <v>823</v>
      </c>
      <c r="G256" s="3" t="s">
        <v>826</v>
      </c>
      <c r="H256" s="3">
        <v>0</v>
      </c>
      <c r="I256" s="3"/>
      <c r="J256" s="3"/>
    </row>
    <row r="257" customFormat="1" spans="1:10">
      <c r="A257" s="3">
        <v>1</v>
      </c>
      <c r="B257" s="4">
        <v>45476</v>
      </c>
      <c r="C257" s="3" t="s">
        <v>107</v>
      </c>
      <c r="D257" s="3" t="s">
        <v>257</v>
      </c>
      <c r="E257" s="3">
        <v>61750</v>
      </c>
      <c r="F257" s="3" t="s">
        <v>13</v>
      </c>
      <c r="G257" s="3" t="s">
        <v>827</v>
      </c>
      <c r="H257" s="3" t="s">
        <v>537</v>
      </c>
      <c r="I257" s="3"/>
      <c r="J257" s="3"/>
    </row>
    <row r="258" s="1" customFormat="1" spans="1:10">
      <c r="A258" s="9">
        <v>2</v>
      </c>
      <c r="B258" s="10">
        <v>45477</v>
      </c>
      <c r="C258" s="9" t="s">
        <v>528</v>
      </c>
      <c r="D258" s="9" t="s">
        <v>828</v>
      </c>
      <c r="E258" s="9">
        <v>200000</v>
      </c>
      <c r="F258" s="9" t="s">
        <v>113</v>
      </c>
      <c r="G258" s="9">
        <v>0</v>
      </c>
      <c r="H258" s="9" t="s">
        <v>527</v>
      </c>
      <c r="I258" s="9"/>
      <c r="J258" s="9"/>
    </row>
    <row r="259" customFormat="1" spans="1:10">
      <c r="A259" s="3">
        <v>3</v>
      </c>
      <c r="B259" s="4">
        <v>45478</v>
      </c>
      <c r="C259" s="3" t="s">
        <v>562</v>
      </c>
      <c r="D259" s="3" t="s">
        <v>829</v>
      </c>
      <c r="E259" s="3">
        <v>8272</v>
      </c>
      <c r="F259" s="3" t="s">
        <v>13</v>
      </c>
      <c r="G259" s="3">
        <v>0</v>
      </c>
      <c r="H259" s="3">
        <v>0</v>
      </c>
      <c r="I259" s="3"/>
      <c r="J259" s="3"/>
    </row>
    <row r="260" customFormat="1" spans="1:10">
      <c r="A260" s="3">
        <v>4</v>
      </c>
      <c r="B260" s="4">
        <v>45478</v>
      </c>
      <c r="C260" s="3" t="s">
        <v>560</v>
      </c>
      <c r="D260" s="3" t="s">
        <v>830</v>
      </c>
      <c r="E260" s="3">
        <v>100000</v>
      </c>
      <c r="F260" s="3" t="s">
        <v>13</v>
      </c>
      <c r="G260" s="3">
        <v>0</v>
      </c>
      <c r="H260" s="3" t="s">
        <v>540</v>
      </c>
      <c r="I260" s="3"/>
      <c r="J260" s="3"/>
    </row>
    <row r="261" customFormat="1" spans="1:10">
      <c r="A261" s="3">
        <v>5</v>
      </c>
      <c r="B261" s="4">
        <v>45481</v>
      </c>
      <c r="C261" s="3" t="s">
        <v>551</v>
      </c>
      <c r="D261" s="3" t="s">
        <v>831</v>
      </c>
      <c r="E261" s="3">
        <v>150500</v>
      </c>
      <c r="F261" s="3" t="s">
        <v>832</v>
      </c>
      <c r="G261" s="3" t="s">
        <v>36</v>
      </c>
      <c r="H261" s="3" t="s">
        <v>532</v>
      </c>
      <c r="I261" s="3"/>
      <c r="J261" s="3"/>
    </row>
    <row r="262" customFormat="1" spans="1:10">
      <c r="A262" s="3">
        <v>6</v>
      </c>
      <c r="B262" s="4">
        <v>45481</v>
      </c>
      <c r="C262" s="3" t="s">
        <v>551</v>
      </c>
      <c r="D262" s="3" t="s">
        <v>833</v>
      </c>
      <c r="E262" s="3">
        <v>9500</v>
      </c>
      <c r="F262" s="3" t="s">
        <v>832</v>
      </c>
      <c r="G262" s="3" t="s">
        <v>36</v>
      </c>
      <c r="H262" s="3" t="s">
        <v>532</v>
      </c>
      <c r="I262" s="3"/>
      <c r="J262" s="3"/>
    </row>
    <row r="263" customFormat="1" spans="1:10">
      <c r="A263" s="3">
        <v>7</v>
      </c>
      <c r="B263" s="4">
        <v>45481</v>
      </c>
      <c r="C263" s="3" t="s">
        <v>551</v>
      </c>
      <c r="D263" s="3" t="s">
        <v>833</v>
      </c>
      <c r="E263" s="3">
        <v>14000</v>
      </c>
      <c r="F263" s="3" t="s">
        <v>834</v>
      </c>
      <c r="G263" s="3" t="s">
        <v>36</v>
      </c>
      <c r="H263" s="3" t="s">
        <v>532</v>
      </c>
      <c r="I263" s="3"/>
      <c r="J263" s="3"/>
    </row>
    <row r="264" customFormat="1" spans="1:10">
      <c r="A264" s="3">
        <v>8</v>
      </c>
      <c r="B264" s="4">
        <v>45481</v>
      </c>
      <c r="C264" s="3" t="s">
        <v>551</v>
      </c>
      <c r="D264" s="3" t="s">
        <v>835</v>
      </c>
      <c r="E264" s="3">
        <v>19000</v>
      </c>
      <c r="F264" s="3" t="s">
        <v>834</v>
      </c>
      <c r="G264" s="3" t="s">
        <v>36</v>
      </c>
      <c r="H264" s="3" t="s">
        <v>532</v>
      </c>
      <c r="I264" s="3"/>
      <c r="J264" s="3"/>
    </row>
    <row r="265" customFormat="1" spans="1:10">
      <c r="A265" s="3">
        <v>9</v>
      </c>
      <c r="B265" s="4">
        <v>45482</v>
      </c>
      <c r="C265" s="3" t="s">
        <v>552</v>
      </c>
      <c r="D265" s="3" t="s">
        <v>836</v>
      </c>
      <c r="E265" s="3">
        <v>31389.07</v>
      </c>
      <c r="F265" s="3" t="s">
        <v>13</v>
      </c>
      <c r="G265" s="3" t="s">
        <v>36</v>
      </c>
      <c r="H265" s="3" t="s">
        <v>535</v>
      </c>
      <c r="I265" s="3"/>
      <c r="J265" s="3"/>
    </row>
    <row r="266" customFormat="1" spans="1:10">
      <c r="A266" s="3">
        <v>10</v>
      </c>
      <c r="B266" s="4">
        <v>45482</v>
      </c>
      <c r="C266" s="3" t="s">
        <v>552</v>
      </c>
      <c r="D266" s="3" t="s">
        <v>836</v>
      </c>
      <c r="E266" s="3">
        <v>2000</v>
      </c>
      <c r="F266" s="3" t="s">
        <v>13</v>
      </c>
      <c r="G266" s="3" t="s">
        <v>36</v>
      </c>
      <c r="H266" s="3" t="s">
        <v>535</v>
      </c>
      <c r="I266" s="3"/>
      <c r="J266" s="3"/>
    </row>
    <row r="267" customFormat="1" spans="1:10">
      <c r="A267" s="3">
        <v>11</v>
      </c>
      <c r="B267" s="4">
        <v>45482</v>
      </c>
      <c r="C267" s="3" t="s">
        <v>552</v>
      </c>
      <c r="D267" s="3" t="s">
        <v>836</v>
      </c>
      <c r="E267" s="3">
        <v>1768.93</v>
      </c>
      <c r="F267" s="3" t="s">
        <v>13</v>
      </c>
      <c r="G267" s="3" t="s">
        <v>837</v>
      </c>
      <c r="H267" s="3" t="s">
        <v>535</v>
      </c>
      <c r="I267" s="3"/>
      <c r="J267" s="3"/>
    </row>
    <row r="268" customFormat="1" spans="1:10">
      <c r="A268" s="3">
        <v>12</v>
      </c>
      <c r="B268" s="4">
        <v>45483</v>
      </c>
      <c r="C268" s="3" t="s">
        <v>207</v>
      </c>
      <c r="D268" s="3" t="s">
        <v>208</v>
      </c>
      <c r="E268" s="3">
        <v>48816</v>
      </c>
      <c r="F268" s="3" t="s">
        <v>16</v>
      </c>
      <c r="G268" s="3">
        <v>0</v>
      </c>
      <c r="H268" s="3" t="s">
        <v>291</v>
      </c>
      <c r="I268" s="3"/>
      <c r="J268" s="3"/>
    </row>
    <row r="269" customFormat="1" spans="1:10">
      <c r="A269" s="3">
        <v>13</v>
      </c>
      <c r="B269" s="4">
        <v>45485</v>
      </c>
      <c r="C269" s="3" t="s">
        <v>563</v>
      </c>
      <c r="D269" s="3" t="s">
        <v>838</v>
      </c>
      <c r="E269" s="3">
        <v>2700</v>
      </c>
      <c r="F269" s="3" t="s">
        <v>43</v>
      </c>
      <c r="G269" s="3" t="s">
        <v>827</v>
      </c>
      <c r="H269" s="3">
        <v>0</v>
      </c>
      <c r="I269" s="3"/>
      <c r="J269" s="3"/>
    </row>
    <row r="270" customFormat="1" spans="1:10">
      <c r="A270" s="3">
        <v>14</v>
      </c>
      <c r="B270" s="4">
        <v>45488</v>
      </c>
      <c r="C270" s="3" t="s">
        <v>552</v>
      </c>
      <c r="D270" s="3" t="s">
        <v>839</v>
      </c>
      <c r="E270" s="3">
        <v>5000</v>
      </c>
      <c r="F270" s="3" t="s">
        <v>13</v>
      </c>
      <c r="G270" s="3" t="s">
        <v>827</v>
      </c>
      <c r="H270" s="3" t="s">
        <v>535</v>
      </c>
      <c r="I270" s="3"/>
      <c r="J270" s="3"/>
    </row>
    <row r="271" customFormat="1" spans="1:10">
      <c r="A271" s="3">
        <v>15</v>
      </c>
      <c r="B271" s="4">
        <v>45488</v>
      </c>
      <c r="C271" s="3" t="s">
        <v>554</v>
      </c>
      <c r="D271" s="3" t="s">
        <v>840</v>
      </c>
      <c r="E271" s="3">
        <v>2980</v>
      </c>
      <c r="F271" s="3" t="s">
        <v>13</v>
      </c>
      <c r="G271" s="3" t="s">
        <v>36</v>
      </c>
      <c r="H271" s="3" t="s">
        <v>537</v>
      </c>
      <c r="I271" s="3"/>
      <c r="J271" s="3"/>
    </row>
    <row r="272" customFormat="1" spans="1:10">
      <c r="A272" s="3">
        <v>16</v>
      </c>
      <c r="B272" s="4">
        <v>45490</v>
      </c>
      <c r="C272" s="3" t="s">
        <v>539</v>
      </c>
      <c r="D272" s="3" t="s">
        <v>841</v>
      </c>
      <c r="E272" s="3">
        <v>188000</v>
      </c>
      <c r="F272" s="3" t="s">
        <v>842</v>
      </c>
      <c r="G272" s="3">
        <v>0</v>
      </c>
      <c r="H272" s="3" t="s">
        <v>530</v>
      </c>
      <c r="I272" s="3"/>
      <c r="J272" s="3"/>
    </row>
    <row r="273" customFormat="1" spans="1:10">
      <c r="A273" s="3">
        <v>17</v>
      </c>
      <c r="B273" s="4">
        <v>45492</v>
      </c>
      <c r="C273" s="3" t="s">
        <v>549</v>
      </c>
      <c r="D273" s="3" t="s">
        <v>843</v>
      </c>
      <c r="E273" s="3">
        <v>50000</v>
      </c>
      <c r="F273" s="3" t="s">
        <v>276</v>
      </c>
      <c r="G273" s="3" t="s">
        <v>36</v>
      </c>
      <c r="H273" s="3" t="s">
        <v>291</v>
      </c>
      <c r="I273" s="3"/>
      <c r="J273" s="3"/>
    </row>
    <row r="274" customFormat="1" spans="1:10">
      <c r="A274" s="3">
        <v>18</v>
      </c>
      <c r="B274" s="4">
        <v>45492</v>
      </c>
      <c r="C274" s="3" t="s">
        <v>557</v>
      </c>
      <c r="D274" s="3" t="s">
        <v>844</v>
      </c>
      <c r="E274" s="3">
        <v>4445</v>
      </c>
      <c r="F274" s="3" t="s">
        <v>845</v>
      </c>
      <c r="G274" s="3">
        <v>0</v>
      </c>
      <c r="H274" s="3" t="s">
        <v>538</v>
      </c>
      <c r="I274" s="3"/>
      <c r="J274" s="3"/>
    </row>
    <row r="275" customFormat="1" spans="1:10">
      <c r="A275" s="3">
        <v>19</v>
      </c>
      <c r="B275" s="4">
        <v>45492</v>
      </c>
      <c r="C275" s="3" t="s">
        <v>557</v>
      </c>
      <c r="D275" s="3" t="s">
        <v>774</v>
      </c>
      <c r="E275" s="3">
        <v>56535</v>
      </c>
      <c r="F275" s="3" t="s">
        <v>845</v>
      </c>
      <c r="G275" s="3">
        <v>0</v>
      </c>
      <c r="H275" s="3" t="s">
        <v>538</v>
      </c>
      <c r="I275" s="3"/>
      <c r="J275" s="3"/>
    </row>
    <row r="276" customFormat="1" spans="1:10">
      <c r="A276" s="3">
        <v>20</v>
      </c>
      <c r="B276" s="4">
        <v>45492</v>
      </c>
      <c r="C276" s="3" t="s">
        <v>362</v>
      </c>
      <c r="D276" s="3" t="s">
        <v>846</v>
      </c>
      <c r="E276" s="3">
        <v>20000</v>
      </c>
      <c r="F276" s="3" t="s">
        <v>13</v>
      </c>
      <c r="G276" s="3" t="s">
        <v>36</v>
      </c>
      <c r="H276" s="3" t="s">
        <v>530</v>
      </c>
      <c r="I276" s="3"/>
      <c r="J276" s="3"/>
    </row>
    <row r="277" customFormat="1" spans="1:10">
      <c r="A277" s="3">
        <v>21</v>
      </c>
      <c r="B277" s="4">
        <v>45495</v>
      </c>
      <c r="C277" s="3" t="s">
        <v>519</v>
      </c>
      <c r="D277" s="3" t="s">
        <v>847</v>
      </c>
      <c r="E277" s="3">
        <v>60000</v>
      </c>
      <c r="F277" s="3" t="s">
        <v>16</v>
      </c>
      <c r="G277" s="3" t="s">
        <v>36</v>
      </c>
      <c r="H277" s="3" t="s">
        <v>526</v>
      </c>
      <c r="I277" s="3"/>
      <c r="J277" s="3"/>
    </row>
    <row r="278" customFormat="1" spans="1:10">
      <c r="A278" s="3">
        <v>22</v>
      </c>
      <c r="B278" s="4">
        <v>45495</v>
      </c>
      <c r="C278" s="3" t="s">
        <v>542</v>
      </c>
      <c r="D278" s="3" t="s">
        <v>848</v>
      </c>
      <c r="E278" s="3">
        <v>26514</v>
      </c>
      <c r="F278" s="3" t="s">
        <v>16</v>
      </c>
      <c r="G278" s="3">
        <v>0</v>
      </c>
      <c r="H278" s="3" t="s">
        <v>530</v>
      </c>
      <c r="I278" s="3"/>
      <c r="J278" s="3"/>
    </row>
    <row r="279" customFormat="1" spans="1:10">
      <c r="A279" s="3">
        <v>23</v>
      </c>
      <c r="B279" s="4">
        <v>45496</v>
      </c>
      <c r="C279" s="3" t="s">
        <v>553</v>
      </c>
      <c r="D279" s="3" t="s">
        <v>849</v>
      </c>
      <c r="E279" s="3">
        <v>30000</v>
      </c>
      <c r="F279" s="3" t="s">
        <v>16</v>
      </c>
      <c r="G279" s="3" t="s">
        <v>719</v>
      </c>
      <c r="H279" s="3" t="s">
        <v>535</v>
      </c>
      <c r="I279" s="3"/>
      <c r="J279" s="3"/>
    </row>
    <row r="280" customFormat="1" spans="1:10">
      <c r="A280" s="3">
        <v>24</v>
      </c>
      <c r="B280" s="4">
        <v>45496</v>
      </c>
      <c r="C280" s="3" t="s">
        <v>553</v>
      </c>
      <c r="D280" s="3" t="s">
        <v>849</v>
      </c>
      <c r="E280" s="3">
        <v>70000</v>
      </c>
      <c r="F280" s="3" t="s">
        <v>16</v>
      </c>
      <c r="G280" s="3" t="s">
        <v>719</v>
      </c>
      <c r="H280" s="3" t="s">
        <v>535</v>
      </c>
      <c r="I280" s="3"/>
      <c r="J280" s="3"/>
    </row>
    <row r="281" s="1" customFormat="1" spans="1:10">
      <c r="A281" s="9">
        <v>25</v>
      </c>
      <c r="B281" s="10">
        <v>45496</v>
      </c>
      <c r="C281" s="9" t="s">
        <v>529</v>
      </c>
      <c r="D281" s="9" t="s">
        <v>850</v>
      </c>
      <c r="E281" s="9">
        <v>150000</v>
      </c>
      <c r="F281" s="9" t="s">
        <v>113</v>
      </c>
      <c r="G281" s="9">
        <v>0</v>
      </c>
      <c r="H281" s="9" t="s">
        <v>527</v>
      </c>
      <c r="I281" s="9"/>
      <c r="J281" s="9"/>
    </row>
    <row r="282" customFormat="1" spans="1:10">
      <c r="A282" s="3">
        <v>26</v>
      </c>
      <c r="B282" s="4">
        <v>45496</v>
      </c>
      <c r="C282" s="3" t="s">
        <v>544</v>
      </c>
      <c r="D282" s="3" t="s">
        <v>851</v>
      </c>
      <c r="E282" s="3">
        <v>42000</v>
      </c>
      <c r="F282" s="3" t="s">
        <v>43</v>
      </c>
      <c r="G282" s="3">
        <v>0</v>
      </c>
      <c r="H282" s="3" t="s">
        <v>530</v>
      </c>
      <c r="I282" s="3"/>
      <c r="J282" s="3"/>
    </row>
    <row r="283" customFormat="1" spans="1:10">
      <c r="A283" s="3">
        <v>27</v>
      </c>
      <c r="B283" s="4">
        <v>45497</v>
      </c>
      <c r="C283" s="3" t="s">
        <v>565</v>
      </c>
      <c r="D283" s="3" t="s">
        <v>852</v>
      </c>
      <c r="E283" s="3">
        <v>20000</v>
      </c>
      <c r="F283" s="3" t="s">
        <v>16</v>
      </c>
      <c r="G283" s="3">
        <v>0</v>
      </c>
      <c r="H283" s="3" t="s">
        <v>545</v>
      </c>
      <c r="I283" s="3"/>
      <c r="J283" s="3"/>
    </row>
    <row r="284" customFormat="1" spans="1:10">
      <c r="A284" s="3">
        <v>28</v>
      </c>
      <c r="B284" s="4">
        <v>45497</v>
      </c>
      <c r="C284" s="3" t="s">
        <v>533</v>
      </c>
      <c r="D284" s="3" t="s">
        <v>853</v>
      </c>
      <c r="E284" s="3">
        <v>46517.56</v>
      </c>
      <c r="F284" s="3" t="s">
        <v>13</v>
      </c>
      <c r="G284" s="3">
        <v>0</v>
      </c>
      <c r="H284" s="3" t="s">
        <v>281</v>
      </c>
      <c r="I284" s="3"/>
      <c r="J284" s="3"/>
    </row>
    <row r="285" customFormat="1" spans="1:10">
      <c r="A285" s="3">
        <v>29</v>
      </c>
      <c r="B285" s="4">
        <v>45499</v>
      </c>
      <c r="C285" s="3" t="s">
        <v>555</v>
      </c>
      <c r="D285" s="3" t="s">
        <v>854</v>
      </c>
      <c r="E285" s="3">
        <v>64000</v>
      </c>
      <c r="F285" s="3" t="s">
        <v>13</v>
      </c>
      <c r="G285" s="3">
        <v>0</v>
      </c>
      <c r="H285" s="3" t="s">
        <v>537</v>
      </c>
      <c r="I285" s="3"/>
      <c r="J285" s="3"/>
    </row>
    <row r="286" customFormat="1" spans="1:10">
      <c r="A286" s="3">
        <v>32</v>
      </c>
      <c r="B286" s="4">
        <v>45499</v>
      </c>
      <c r="C286" s="3" t="s">
        <v>564</v>
      </c>
      <c r="D286" s="3" t="s">
        <v>855</v>
      </c>
      <c r="E286" s="3">
        <v>15800</v>
      </c>
      <c r="F286" s="3" t="s">
        <v>20</v>
      </c>
      <c r="G286" s="3" t="s">
        <v>721</v>
      </c>
      <c r="H286" s="3">
        <v>0</v>
      </c>
      <c r="I286" s="3"/>
      <c r="J286" s="3"/>
    </row>
    <row r="287" customFormat="1" spans="1:10">
      <c r="A287" s="3">
        <v>51</v>
      </c>
      <c r="B287" s="4">
        <v>45499</v>
      </c>
      <c r="C287" s="3" t="s">
        <v>14</v>
      </c>
      <c r="D287" s="3" t="s">
        <v>856</v>
      </c>
      <c r="E287" s="3">
        <v>72000</v>
      </c>
      <c r="F287" s="3" t="s">
        <v>857</v>
      </c>
      <c r="G287" s="3">
        <v>0</v>
      </c>
      <c r="H287" s="3" t="s">
        <v>534</v>
      </c>
      <c r="I287" s="3"/>
      <c r="J287" s="3"/>
    </row>
    <row r="288" customFormat="1" spans="1:10">
      <c r="A288" s="3">
        <v>30</v>
      </c>
      <c r="B288" s="4">
        <v>45502</v>
      </c>
      <c r="C288" s="3" t="s">
        <v>533</v>
      </c>
      <c r="D288" s="3" t="s">
        <v>858</v>
      </c>
      <c r="E288" s="3">
        <v>300000</v>
      </c>
      <c r="F288" s="3" t="s">
        <v>13</v>
      </c>
      <c r="G288" s="3" t="s">
        <v>36</v>
      </c>
      <c r="H288" s="3" t="s">
        <v>281</v>
      </c>
      <c r="I288" s="3"/>
      <c r="J288" s="3"/>
    </row>
    <row r="289" customFormat="1" spans="1:10">
      <c r="A289" s="3">
        <v>31</v>
      </c>
      <c r="B289" s="4">
        <v>45502</v>
      </c>
      <c r="C289" s="3" t="s">
        <v>14</v>
      </c>
      <c r="D289" s="3" t="s">
        <v>856</v>
      </c>
      <c r="E289" s="3">
        <v>95000</v>
      </c>
      <c r="F289" s="3" t="s">
        <v>16</v>
      </c>
      <c r="G289" s="3" t="s">
        <v>36</v>
      </c>
      <c r="H289" s="3" t="s">
        <v>534</v>
      </c>
      <c r="I289" s="3"/>
      <c r="J289" s="3"/>
    </row>
    <row r="290" customFormat="1" spans="1:10">
      <c r="A290" s="3">
        <v>33</v>
      </c>
      <c r="B290" s="4">
        <v>45502</v>
      </c>
      <c r="C290" s="3" t="s">
        <v>536</v>
      </c>
      <c r="D290" s="3" t="s">
        <v>859</v>
      </c>
      <c r="E290" s="3">
        <v>10000</v>
      </c>
      <c r="F290" s="3" t="s">
        <v>860</v>
      </c>
      <c r="G290" s="3" t="s">
        <v>36</v>
      </c>
      <c r="H290" s="3" t="s">
        <v>281</v>
      </c>
      <c r="I290" s="3"/>
      <c r="J290" s="3"/>
    </row>
    <row r="291" customFormat="1" spans="1:10">
      <c r="A291" s="3">
        <v>34</v>
      </c>
      <c r="B291" s="4">
        <v>45502</v>
      </c>
      <c r="C291" s="3" t="s">
        <v>536</v>
      </c>
      <c r="D291" s="3" t="s">
        <v>861</v>
      </c>
      <c r="E291" s="3">
        <v>61100</v>
      </c>
      <c r="F291" s="3" t="s">
        <v>860</v>
      </c>
      <c r="G291" s="3" t="s">
        <v>36</v>
      </c>
      <c r="H291" s="3" t="s">
        <v>281</v>
      </c>
      <c r="I291" s="3"/>
      <c r="J291" s="3"/>
    </row>
    <row r="292" customFormat="1" spans="1:10">
      <c r="A292" s="3">
        <v>35</v>
      </c>
      <c r="B292" s="4">
        <v>45502</v>
      </c>
      <c r="C292" s="3" t="s">
        <v>536</v>
      </c>
      <c r="D292" s="3" t="s">
        <v>771</v>
      </c>
      <c r="E292" s="3">
        <v>28900</v>
      </c>
      <c r="F292" s="3" t="s">
        <v>860</v>
      </c>
      <c r="G292" s="3" t="s">
        <v>36</v>
      </c>
      <c r="H292" s="3" t="s">
        <v>281</v>
      </c>
      <c r="I292" s="3"/>
      <c r="J292" s="3"/>
    </row>
    <row r="293" customFormat="1" spans="1:10">
      <c r="A293" s="3">
        <v>36</v>
      </c>
      <c r="B293" s="4">
        <v>45503</v>
      </c>
      <c r="C293" s="3" t="s">
        <v>126</v>
      </c>
      <c r="D293" s="3" t="s">
        <v>127</v>
      </c>
      <c r="E293" s="3">
        <v>50000</v>
      </c>
      <c r="F293" s="3" t="s">
        <v>13</v>
      </c>
      <c r="G293" s="3" t="s">
        <v>36</v>
      </c>
      <c r="H293" s="3" t="s">
        <v>281</v>
      </c>
      <c r="I293" s="3"/>
      <c r="J293" s="3"/>
    </row>
    <row r="294" s="1" customFormat="1" spans="1:10">
      <c r="A294" s="9">
        <v>37</v>
      </c>
      <c r="B294" s="10">
        <v>45503</v>
      </c>
      <c r="C294" s="9" t="s">
        <v>531</v>
      </c>
      <c r="D294" s="9" t="s">
        <v>862</v>
      </c>
      <c r="E294" s="11">
        <v>66259.16</v>
      </c>
      <c r="F294" s="9" t="s">
        <v>113</v>
      </c>
      <c r="G294" s="9" t="s">
        <v>36</v>
      </c>
      <c r="H294" s="9" t="s">
        <v>527</v>
      </c>
      <c r="I294" s="9"/>
      <c r="J294" s="9"/>
    </row>
    <row r="295" s="1" customFormat="1" spans="1:10">
      <c r="A295" s="9">
        <v>0</v>
      </c>
      <c r="B295" s="10">
        <v>45503</v>
      </c>
      <c r="C295" s="9" t="s">
        <v>531</v>
      </c>
      <c r="D295" s="9" t="s">
        <v>863</v>
      </c>
      <c r="E295" s="9">
        <v>101099.93</v>
      </c>
      <c r="F295" s="9" t="s">
        <v>113</v>
      </c>
      <c r="G295" s="9" t="s">
        <v>36</v>
      </c>
      <c r="H295" s="9" t="s">
        <v>527</v>
      </c>
      <c r="I295" s="9"/>
      <c r="J295" s="9"/>
    </row>
    <row r="296" s="1" customFormat="1" spans="1:10">
      <c r="A296" s="9">
        <v>0</v>
      </c>
      <c r="B296" s="10">
        <v>45503</v>
      </c>
      <c r="C296" s="9" t="s">
        <v>531</v>
      </c>
      <c r="D296" s="9" t="s">
        <v>864</v>
      </c>
      <c r="E296" s="9">
        <v>17460</v>
      </c>
      <c r="F296" s="9" t="s">
        <v>113</v>
      </c>
      <c r="G296" s="9" t="s">
        <v>36</v>
      </c>
      <c r="H296" s="9" t="s">
        <v>527</v>
      </c>
      <c r="I296" s="9"/>
      <c r="J296" s="9"/>
    </row>
    <row r="297" customFormat="1" spans="1:10">
      <c r="A297" s="3">
        <v>38</v>
      </c>
      <c r="B297" s="4">
        <v>45503</v>
      </c>
      <c r="C297" s="3" t="s">
        <v>93</v>
      </c>
      <c r="D297" s="3" t="s">
        <v>865</v>
      </c>
      <c r="E297" s="3">
        <v>1087032</v>
      </c>
      <c r="F297" s="3" t="s">
        <v>16</v>
      </c>
      <c r="G297" s="3" t="s">
        <v>36</v>
      </c>
      <c r="H297" s="3" t="s">
        <v>526</v>
      </c>
      <c r="I297" s="3"/>
      <c r="J297" s="3"/>
    </row>
    <row r="298" customFormat="1" spans="1:10">
      <c r="A298" s="3">
        <v>39</v>
      </c>
      <c r="B298" s="4">
        <v>45503</v>
      </c>
      <c r="C298" s="3" t="s">
        <v>558</v>
      </c>
      <c r="D298" s="3" t="s">
        <v>866</v>
      </c>
      <c r="E298" s="3">
        <v>24000</v>
      </c>
      <c r="F298" s="3" t="s">
        <v>13</v>
      </c>
      <c r="G298" s="3">
        <v>0</v>
      </c>
      <c r="H298" s="3" t="s">
        <v>538</v>
      </c>
      <c r="I298" s="3"/>
      <c r="J298" s="3"/>
    </row>
    <row r="299" customFormat="1" spans="1:10">
      <c r="A299" s="3">
        <v>40</v>
      </c>
      <c r="B299" s="4">
        <v>45503</v>
      </c>
      <c r="C299" s="3" t="s">
        <v>559</v>
      </c>
      <c r="D299" s="3" t="s">
        <v>867</v>
      </c>
      <c r="E299" s="3">
        <v>50000</v>
      </c>
      <c r="F299" s="3" t="s">
        <v>13</v>
      </c>
      <c r="G299" s="3">
        <v>0</v>
      </c>
      <c r="H299" s="3" t="s">
        <v>538</v>
      </c>
      <c r="I299" s="3"/>
      <c r="J299" s="3"/>
    </row>
    <row r="300" customFormat="1" spans="1:10">
      <c r="A300" s="3">
        <v>41</v>
      </c>
      <c r="B300" s="4">
        <v>45504</v>
      </c>
      <c r="C300" s="3" t="s">
        <v>546</v>
      </c>
      <c r="D300" s="3" t="s">
        <v>868</v>
      </c>
      <c r="E300" s="3">
        <v>29380</v>
      </c>
      <c r="F300" s="3" t="s">
        <v>16</v>
      </c>
      <c r="G300" s="3">
        <v>0</v>
      </c>
      <c r="H300" s="3" t="s">
        <v>530</v>
      </c>
      <c r="I300" s="3"/>
      <c r="J300" s="3"/>
    </row>
    <row r="301" customFormat="1" spans="1:10">
      <c r="A301" s="3">
        <v>42</v>
      </c>
      <c r="B301" s="4">
        <v>45504</v>
      </c>
      <c r="C301" s="3" t="s">
        <v>548</v>
      </c>
      <c r="D301" s="3" t="s">
        <v>869</v>
      </c>
      <c r="E301" s="3">
        <v>16900</v>
      </c>
      <c r="F301" s="3" t="s">
        <v>870</v>
      </c>
      <c r="G301" s="3" t="s">
        <v>719</v>
      </c>
      <c r="H301" s="3" t="s">
        <v>530</v>
      </c>
      <c r="I301" s="3"/>
      <c r="J301" s="3"/>
    </row>
    <row r="302" customFormat="1" spans="1:10">
      <c r="A302" s="3">
        <v>43</v>
      </c>
      <c r="B302" s="4">
        <v>45504</v>
      </c>
      <c r="C302" s="3" t="s">
        <v>548</v>
      </c>
      <c r="D302" s="3" t="s">
        <v>871</v>
      </c>
      <c r="E302" s="3">
        <v>3100</v>
      </c>
      <c r="F302" s="3" t="s">
        <v>870</v>
      </c>
      <c r="G302" s="3" t="s">
        <v>719</v>
      </c>
      <c r="H302" s="3" t="s">
        <v>530</v>
      </c>
      <c r="I302" s="3"/>
      <c r="J302" s="3"/>
    </row>
    <row r="303" s="1" customFormat="1" spans="1:10">
      <c r="A303" s="9">
        <v>44</v>
      </c>
      <c r="B303" s="10">
        <v>45504</v>
      </c>
      <c r="C303" s="9" t="s">
        <v>528</v>
      </c>
      <c r="D303" s="9" t="s">
        <v>828</v>
      </c>
      <c r="E303" s="9">
        <v>50000</v>
      </c>
      <c r="F303" s="9" t="s">
        <v>113</v>
      </c>
      <c r="G303" s="9" t="s">
        <v>36</v>
      </c>
      <c r="H303" s="9" t="s">
        <v>527</v>
      </c>
      <c r="I303" s="9"/>
      <c r="J303" s="9"/>
    </row>
    <row r="304" customFormat="1" spans="1:10">
      <c r="A304" s="3">
        <v>45</v>
      </c>
      <c r="B304" s="4">
        <v>45504</v>
      </c>
      <c r="C304" s="3" t="s">
        <v>556</v>
      </c>
      <c r="D304" s="3" t="s">
        <v>872</v>
      </c>
      <c r="E304" s="3">
        <v>8991</v>
      </c>
      <c r="F304" s="3" t="s">
        <v>16</v>
      </c>
      <c r="G304" s="3">
        <v>0</v>
      </c>
      <c r="H304" s="3" t="s">
        <v>537</v>
      </c>
      <c r="I304" s="3"/>
      <c r="J304" s="3"/>
    </row>
    <row r="305" customFormat="1" spans="1:10">
      <c r="A305" s="3">
        <v>46</v>
      </c>
      <c r="B305" s="4">
        <v>45504</v>
      </c>
      <c r="C305" s="3" t="s">
        <v>550</v>
      </c>
      <c r="D305" s="3" t="s">
        <v>873</v>
      </c>
      <c r="E305" s="3">
        <v>24878.5</v>
      </c>
      <c r="F305" s="3" t="s">
        <v>874</v>
      </c>
      <c r="G305" s="3">
        <v>0</v>
      </c>
      <c r="H305" s="3" t="s">
        <v>541</v>
      </c>
      <c r="I305" s="3"/>
      <c r="J305" s="3"/>
    </row>
    <row r="306" customFormat="1" spans="1:10">
      <c r="A306" s="3">
        <v>47</v>
      </c>
      <c r="B306" s="4">
        <v>45504</v>
      </c>
      <c r="C306" s="3" t="s">
        <v>550</v>
      </c>
      <c r="D306" s="3" t="s">
        <v>875</v>
      </c>
      <c r="E306" s="3">
        <v>13121.5</v>
      </c>
      <c r="F306" s="3" t="s">
        <v>874</v>
      </c>
      <c r="G306" s="3">
        <v>0</v>
      </c>
      <c r="H306" s="3" t="s">
        <v>541</v>
      </c>
      <c r="I306" s="3"/>
      <c r="J306" s="3"/>
    </row>
    <row r="307" customFormat="1" spans="1:10">
      <c r="A307" s="3">
        <v>48</v>
      </c>
      <c r="B307" s="4">
        <v>45504</v>
      </c>
      <c r="C307" s="3" t="s">
        <v>550</v>
      </c>
      <c r="D307" s="3" t="s">
        <v>875</v>
      </c>
      <c r="E307" s="3">
        <v>220000</v>
      </c>
      <c r="F307" s="3" t="s">
        <v>13</v>
      </c>
      <c r="G307" s="3" t="s">
        <v>36</v>
      </c>
      <c r="H307" s="3" t="s">
        <v>291</v>
      </c>
      <c r="I307" s="3"/>
      <c r="J307" s="3"/>
    </row>
    <row r="308" customFormat="1" spans="1:10">
      <c r="A308" s="3">
        <v>49</v>
      </c>
      <c r="B308" s="4">
        <v>45504</v>
      </c>
      <c r="C308" s="3" t="s">
        <v>561</v>
      </c>
      <c r="D308" s="3" t="s">
        <v>876</v>
      </c>
      <c r="E308" s="3">
        <v>8035.44</v>
      </c>
      <c r="F308" s="3" t="s">
        <v>16</v>
      </c>
      <c r="G308" s="3" t="s">
        <v>36</v>
      </c>
      <c r="H308" s="3" t="s">
        <v>540</v>
      </c>
      <c r="I308" s="3"/>
      <c r="J308" s="3"/>
    </row>
    <row r="309" customFormat="1" spans="1:10">
      <c r="A309" s="3">
        <v>50</v>
      </c>
      <c r="B309" s="4">
        <v>45504</v>
      </c>
      <c r="C309" s="3" t="s">
        <v>561</v>
      </c>
      <c r="D309" s="3" t="s">
        <v>876</v>
      </c>
      <c r="E309" s="3">
        <v>11964.56</v>
      </c>
      <c r="F309" s="3" t="s">
        <v>16</v>
      </c>
      <c r="G309" s="3" t="s">
        <v>36</v>
      </c>
      <c r="H309" s="3" t="s">
        <v>540</v>
      </c>
      <c r="I309" s="3"/>
      <c r="J309" s="3"/>
    </row>
    <row r="310" customFormat="1" spans="1:10">
      <c r="A310" s="3">
        <v>1</v>
      </c>
      <c r="B310" s="4">
        <v>45505</v>
      </c>
      <c r="C310" s="3" t="s">
        <v>633</v>
      </c>
      <c r="D310" s="3" t="s">
        <v>877</v>
      </c>
      <c r="E310" s="3">
        <v>50000</v>
      </c>
      <c r="F310" s="3" t="s">
        <v>16</v>
      </c>
      <c r="G310" s="3" t="s">
        <v>36</v>
      </c>
      <c r="H310" s="3" t="s">
        <v>530</v>
      </c>
      <c r="I310" s="3"/>
      <c r="J310" s="3"/>
    </row>
    <row r="311" customFormat="1" spans="1:10">
      <c r="A311" s="3">
        <v>2</v>
      </c>
      <c r="B311" s="4">
        <v>45505</v>
      </c>
      <c r="C311" s="3" t="s">
        <v>633</v>
      </c>
      <c r="D311" s="3" t="s">
        <v>877</v>
      </c>
      <c r="E311" s="3">
        <v>3000</v>
      </c>
      <c r="F311" s="3" t="s">
        <v>878</v>
      </c>
      <c r="G311" s="3" t="s">
        <v>36</v>
      </c>
      <c r="H311" s="3" t="s">
        <v>530</v>
      </c>
      <c r="I311" s="3"/>
      <c r="J311" s="3"/>
    </row>
    <row r="312" customFormat="1" spans="1:10">
      <c r="A312" s="3">
        <v>3</v>
      </c>
      <c r="B312" s="4">
        <v>45505</v>
      </c>
      <c r="C312" s="3" t="s">
        <v>633</v>
      </c>
      <c r="D312" s="3" t="s">
        <v>879</v>
      </c>
      <c r="E312" s="3">
        <v>2250</v>
      </c>
      <c r="F312" s="3" t="s">
        <v>878</v>
      </c>
      <c r="G312" s="3" t="s">
        <v>36</v>
      </c>
      <c r="H312" s="3" t="s">
        <v>530</v>
      </c>
      <c r="I312" s="3"/>
      <c r="J312" s="3"/>
    </row>
    <row r="313" customFormat="1" spans="1:10">
      <c r="A313" s="3">
        <v>4</v>
      </c>
      <c r="B313" s="4">
        <v>45505</v>
      </c>
      <c r="C313" s="3" t="s">
        <v>580</v>
      </c>
      <c r="D313" s="3" t="s">
        <v>880</v>
      </c>
      <c r="E313" s="3">
        <v>31500</v>
      </c>
      <c r="F313" s="3" t="s">
        <v>13</v>
      </c>
      <c r="G313" s="3">
        <v>0</v>
      </c>
      <c r="H313" s="3" t="s">
        <v>291</v>
      </c>
      <c r="I313" s="3"/>
      <c r="J313" s="3"/>
    </row>
    <row r="314" customFormat="1" spans="1:10">
      <c r="A314" s="3">
        <v>6</v>
      </c>
      <c r="B314" s="4">
        <v>45505</v>
      </c>
      <c r="C314" s="3" t="s">
        <v>881</v>
      </c>
      <c r="D314" s="3" t="s">
        <v>655</v>
      </c>
      <c r="E314" s="3">
        <v>92</v>
      </c>
      <c r="F314" s="3" t="s">
        <v>797</v>
      </c>
      <c r="G314" s="3" t="s">
        <v>728</v>
      </c>
      <c r="H314" s="3" t="s">
        <v>285</v>
      </c>
      <c r="I314" s="3"/>
      <c r="J314" s="3"/>
    </row>
    <row r="315" customFormat="1" spans="1:10">
      <c r="A315" s="3">
        <v>5</v>
      </c>
      <c r="B315" s="4">
        <v>45506</v>
      </c>
      <c r="C315" s="3" t="s">
        <v>639</v>
      </c>
      <c r="D315" s="3" t="s">
        <v>882</v>
      </c>
      <c r="E315" s="3">
        <v>50000</v>
      </c>
      <c r="F315" s="3" t="s">
        <v>13</v>
      </c>
      <c r="G315" s="3" t="s">
        <v>36</v>
      </c>
      <c r="H315" s="3" t="s">
        <v>535</v>
      </c>
      <c r="I315" s="3"/>
      <c r="J315" s="3"/>
    </row>
    <row r="316" customFormat="1" spans="1:10">
      <c r="A316" s="3">
        <v>7</v>
      </c>
      <c r="B316" s="4">
        <v>45506</v>
      </c>
      <c r="C316" s="3" t="s">
        <v>753</v>
      </c>
      <c r="D316" s="3" t="s">
        <v>883</v>
      </c>
      <c r="E316" s="3">
        <v>83580</v>
      </c>
      <c r="F316" s="3" t="s">
        <v>13</v>
      </c>
      <c r="G316" s="3">
        <v>0</v>
      </c>
      <c r="H316" s="3" t="s">
        <v>291</v>
      </c>
      <c r="I316" s="3"/>
      <c r="J316" s="3"/>
    </row>
    <row r="317" customFormat="1" spans="1:10">
      <c r="A317" s="3">
        <v>8</v>
      </c>
      <c r="B317" s="4">
        <v>45506</v>
      </c>
      <c r="C317" s="3" t="s">
        <v>884</v>
      </c>
      <c r="D317" s="3" t="s">
        <v>885</v>
      </c>
      <c r="E317" s="3">
        <v>80750</v>
      </c>
      <c r="F317" s="3" t="s">
        <v>13</v>
      </c>
      <c r="G317" s="3">
        <v>0</v>
      </c>
      <c r="H317" s="3" t="s">
        <v>291</v>
      </c>
      <c r="I317" s="3"/>
      <c r="J317" s="3"/>
    </row>
    <row r="318" customFormat="1" spans="1:10">
      <c r="A318" s="3">
        <v>9</v>
      </c>
      <c r="B318" s="4">
        <v>45510</v>
      </c>
      <c r="C318" s="3" t="s">
        <v>886</v>
      </c>
      <c r="D318" s="3" t="s">
        <v>887</v>
      </c>
      <c r="E318" s="3">
        <v>45868.71</v>
      </c>
      <c r="F318" s="3" t="s">
        <v>13</v>
      </c>
      <c r="G318" s="3" t="s">
        <v>36</v>
      </c>
      <c r="H318" s="3" t="s">
        <v>537</v>
      </c>
      <c r="I318" s="3"/>
      <c r="J318" s="3"/>
    </row>
    <row r="319" customFormat="1" spans="1:10">
      <c r="A319" s="3">
        <v>10</v>
      </c>
      <c r="B319" s="4">
        <v>45510</v>
      </c>
      <c r="C319" s="3" t="s">
        <v>886</v>
      </c>
      <c r="D319" s="3" t="s">
        <v>887</v>
      </c>
      <c r="E319" s="3">
        <v>132331.29</v>
      </c>
      <c r="F319" s="3" t="s">
        <v>13</v>
      </c>
      <c r="G319" s="3" t="s">
        <v>36</v>
      </c>
      <c r="H319" s="3" t="s">
        <v>537</v>
      </c>
      <c r="I319" s="3"/>
      <c r="J319" s="3"/>
    </row>
    <row r="320" customFormat="1" spans="1:10">
      <c r="A320" s="3">
        <v>11</v>
      </c>
      <c r="B320" s="4">
        <v>45511</v>
      </c>
      <c r="C320" s="3" t="s">
        <v>107</v>
      </c>
      <c r="D320" s="3" t="s">
        <v>888</v>
      </c>
      <c r="E320" s="3">
        <v>93225</v>
      </c>
      <c r="F320" s="3" t="s">
        <v>13</v>
      </c>
      <c r="G320" s="3">
        <v>0</v>
      </c>
      <c r="H320" s="3" t="s">
        <v>285</v>
      </c>
      <c r="I320" s="3"/>
      <c r="J320" s="3"/>
    </row>
    <row r="321" customFormat="1" spans="1:10">
      <c r="A321" s="3">
        <v>12</v>
      </c>
      <c r="B321" s="4">
        <v>45513</v>
      </c>
      <c r="C321" s="3" t="s">
        <v>889</v>
      </c>
      <c r="D321" s="3" t="s">
        <v>890</v>
      </c>
      <c r="E321" s="3">
        <v>10800</v>
      </c>
      <c r="F321" s="3" t="s">
        <v>13</v>
      </c>
      <c r="G321" s="3" t="s">
        <v>721</v>
      </c>
      <c r="H321" s="3" t="s">
        <v>530</v>
      </c>
      <c r="I321" s="3"/>
      <c r="J321" s="3"/>
    </row>
    <row r="322" customFormat="1" spans="1:10">
      <c r="A322" s="3">
        <v>13</v>
      </c>
      <c r="B322" s="4">
        <v>45516</v>
      </c>
      <c r="C322" s="3" t="s">
        <v>638</v>
      </c>
      <c r="D322" s="3" t="s">
        <v>891</v>
      </c>
      <c r="E322" s="3">
        <v>50000</v>
      </c>
      <c r="F322" s="3" t="s">
        <v>20</v>
      </c>
      <c r="G322" s="3">
        <v>0</v>
      </c>
      <c r="H322" s="3" t="s">
        <v>540</v>
      </c>
      <c r="I322" s="3"/>
      <c r="J322" s="3"/>
    </row>
    <row r="323" customFormat="1" spans="1:10">
      <c r="A323" s="3">
        <v>14</v>
      </c>
      <c r="B323" s="4">
        <v>45517</v>
      </c>
      <c r="C323" s="3" t="s">
        <v>892</v>
      </c>
      <c r="D323" s="3" t="s">
        <v>893</v>
      </c>
      <c r="E323" s="3">
        <v>6000</v>
      </c>
      <c r="F323" s="3" t="s">
        <v>16</v>
      </c>
      <c r="G323" s="3">
        <v>0</v>
      </c>
      <c r="H323" s="3" t="s">
        <v>285</v>
      </c>
      <c r="I323" s="3"/>
      <c r="J323" s="3"/>
    </row>
    <row r="324" customFormat="1" spans="1:10">
      <c r="A324" s="3">
        <v>15</v>
      </c>
      <c r="B324" s="4">
        <v>45517</v>
      </c>
      <c r="C324" s="3" t="s">
        <v>892</v>
      </c>
      <c r="D324" s="3" t="s">
        <v>894</v>
      </c>
      <c r="E324" s="3">
        <v>3600</v>
      </c>
      <c r="F324" s="3" t="s">
        <v>16</v>
      </c>
      <c r="G324" s="3">
        <v>0</v>
      </c>
      <c r="H324" s="3" t="s">
        <v>285</v>
      </c>
      <c r="I324" s="3"/>
      <c r="J324" s="3"/>
    </row>
    <row r="325" customFormat="1" spans="1:10">
      <c r="A325" s="3">
        <v>16</v>
      </c>
      <c r="B325" s="4">
        <v>45518</v>
      </c>
      <c r="C325" s="3" t="s">
        <v>634</v>
      </c>
      <c r="D325" s="3" t="s">
        <v>895</v>
      </c>
      <c r="E325" s="3">
        <v>12500</v>
      </c>
      <c r="F325" s="3" t="s">
        <v>896</v>
      </c>
      <c r="G325" s="3">
        <v>0</v>
      </c>
      <c r="H325" s="3" t="s">
        <v>291</v>
      </c>
      <c r="I325" s="3"/>
      <c r="J325" s="3"/>
    </row>
    <row r="326" customFormat="1" spans="1:10">
      <c r="A326" s="3">
        <v>17</v>
      </c>
      <c r="B326" s="4">
        <v>45518</v>
      </c>
      <c r="C326" s="3" t="s">
        <v>634</v>
      </c>
      <c r="D326" s="3" t="s">
        <v>897</v>
      </c>
      <c r="E326" s="3">
        <v>64924</v>
      </c>
      <c r="F326" s="3" t="s">
        <v>896</v>
      </c>
      <c r="G326" s="3">
        <v>0</v>
      </c>
      <c r="H326" s="3" t="s">
        <v>291</v>
      </c>
      <c r="I326" s="3"/>
      <c r="J326" s="3"/>
    </row>
    <row r="327" customFormat="1" spans="1:10">
      <c r="A327" s="3">
        <v>18</v>
      </c>
      <c r="B327" s="4">
        <v>45519</v>
      </c>
      <c r="C327" s="3" t="s">
        <v>898</v>
      </c>
      <c r="D327" s="3" t="s">
        <v>899</v>
      </c>
      <c r="E327" s="3">
        <v>21852.8</v>
      </c>
      <c r="F327" s="3" t="s">
        <v>16</v>
      </c>
      <c r="G327" s="3">
        <v>0</v>
      </c>
      <c r="H327" s="3" t="s">
        <v>530</v>
      </c>
      <c r="I327" s="3"/>
      <c r="J327" s="3"/>
    </row>
    <row r="328" customFormat="1" spans="1:10">
      <c r="A328" s="3">
        <v>19</v>
      </c>
      <c r="B328" s="4">
        <v>45519</v>
      </c>
      <c r="C328" s="3" t="s">
        <v>617</v>
      </c>
      <c r="D328" s="3" t="s">
        <v>737</v>
      </c>
      <c r="E328" s="3">
        <v>20000</v>
      </c>
      <c r="F328" s="3" t="s">
        <v>113</v>
      </c>
      <c r="G328" s="3">
        <v>0</v>
      </c>
      <c r="H328" s="3" t="s">
        <v>540</v>
      </c>
      <c r="I328" s="3"/>
      <c r="J328" s="3"/>
    </row>
    <row r="329" customFormat="1" spans="1:10">
      <c r="A329" s="3">
        <v>20</v>
      </c>
      <c r="B329" s="4">
        <v>45520</v>
      </c>
      <c r="C329" s="3" t="s">
        <v>579</v>
      </c>
      <c r="D329" s="3" t="s">
        <v>900</v>
      </c>
      <c r="E329" s="3">
        <v>1000</v>
      </c>
      <c r="F329" s="3" t="s">
        <v>16</v>
      </c>
      <c r="G329" s="3" t="s">
        <v>36</v>
      </c>
      <c r="H329" s="3" t="s">
        <v>537</v>
      </c>
      <c r="I329" s="3"/>
      <c r="J329" s="3"/>
    </row>
    <row r="330" customFormat="1" spans="1:10">
      <c r="A330" s="3">
        <v>21</v>
      </c>
      <c r="B330" s="4">
        <v>45520</v>
      </c>
      <c r="C330" s="3" t="s">
        <v>579</v>
      </c>
      <c r="D330" s="3" t="s">
        <v>901</v>
      </c>
      <c r="E330" s="3">
        <v>48000</v>
      </c>
      <c r="F330" s="3" t="s">
        <v>16</v>
      </c>
      <c r="G330" s="3" t="s">
        <v>36</v>
      </c>
      <c r="H330" s="3" t="s">
        <v>537</v>
      </c>
      <c r="I330" s="3"/>
      <c r="J330" s="3"/>
    </row>
    <row r="331" customFormat="1" spans="1:10">
      <c r="A331" s="3">
        <v>22</v>
      </c>
      <c r="B331" s="4">
        <v>45520</v>
      </c>
      <c r="C331" s="3" t="s">
        <v>902</v>
      </c>
      <c r="D331" s="3" t="s">
        <v>670</v>
      </c>
      <c r="E331" s="3">
        <v>18800</v>
      </c>
      <c r="F331" s="3" t="s">
        <v>113</v>
      </c>
      <c r="G331" s="3" t="s">
        <v>653</v>
      </c>
      <c r="H331" s="3" t="s">
        <v>291</v>
      </c>
      <c r="I331" s="3"/>
      <c r="J331" s="3"/>
    </row>
    <row r="332" customFormat="1" spans="1:10">
      <c r="A332" s="3">
        <v>23</v>
      </c>
      <c r="B332" s="4">
        <v>45524</v>
      </c>
      <c r="C332" s="3" t="s">
        <v>903</v>
      </c>
      <c r="D332" s="3" t="s">
        <v>904</v>
      </c>
      <c r="E332" s="3">
        <v>37000</v>
      </c>
      <c r="F332" s="3" t="s">
        <v>16</v>
      </c>
      <c r="G332" s="3" t="s">
        <v>36</v>
      </c>
      <c r="H332" s="3" t="s">
        <v>540</v>
      </c>
      <c r="I332" s="3"/>
      <c r="J332" s="3"/>
    </row>
    <row r="333" customFormat="1" spans="1:10">
      <c r="A333" s="3">
        <v>24</v>
      </c>
      <c r="B333" s="4">
        <v>45524</v>
      </c>
      <c r="C333" s="3" t="s">
        <v>905</v>
      </c>
      <c r="D333" s="3" t="s">
        <v>906</v>
      </c>
      <c r="E333" s="3">
        <v>2000</v>
      </c>
      <c r="F333" s="3" t="s">
        <v>16</v>
      </c>
      <c r="G333" s="3">
        <v>0</v>
      </c>
      <c r="H333" s="3" t="s">
        <v>530</v>
      </c>
      <c r="I333" s="3"/>
      <c r="J333" s="3"/>
    </row>
    <row r="334" customFormat="1" spans="1:10">
      <c r="A334" s="3">
        <v>25</v>
      </c>
      <c r="B334" s="4">
        <v>45525</v>
      </c>
      <c r="C334" s="3" t="s">
        <v>362</v>
      </c>
      <c r="D334" s="3" t="s">
        <v>846</v>
      </c>
      <c r="E334" s="3">
        <v>20000</v>
      </c>
      <c r="F334" s="3" t="s">
        <v>13</v>
      </c>
      <c r="G334" s="3" t="s">
        <v>36</v>
      </c>
      <c r="H334" s="3" t="s">
        <v>530</v>
      </c>
      <c r="I334" s="3"/>
      <c r="J334" s="3"/>
    </row>
    <row r="335" customFormat="1" spans="1:10">
      <c r="A335" s="3">
        <v>26</v>
      </c>
      <c r="B335" s="4">
        <v>45526</v>
      </c>
      <c r="C335" s="3" t="s">
        <v>14</v>
      </c>
      <c r="D335" s="3" t="s">
        <v>181</v>
      </c>
      <c r="E335" s="3">
        <v>2583.5</v>
      </c>
      <c r="F335" s="3" t="s">
        <v>16</v>
      </c>
      <c r="G335" s="3">
        <v>0</v>
      </c>
      <c r="H335" s="3" t="s">
        <v>534</v>
      </c>
      <c r="I335" s="3"/>
      <c r="J335" s="3"/>
    </row>
    <row r="336" customFormat="1" spans="1:10">
      <c r="A336" s="3">
        <v>27</v>
      </c>
      <c r="B336" s="4">
        <v>45526</v>
      </c>
      <c r="C336" s="3" t="s">
        <v>14</v>
      </c>
      <c r="D336" s="3" t="s">
        <v>907</v>
      </c>
      <c r="E336" s="3">
        <v>6.5</v>
      </c>
      <c r="F336" s="3" t="s">
        <v>16</v>
      </c>
      <c r="G336" s="3">
        <v>0</v>
      </c>
      <c r="H336" s="3" t="s">
        <v>534</v>
      </c>
      <c r="I336" s="3"/>
      <c r="J336" s="3"/>
    </row>
    <row r="337" customFormat="1" spans="1:10">
      <c r="A337" s="3">
        <v>28</v>
      </c>
      <c r="B337" s="4">
        <v>45527</v>
      </c>
      <c r="C337" s="3" t="s">
        <v>735</v>
      </c>
      <c r="D337" s="3" t="s">
        <v>736</v>
      </c>
      <c r="E337" s="3">
        <v>36000</v>
      </c>
      <c r="F337" s="3" t="s">
        <v>13</v>
      </c>
      <c r="G337" s="3" t="s">
        <v>36</v>
      </c>
      <c r="H337" s="3" t="s">
        <v>540</v>
      </c>
      <c r="I337" s="3"/>
      <c r="J337" s="3"/>
    </row>
    <row r="338" customFormat="1" spans="1:10">
      <c r="A338" s="3">
        <v>29</v>
      </c>
      <c r="B338" s="4">
        <v>45527</v>
      </c>
      <c r="C338" s="3" t="s">
        <v>735</v>
      </c>
      <c r="D338" s="3" t="s">
        <v>908</v>
      </c>
      <c r="E338" s="3">
        <v>38000</v>
      </c>
      <c r="F338" s="3" t="s">
        <v>13</v>
      </c>
      <c r="G338" s="3" t="s">
        <v>36</v>
      </c>
      <c r="H338" s="3" t="s">
        <v>540</v>
      </c>
      <c r="I338" s="3"/>
      <c r="J338" s="3"/>
    </row>
    <row r="339" customFormat="1" spans="1:10">
      <c r="A339" s="3">
        <v>30</v>
      </c>
      <c r="B339" s="4">
        <v>45527</v>
      </c>
      <c r="C339" s="3" t="s">
        <v>14</v>
      </c>
      <c r="D339" s="3" t="s">
        <v>181</v>
      </c>
      <c r="E339" s="3">
        <v>75010</v>
      </c>
      <c r="F339" s="3" t="s">
        <v>16</v>
      </c>
      <c r="G339" s="3" t="s">
        <v>36</v>
      </c>
      <c r="H339" s="3" t="s">
        <v>534</v>
      </c>
      <c r="I339" s="3"/>
      <c r="J339" s="3"/>
    </row>
    <row r="340" s="1" customFormat="1" spans="1:10">
      <c r="A340" s="9">
        <v>31</v>
      </c>
      <c r="B340" s="10">
        <v>45527</v>
      </c>
      <c r="C340" s="9" t="s">
        <v>528</v>
      </c>
      <c r="D340" s="9" t="s">
        <v>828</v>
      </c>
      <c r="E340" s="9">
        <v>50000</v>
      </c>
      <c r="F340" s="9" t="s">
        <v>113</v>
      </c>
      <c r="G340" s="9" t="s">
        <v>36</v>
      </c>
      <c r="H340" s="9" t="s">
        <v>527</v>
      </c>
      <c r="I340" s="9"/>
      <c r="J340" s="9"/>
    </row>
    <row r="341" customFormat="1" spans="1:10">
      <c r="A341" s="3">
        <v>32</v>
      </c>
      <c r="B341" s="4">
        <v>45527</v>
      </c>
      <c r="C341" s="3" t="s">
        <v>533</v>
      </c>
      <c r="D341" s="3" t="s">
        <v>909</v>
      </c>
      <c r="E341" s="3">
        <v>61000</v>
      </c>
      <c r="F341" s="3" t="s">
        <v>13</v>
      </c>
      <c r="G341" s="3">
        <v>0</v>
      </c>
      <c r="H341" s="3" t="s">
        <v>281</v>
      </c>
      <c r="I341" s="3"/>
      <c r="J341" s="3"/>
    </row>
    <row r="342" customFormat="1" spans="1:10">
      <c r="A342" s="3">
        <v>33</v>
      </c>
      <c r="B342" s="4">
        <v>45527</v>
      </c>
      <c r="C342" s="3" t="s">
        <v>533</v>
      </c>
      <c r="D342" s="3" t="s">
        <v>909</v>
      </c>
      <c r="E342" s="3">
        <v>100000</v>
      </c>
      <c r="F342" s="3" t="s">
        <v>13</v>
      </c>
      <c r="G342" s="3" t="s">
        <v>36</v>
      </c>
      <c r="H342" s="3" t="s">
        <v>281</v>
      </c>
      <c r="I342" s="3"/>
      <c r="J342" s="3"/>
    </row>
    <row r="343" customFormat="1" spans="1:10">
      <c r="A343" s="3">
        <v>34</v>
      </c>
      <c r="B343" s="4">
        <v>45527</v>
      </c>
      <c r="C343" s="3" t="s">
        <v>533</v>
      </c>
      <c r="D343" s="3" t="s">
        <v>909</v>
      </c>
      <c r="E343" s="3">
        <v>100000</v>
      </c>
      <c r="F343" s="3" t="s">
        <v>13</v>
      </c>
      <c r="G343" s="3" t="s">
        <v>36</v>
      </c>
      <c r="H343" s="3" t="s">
        <v>281</v>
      </c>
      <c r="I343" s="3"/>
      <c r="J343" s="3"/>
    </row>
    <row r="344" customFormat="1" spans="1:10">
      <c r="A344" s="3">
        <v>35</v>
      </c>
      <c r="B344" s="4">
        <v>45527</v>
      </c>
      <c r="C344" s="3" t="s">
        <v>910</v>
      </c>
      <c r="D344" s="3" t="s">
        <v>852</v>
      </c>
      <c r="E344" s="3">
        <v>25717.9</v>
      </c>
      <c r="F344" s="3" t="s">
        <v>16</v>
      </c>
      <c r="G344" s="3">
        <v>0</v>
      </c>
      <c r="H344" s="3" t="s">
        <v>530</v>
      </c>
      <c r="I344" s="3"/>
      <c r="J344" s="3"/>
    </row>
    <row r="345" customFormat="1" spans="1:10">
      <c r="A345" s="3">
        <v>36</v>
      </c>
      <c r="B345" s="4">
        <v>45527</v>
      </c>
      <c r="C345" s="3" t="s">
        <v>911</v>
      </c>
      <c r="D345" s="3" t="s">
        <v>912</v>
      </c>
      <c r="E345" s="3">
        <v>93100</v>
      </c>
      <c r="F345" s="3" t="s">
        <v>43</v>
      </c>
      <c r="G345" s="3">
        <v>0</v>
      </c>
      <c r="H345" s="3" t="s">
        <v>307</v>
      </c>
      <c r="I345" s="3"/>
      <c r="J345" s="3"/>
    </row>
    <row r="346" customFormat="1" spans="1:10">
      <c r="A346" s="3">
        <v>37</v>
      </c>
      <c r="B346" s="4">
        <v>45530</v>
      </c>
      <c r="C346" s="3" t="s">
        <v>14</v>
      </c>
      <c r="D346" s="3" t="s">
        <v>913</v>
      </c>
      <c r="E346" s="3">
        <v>80635.8</v>
      </c>
      <c r="F346" s="3" t="s">
        <v>16</v>
      </c>
      <c r="G346" s="3" t="s">
        <v>914</v>
      </c>
      <c r="H346" s="3" t="s">
        <v>534</v>
      </c>
      <c r="I346" s="3"/>
      <c r="J346" s="3"/>
    </row>
    <row r="347" customFormat="1" spans="1:10">
      <c r="A347" s="3">
        <v>38</v>
      </c>
      <c r="B347" s="4">
        <v>45530</v>
      </c>
      <c r="C347" s="3" t="s">
        <v>14</v>
      </c>
      <c r="D347" s="3" t="s">
        <v>213</v>
      </c>
      <c r="E347" s="3">
        <v>17910</v>
      </c>
      <c r="F347" s="3" t="s">
        <v>16</v>
      </c>
      <c r="G347" s="3" t="s">
        <v>914</v>
      </c>
      <c r="H347" s="3" t="s">
        <v>534</v>
      </c>
      <c r="I347" s="3"/>
      <c r="J347" s="3"/>
    </row>
    <row r="348" customFormat="1" spans="1:10">
      <c r="A348" s="3">
        <v>39</v>
      </c>
      <c r="B348" s="4">
        <v>45530</v>
      </c>
      <c r="C348" s="3" t="s">
        <v>14</v>
      </c>
      <c r="D348" s="3" t="s">
        <v>915</v>
      </c>
      <c r="E348" s="3">
        <v>122603.7</v>
      </c>
      <c r="F348" s="3" t="s">
        <v>16</v>
      </c>
      <c r="G348" s="3" t="s">
        <v>914</v>
      </c>
      <c r="H348" s="3" t="s">
        <v>534</v>
      </c>
      <c r="I348" s="3"/>
      <c r="J348" s="3"/>
    </row>
    <row r="349" customFormat="1" spans="1:10">
      <c r="A349" s="3">
        <v>40</v>
      </c>
      <c r="B349" s="4">
        <v>45530</v>
      </c>
      <c r="C349" s="3" t="s">
        <v>14</v>
      </c>
      <c r="D349" s="3" t="s">
        <v>916</v>
      </c>
      <c r="E349" s="3">
        <v>1080000</v>
      </c>
      <c r="F349" s="3" t="s">
        <v>16</v>
      </c>
      <c r="G349" s="3" t="s">
        <v>914</v>
      </c>
      <c r="H349" s="3" t="s">
        <v>534</v>
      </c>
      <c r="I349" s="3"/>
      <c r="J349" s="3"/>
    </row>
    <row r="350" customFormat="1" spans="1:10">
      <c r="A350" s="3">
        <v>41</v>
      </c>
      <c r="B350" s="4">
        <v>45530</v>
      </c>
      <c r="C350" s="3" t="s">
        <v>14</v>
      </c>
      <c r="D350" s="3" t="s">
        <v>917</v>
      </c>
      <c r="E350" s="3">
        <v>101394.6</v>
      </c>
      <c r="F350" s="3" t="s">
        <v>16</v>
      </c>
      <c r="G350" s="3" t="s">
        <v>914</v>
      </c>
      <c r="H350" s="3" t="s">
        <v>534</v>
      </c>
      <c r="I350" s="3"/>
      <c r="J350" s="3"/>
    </row>
    <row r="351" customFormat="1" spans="1:10">
      <c r="A351" s="3">
        <v>42</v>
      </c>
      <c r="B351" s="4">
        <v>45530</v>
      </c>
      <c r="C351" s="3" t="s">
        <v>14</v>
      </c>
      <c r="D351" s="3" t="s">
        <v>856</v>
      </c>
      <c r="E351" s="3">
        <v>167049.6</v>
      </c>
      <c r="F351" s="3" t="s">
        <v>16</v>
      </c>
      <c r="G351" s="3" t="s">
        <v>914</v>
      </c>
      <c r="H351" s="3" t="s">
        <v>534</v>
      </c>
      <c r="I351" s="3"/>
      <c r="J351" s="3"/>
    </row>
    <row r="352" customFormat="1" spans="1:10">
      <c r="A352" s="3">
        <v>43</v>
      </c>
      <c r="B352" s="4">
        <v>45530</v>
      </c>
      <c r="C352" s="3" t="s">
        <v>14</v>
      </c>
      <c r="D352" s="3" t="s">
        <v>907</v>
      </c>
      <c r="E352" s="3">
        <v>6748.04</v>
      </c>
      <c r="F352" s="3" t="s">
        <v>16</v>
      </c>
      <c r="G352" s="3" t="s">
        <v>914</v>
      </c>
      <c r="H352" s="3" t="s">
        <v>534</v>
      </c>
      <c r="I352" s="3"/>
      <c r="J352" s="3"/>
    </row>
    <row r="353" customFormat="1" spans="1:10">
      <c r="A353" s="3">
        <v>44</v>
      </c>
      <c r="B353" s="4">
        <v>45530</v>
      </c>
      <c r="C353" s="3" t="s">
        <v>14</v>
      </c>
      <c r="D353" s="3" t="s">
        <v>907</v>
      </c>
      <c r="E353" s="3">
        <v>1119</v>
      </c>
      <c r="F353" s="3" t="s">
        <v>16</v>
      </c>
      <c r="G353" s="3">
        <v>0</v>
      </c>
      <c r="H353" s="3" t="s">
        <v>534</v>
      </c>
      <c r="I353" s="3"/>
      <c r="J353" s="3"/>
    </row>
    <row r="354" customFormat="1" spans="1:10">
      <c r="A354" s="3">
        <v>45</v>
      </c>
      <c r="B354" s="4">
        <v>45530</v>
      </c>
      <c r="C354" s="3" t="s">
        <v>14</v>
      </c>
      <c r="D354" s="3" t="s">
        <v>907</v>
      </c>
      <c r="E354" s="3">
        <v>658.26</v>
      </c>
      <c r="F354" s="3" t="s">
        <v>16</v>
      </c>
      <c r="G354" s="3" t="s">
        <v>918</v>
      </c>
      <c r="H354" s="3" t="s">
        <v>534</v>
      </c>
      <c r="I354" s="3"/>
      <c r="J354" s="3"/>
    </row>
    <row r="355" customFormat="1" spans="1:10">
      <c r="A355" s="3">
        <v>46</v>
      </c>
      <c r="B355" s="4">
        <v>45530</v>
      </c>
      <c r="C355" s="3" t="s">
        <v>919</v>
      </c>
      <c r="D355" s="3" t="s">
        <v>920</v>
      </c>
      <c r="E355" s="3">
        <v>20000</v>
      </c>
      <c r="F355" s="3" t="s">
        <v>921</v>
      </c>
      <c r="G355" s="3" t="s">
        <v>922</v>
      </c>
      <c r="H355" s="3" t="s">
        <v>534</v>
      </c>
      <c r="I355" s="3"/>
      <c r="J355" s="3"/>
    </row>
    <row r="356" customFormat="1" spans="1:10">
      <c r="A356" s="3">
        <v>47</v>
      </c>
      <c r="B356" s="4">
        <v>45531</v>
      </c>
      <c r="C356" s="3" t="s">
        <v>560</v>
      </c>
      <c r="D356" s="3" t="s">
        <v>830</v>
      </c>
      <c r="E356" s="3">
        <v>50000</v>
      </c>
      <c r="F356" s="3" t="s">
        <v>16</v>
      </c>
      <c r="G356" s="3" t="s">
        <v>36</v>
      </c>
      <c r="H356" s="3" t="s">
        <v>540</v>
      </c>
      <c r="I356" s="3"/>
      <c r="J356" s="3"/>
    </row>
    <row r="357" customFormat="1" spans="1:10">
      <c r="A357" s="3">
        <v>48</v>
      </c>
      <c r="B357" s="4">
        <v>45531</v>
      </c>
      <c r="C357" s="3" t="s">
        <v>616</v>
      </c>
      <c r="D357" s="3" t="s">
        <v>923</v>
      </c>
      <c r="E357" s="3">
        <v>2800</v>
      </c>
      <c r="F357" s="3" t="s">
        <v>13</v>
      </c>
      <c r="G357" s="3">
        <v>0</v>
      </c>
      <c r="H357" s="3" t="s">
        <v>537</v>
      </c>
      <c r="I357" s="3"/>
      <c r="J357" s="3"/>
    </row>
    <row r="358" customFormat="1" spans="1:10">
      <c r="A358" s="3">
        <v>49</v>
      </c>
      <c r="B358" s="4">
        <v>45531</v>
      </c>
      <c r="C358" s="3" t="s">
        <v>616</v>
      </c>
      <c r="D358" s="3" t="s">
        <v>924</v>
      </c>
      <c r="E358" s="3">
        <v>26750</v>
      </c>
      <c r="F358" s="3" t="s">
        <v>13</v>
      </c>
      <c r="G358" s="3">
        <v>0</v>
      </c>
      <c r="H358" s="3" t="s">
        <v>537</v>
      </c>
      <c r="I358" s="3"/>
      <c r="J358" s="3"/>
    </row>
    <row r="359" customFormat="1" spans="1:10">
      <c r="A359" s="3">
        <v>50</v>
      </c>
      <c r="B359" s="4">
        <v>45531</v>
      </c>
      <c r="C359" s="3" t="s">
        <v>609</v>
      </c>
      <c r="D359" s="3" t="s">
        <v>925</v>
      </c>
      <c r="E359" s="3">
        <v>70532</v>
      </c>
      <c r="F359" s="3" t="s">
        <v>13</v>
      </c>
      <c r="G359" s="3">
        <v>0</v>
      </c>
      <c r="H359" s="3" t="s">
        <v>926</v>
      </c>
      <c r="I359" s="3"/>
      <c r="J359" s="3"/>
    </row>
    <row r="360" customFormat="1" spans="1:10">
      <c r="A360" s="3">
        <v>51</v>
      </c>
      <c r="B360" s="4">
        <v>45531</v>
      </c>
      <c r="C360" s="3" t="s">
        <v>927</v>
      </c>
      <c r="D360" s="3" t="s">
        <v>928</v>
      </c>
      <c r="E360" s="3">
        <v>100000</v>
      </c>
      <c r="F360" s="3" t="s">
        <v>13</v>
      </c>
      <c r="G360" s="3" t="s">
        <v>36</v>
      </c>
      <c r="H360" s="3" t="s">
        <v>926</v>
      </c>
      <c r="I360" s="3"/>
      <c r="J360" s="3"/>
    </row>
    <row r="361" s="1" customFormat="1" spans="1:10">
      <c r="A361" s="9">
        <v>52</v>
      </c>
      <c r="B361" s="10">
        <v>45531</v>
      </c>
      <c r="C361" s="9" t="s">
        <v>529</v>
      </c>
      <c r="D361" s="9" t="s">
        <v>810</v>
      </c>
      <c r="E361" s="9">
        <v>7542.27</v>
      </c>
      <c r="F361" s="9" t="s">
        <v>113</v>
      </c>
      <c r="G361" s="9">
        <v>0</v>
      </c>
      <c r="H361" s="9" t="s">
        <v>527</v>
      </c>
      <c r="I361" s="9"/>
      <c r="J361" s="9"/>
    </row>
    <row r="362" s="1" customFormat="1" spans="1:10">
      <c r="A362" s="9">
        <v>53</v>
      </c>
      <c r="B362" s="10">
        <v>45531</v>
      </c>
      <c r="C362" s="9" t="s">
        <v>529</v>
      </c>
      <c r="D362" s="9" t="s">
        <v>850</v>
      </c>
      <c r="E362" s="9">
        <v>87225.15</v>
      </c>
      <c r="F362" s="9" t="s">
        <v>113</v>
      </c>
      <c r="G362" s="9">
        <v>0</v>
      </c>
      <c r="H362" s="9" t="s">
        <v>527</v>
      </c>
      <c r="I362" s="9"/>
      <c r="J362" s="9"/>
    </row>
    <row r="363" s="1" customFormat="1" spans="1:10">
      <c r="A363" s="9">
        <v>54</v>
      </c>
      <c r="B363" s="10">
        <v>45531</v>
      </c>
      <c r="C363" s="9" t="s">
        <v>529</v>
      </c>
      <c r="D363" s="9" t="s">
        <v>929</v>
      </c>
      <c r="E363" s="9">
        <v>6331</v>
      </c>
      <c r="F363" s="9" t="s">
        <v>113</v>
      </c>
      <c r="G363" s="9" t="s">
        <v>930</v>
      </c>
      <c r="H363" s="9" t="s">
        <v>527</v>
      </c>
      <c r="I363" s="9"/>
      <c r="J363" s="9"/>
    </row>
    <row r="364" customFormat="1" spans="1:10">
      <c r="A364" s="3">
        <v>55</v>
      </c>
      <c r="B364" s="4">
        <v>45532</v>
      </c>
      <c r="C364" s="3" t="s">
        <v>931</v>
      </c>
      <c r="D364" s="3" t="s">
        <v>932</v>
      </c>
      <c r="E364" s="3">
        <v>112320</v>
      </c>
      <c r="F364" s="3" t="s">
        <v>933</v>
      </c>
      <c r="G364" s="3">
        <v>0</v>
      </c>
      <c r="H364" s="3" t="s">
        <v>530</v>
      </c>
      <c r="I364" s="3"/>
      <c r="J364" s="3"/>
    </row>
    <row r="365" customFormat="1" spans="1:10">
      <c r="A365" s="3">
        <v>56</v>
      </c>
      <c r="B365" s="4">
        <v>45532</v>
      </c>
      <c r="C365" s="3" t="s">
        <v>934</v>
      </c>
      <c r="D365" s="3" t="s">
        <v>935</v>
      </c>
      <c r="E365" s="3">
        <v>20000</v>
      </c>
      <c r="F365" s="3" t="s">
        <v>16</v>
      </c>
      <c r="G365" s="3">
        <v>0</v>
      </c>
      <c r="H365" s="3" t="s">
        <v>537</v>
      </c>
      <c r="I365" s="3"/>
      <c r="J365" s="3"/>
    </row>
    <row r="366" customFormat="1" spans="1:10">
      <c r="A366" s="3">
        <v>57</v>
      </c>
      <c r="B366" s="4">
        <v>45532</v>
      </c>
      <c r="C366" s="3" t="s">
        <v>936</v>
      </c>
      <c r="D366" s="3" t="s">
        <v>937</v>
      </c>
      <c r="E366" s="3">
        <v>20000</v>
      </c>
      <c r="F366" s="3" t="s">
        <v>13</v>
      </c>
      <c r="G366" s="3">
        <v>0</v>
      </c>
      <c r="H366" s="3" t="s">
        <v>926</v>
      </c>
      <c r="I366" s="3"/>
      <c r="J366" s="3"/>
    </row>
    <row r="367" customFormat="1" spans="1:10">
      <c r="A367" s="3">
        <v>58</v>
      </c>
      <c r="B367" s="4">
        <v>45532</v>
      </c>
      <c r="C367" s="3" t="s">
        <v>938</v>
      </c>
      <c r="D367" s="3" t="s">
        <v>939</v>
      </c>
      <c r="E367" s="3">
        <v>23200</v>
      </c>
      <c r="F367" s="3" t="s">
        <v>13</v>
      </c>
      <c r="G367" s="3">
        <v>0</v>
      </c>
      <c r="H367" s="3" t="s">
        <v>926</v>
      </c>
      <c r="I367" s="3"/>
      <c r="J367" s="3"/>
    </row>
    <row r="368" customFormat="1" spans="1:10">
      <c r="A368" s="3">
        <v>59</v>
      </c>
      <c r="B368" s="4">
        <v>45532</v>
      </c>
      <c r="C368" s="3" t="s">
        <v>274</v>
      </c>
      <c r="D368" s="3" t="s">
        <v>275</v>
      </c>
      <c r="E368" s="3">
        <v>9850</v>
      </c>
      <c r="F368" s="3" t="s">
        <v>276</v>
      </c>
      <c r="G368" s="3">
        <v>0</v>
      </c>
      <c r="H368" s="3" t="s">
        <v>537</v>
      </c>
      <c r="I368" s="3"/>
      <c r="J368" s="3"/>
    </row>
    <row r="369" customFormat="1" spans="1:10">
      <c r="A369" s="3">
        <v>60</v>
      </c>
      <c r="B369" s="4">
        <v>45532</v>
      </c>
      <c r="C369" s="3" t="s">
        <v>14</v>
      </c>
      <c r="D369" s="3" t="s">
        <v>907</v>
      </c>
      <c r="E369" s="3">
        <v>110000</v>
      </c>
      <c r="F369" s="3" t="s">
        <v>940</v>
      </c>
      <c r="G369" s="3">
        <v>0</v>
      </c>
      <c r="H369" s="3" t="s">
        <v>534</v>
      </c>
      <c r="I369" s="3"/>
      <c r="J369" s="3"/>
    </row>
    <row r="370" customFormat="1" spans="1:10">
      <c r="A370" s="3">
        <v>61</v>
      </c>
      <c r="B370" s="4">
        <v>45532</v>
      </c>
      <c r="C370" s="3" t="s">
        <v>14</v>
      </c>
      <c r="D370" s="3" t="s">
        <v>148</v>
      </c>
      <c r="E370" s="3">
        <v>460000</v>
      </c>
      <c r="F370" s="3" t="s">
        <v>940</v>
      </c>
      <c r="G370" s="3">
        <v>0</v>
      </c>
      <c r="H370" s="3" t="s">
        <v>534</v>
      </c>
      <c r="I370" s="3"/>
      <c r="J370" s="3"/>
    </row>
    <row r="371" customFormat="1" spans="1:10">
      <c r="A371" s="3">
        <v>62</v>
      </c>
      <c r="B371" s="4">
        <v>45533</v>
      </c>
      <c r="C371" s="3" t="s">
        <v>53</v>
      </c>
      <c r="D371" s="3" t="s">
        <v>941</v>
      </c>
      <c r="E371" s="3">
        <v>59400</v>
      </c>
      <c r="F371" s="3" t="s">
        <v>13</v>
      </c>
      <c r="G371" s="3" t="s">
        <v>942</v>
      </c>
      <c r="H371" s="3" t="s">
        <v>943</v>
      </c>
      <c r="I371" s="3"/>
      <c r="J371" s="3"/>
    </row>
    <row r="372" customFormat="1" spans="1:10">
      <c r="A372" s="3">
        <v>63</v>
      </c>
      <c r="B372" s="4">
        <v>45533</v>
      </c>
      <c r="C372" s="3" t="s">
        <v>602</v>
      </c>
      <c r="D372" s="3" t="s">
        <v>944</v>
      </c>
      <c r="E372" s="3">
        <v>30000</v>
      </c>
      <c r="F372" s="3" t="s">
        <v>13</v>
      </c>
      <c r="G372" s="3">
        <v>0</v>
      </c>
      <c r="H372" s="3" t="s">
        <v>291</v>
      </c>
      <c r="I372" s="3"/>
      <c r="J372" s="3"/>
    </row>
    <row r="373" customFormat="1" spans="1:10">
      <c r="A373" s="3">
        <v>64</v>
      </c>
      <c r="B373" s="4">
        <v>45533</v>
      </c>
      <c r="C373" s="3" t="s">
        <v>945</v>
      </c>
      <c r="D373" s="3" t="s">
        <v>946</v>
      </c>
      <c r="E373" s="3">
        <v>191059.5</v>
      </c>
      <c r="F373" s="3" t="s">
        <v>13</v>
      </c>
      <c r="G373" s="3" t="s">
        <v>36</v>
      </c>
      <c r="H373" s="3" t="s">
        <v>307</v>
      </c>
      <c r="I373" s="3"/>
      <c r="J373" s="3"/>
    </row>
    <row r="374" customFormat="1" spans="1:10">
      <c r="A374" s="3">
        <v>65</v>
      </c>
      <c r="B374" s="4">
        <v>45533</v>
      </c>
      <c r="C374" s="3" t="s">
        <v>607</v>
      </c>
      <c r="D374" s="3" t="s">
        <v>947</v>
      </c>
      <c r="E374" s="3">
        <v>79000</v>
      </c>
      <c r="F374" s="3" t="s">
        <v>16</v>
      </c>
      <c r="G374" s="3" t="s">
        <v>36</v>
      </c>
      <c r="H374" s="3" t="s">
        <v>943</v>
      </c>
      <c r="I374" s="3"/>
      <c r="J374" s="3"/>
    </row>
    <row r="375" customFormat="1" spans="1:10">
      <c r="A375" s="3">
        <v>66</v>
      </c>
      <c r="B375" s="4">
        <v>45534</v>
      </c>
      <c r="C375" s="3" t="s">
        <v>948</v>
      </c>
      <c r="D375" s="3">
        <v>0</v>
      </c>
      <c r="E375" s="3">
        <v>7000</v>
      </c>
      <c r="F375" s="3" t="s">
        <v>13</v>
      </c>
      <c r="G375" s="3" t="s">
        <v>949</v>
      </c>
      <c r="H375" s="3" t="s">
        <v>285</v>
      </c>
      <c r="I375" s="3"/>
      <c r="J375" s="3"/>
    </row>
    <row r="376" customFormat="1" spans="1:10">
      <c r="A376" s="3">
        <v>67</v>
      </c>
      <c r="B376" s="4">
        <v>45534</v>
      </c>
      <c r="C376" s="3" t="s">
        <v>881</v>
      </c>
      <c r="D376" s="3" t="s">
        <v>655</v>
      </c>
      <c r="E376" s="3">
        <v>92</v>
      </c>
      <c r="F376" s="3" t="s">
        <v>797</v>
      </c>
      <c r="G376" s="3" t="s">
        <v>728</v>
      </c>
      <c r="H376" s="3" t="s">
        <v>285</v>
      </c>
      <c r="I376" s="3"/>
      <c r="J376" s="3"/>
    </row>
    <row r="377" customFormat="1" spans="1:10">
      <c r="A377" s="3">
        <v>68</v>
      </c>
      <c r="B377" s="4">
        <v>45535</v>
      </c>
      <c r="C377" s="3" t="s">
        <v>548</v>
      </c>
      <c r="D377" s="3" t="s">
        <v>871</v>
      </c>
      <c r="E377" s="3">
        <v>10000</v>
      </c>
      <c r="F377" s="3" t="s">
        <v>16</v>
      </c>
      <c r="G377" s="3" t="s">
        <v>950</v>
      </c>
      <c r="H377" s="3" t="s">
        <v>530</v>
      </c>
      <c r="I377" s="3"/>
      <c r="J377" s="3"/>
    </row>
    <row r="378" customFormat="1" spans="1:10">
      <c r="A378" s="3">
        <v>1</v>
      </c>
      <c r="B378" s="4">
        <v>45537</v>
      </c>
      <c r="C378" s="3" t="s">
        <v>536</v>
      </c>
      <c r="D378" s="3" t="s">
        <v>771</v>
      </c>
      <c r="E378" s="3">
        <v>100000</v>
      </c>
      <c r="F378" s="3" t="s">
        <v>13</v>
      </c>
      <c r="G378" s="3" t="s">
        <v>942</v>
      </c>
      <c r="H378" s="3" t="s">
        <v>281</v>
      </c>
      <c r="I378" s="3"/>
      <c r="J378" s="3"/>
    </row>
    <row r="379" customFormat="1" spans="1:10">
      <c r="A379" s="3">
        <v>2</v>
      </c>
      <c r="B379" s="4">
        <v>45538</v>
      </c>
      <c r="C379" s="3" t="s">
        <v>951</v>
      </c>
      <c r="D379" s="3" t="s">
        <v>920</v>
      </c>
      <c r="E379" s="3">
        <v>20000</v>
      </c>
      <c r="F379" s="3" t="s">
        <v>921</v>
      </c>
      <c r="G379" s="3">
        <v>0</v>
      </c>
      <c r="H379" s="3" t="s">
        <v>534</v>
      </c>
      <c r="I379" s="3"/>
      <c r="J379" s="3"/>
    </row>
    <row r="380" customFormat="1" spans="1:10">
      <c r="A380" s="3">
        <v>3</v>
      </c>
      <c r="B380" s="4">
        <v>45539</v>
      </c>
      <c r="C380" s="3" t="s">
        <v>107</v>
      </c>
      <c r="D380" s="3" t="s">
        <v>952</v>
      </c>
      <c r="E380" s="3">
        <v>565000</v>
      </c>
      <c r="F380" s="3" t="s">
        <v>13</v>
      </c>
      <c r="G380" s="3">
        <v>0</v>
      </c>
      <c r="H380" s="3" t="s">
        <v>281</v>
      </c>
      <c r="I380" s="3"/>
      <c r="J380" s="3"/>
    </row>
    <row r="381" customFormat="1" spans="1:10">
      <c r="A381" s="3">
        <v>4</v>
      </c>
      <c r="B381" s="4">
        <v>45539</v>
      </c>
      <c r="C381" s="3" t="s">
        <v>953</v>
      </c>
      <c r="D381" s="3" t="s">
        <v>954</v>
      </c>
      <c r="E381" s="3">
        <v>4000</v>
      </c>
      <c r="F381" s="3" t="s">
        <v>16</v>
      </c>
      <c r="G381" s="3">
        <v>0</v>
      </c>
      <c r="H381" s="3" t="s">
        <v>285</v>
      </c>
      <c r="I381" s="3"/>
      <c r="J381" s="3"/>
    </row>
    <row r="382" customFormat="1" spans="1:10">
      <c r="A382" s="3">
        <v>5</v>
      </c>
      <c r="B382" s="4">
        <v>45540</v>
      </c>
      <c r="C382" s="3" t="s">
        <v>955</v>
      </c>
      <c r="D382" s="3" t="s">
        <v>956</v>
      </c>
      <c r="E382" s="3">
        <v>20000</v>
      </c>
      <c r="F382" s="3" t="s">
        <v>20</v>
      </c>
      <c r="G382" s="3">
        <v>0</v>
      </c>
      <c r="H382" s="3" t="s">
        <v>285</v>
      </c>
      <c r="I382" s="3"/>
      <c r="J382" s="3"/>
    </row>
    <row r="383" customFormat="1" spans="1:10">
      <c r="A383" s="3">
        <v>6</v>
      </c>
      <c r="B383" s="4">
        <v>45540</v>
      </c>
      <c r="C383" s="3" t="s">
        <v>780</v>
      </c>
      <c r="D383" s="3" t="s">
        <v>781</v>
      </c>
      <c r="E383" s="3">
        <v>7000</v>
      </c>
      <c r="F383" s="3" t="s">
        <v>957</v>
      </c>
      <c r="G383" s="3" t="s">
        <v>36</v>
      </c>
      <c r="H383" s="3" t="s">
        <v>527</v>
      </c>
      <c r="I383" s="3"/>
      <c r="J383" s="3"/>
    </row>
    <row r="384" customFormat="1" spans="1:10">
      <c r="A384" s="3">
        <v>7</v>
      </c>
      <c r="B384" s="4">
        <v>45544</v>
      </c>
      <c r="C384" s="3" t="s">
        <v>649</v>
      </c>
      <c r="D384" s="3" t="s">
        <v>701</v>
      </c>
      <c r="E384" s="3">
        <v>45677.1</v>
      </c>
      <c r="F384" s="3" t="s">
        <v>13</v>
      </c>
      <c r="G384" s="3" t="s">
        <v>958</v>
      </c>
      <c r="H384" s="3" t="s">
        <v>530</v>
      </c>
      <c r="I384" s="3"/>
      <c r="J384" s="3"/>
    </row>
    <row r="385" customFormat="1" spans="1:10">
      <c r="A385" s="3">
        <v>8</v>
      </c>
      <c r="B385" s="4">
        <v>45545</v>
      </c>
      <c r="C385" s="3" t="s">
        <v>649</v>
      </c>
      <c r="D385" s="3" t="s">
        <v>701</v>
      </c>
      <c r="E385" s="3">
        <v>46.2</v>
      </c>
      <c r="F385" s="3" t="s">
        <v>13</v>
      </c>
      <c r="G385" s="3">
        <v>0</v>
      </c>
      <c r="H385" s="3" t="s">
        <v>530</v>
      </c>
      <c r="I385" s="3"/>
      <c r="J385" s="3"/>
    </row>
    <row r="386" customFormat="1" spans="1:10">
      <c r="A386" s="3">
        <v>9</v>
      </c>
      <c r="B386" s="4">
        <v>45547</v>
      </c>
      <c r="C386" s="3" t="s">
        <v>959</v>
      </c>
      <c r="D386" s="3" t="s">
        <v>960</v>
      </c>
      <c r="E386" s="3">
        <v>5000</v>
      </c>
      <c r="F386" s="3" t="s">
        <v>463</v>
      </c>
      <c r="G386" s="3">
        <v>0</v>
      </c>
      <c r="H386" s="3" t="s">
        <v>534</v>
      </c>
      <c r="I386" s="3"/>
      <c r="J386" s="3"/>
    </row>
    <row r="387" customFormat="1" spans="1:10">
      <c r="A387" s="3">
        <v>10</v>
      </c>
      <c r="B387" s="4">
        <v>45548</v>
      </c>
      <c r="C387" s="3" t="s">
        <v>715</v>
      </c>
      <c r="D387" s="3" t="s">
        <v>716</v>
      </c>
      <c r="E387" s="3">
        <v>30000</v>
      </c>
      <c r="F387" s="3" t="s">
        <v>13</v>
      </c>
      <c r="G387" s="3" t="s">
        <v>961</v>
      </c>
      <c r="H387" s="3" t="s">
        <v>527</v>
      </c>
      <c r="I387" s="3"/>
      <c r="J387" s="3"/>
    </row>
    <row r="388" customFormat="1" spans="1:10">
      <c r="A388" s="3">
        <v>11</v>
      </c>
      <c r="B388" s="4">
        <v>45548</v>
      </c>
      <c r="C388" s="3" t="s">
        <v>632</v>
      </c>
      <c r="D388" s="3" t="s">
        <v>962</v>
      </c>
      <c r="E388" s="3">
        <v>50000</v>
      </c>
      <c r="F388" s="3" t="s">
        <v>13</v>
      </c>
      <c r="G388" s="3">
        <v>0</v>
      </c>
      <c r="H388" s="3" t="s">
        <v>926</v>
      </c>
      <c r="I388" s="3"/>
      <c r="J388" s="3"/>
    </row>
    <row r="389" customFormat="1" spans="1:10">
      <c r="A389" s="3">
        <v>12</v>
      </c>
      <c r="B389" s="4">
        <v>45553</v>
      </c>
      <c r="C389" s="3" t="s">
        <v>963</v>
      </c>
      <c r="D389" s="3" t="s">
        <v>964</v>
      </c>
      <c r="E389" s="3">
        <v>354000</v>
      </c>
      <c r="F389" s="3" t="s">
        <v>16</v>
      </c>
      <c r="G389" s="3" t="s">
        <v>36</v>
      </c>
      <c r="H389" s="3" t="s">
        <v>943</v>
      </c>
      <c r="I389" s="3"/>
      <c r="J389" s="3"/>
    </row>
    <row r="390" customFormat="1" spans="1:10">
      <c r="A390" s="3">
        <v>13</v>
      </c>
      <c r="B390" s="4">
        <v>45553</v>
      </c>
      <c r="C390" s="3" t="s">
        <v>965</v>
      </c>
      <c r="D390" s="3" t="s">
        <v>966</v>
      </c>
      <c r="E390" s="3">
        <v>429400</v>
      </c>
      <c r="F390" s="3" t="s">
        <v>13</v>
      </c>
      <c r="G390" s="3">
        <v>0</v>
      </c>
      <c r="H390" s="3" t="s">
        <v>281</v>
      </c>
      <c r="I390" s="3"/>
      <c r="J390" s="3"/>
    </row>
    <row r="391" customFormat="1" spans="1:10">
      <c r="A391" s="3">
        <v>14</v>
      </c>
      <c r="B391" s="4">
        <v>45553</v>
      </c>
      <c r="C391" s="3" t="s">
        <v>967</v>
      </c>
      <c r="D391" s="3" t="s">
        <v>968</v>
      </c>
      <c r="E391" s="3">
        <v>1869</v>
      </c>
      <c r="F391" s="3" t="s">
        <v>13</v>
      </c>
      <c r="G391" s="3">
        <v>0</v>
      </c>
      <c r="H391" s="3" t="s">
        <v>969</v>
      </c>
      <c r="I391" s="3"/>
      <c r="J391" s="3"/>
    </row>
    <row r="392" customFormat="1" spans="1:10">
      <c r="A392" s="3">
        <v>15</v>
      </c>
      <c r="B392" s="4">
        <v>45554</v>
      </c>
      <c r="C392" s="3" t="s">
        <v>970</v>
      </c>
      <c r="D392" s="3" t="s">
        <v>971</v>
      </c>
      <c r="E392" s="3">
        <v>18000</v>
      </c>
      <c r="F392" s="3" t="s">
        <v>13</v>
      </c>
      <c r="G392" s="3" t="s">
        <v>36</v>
      </c>
      <c r="H392" s="3" t="s">
        <v>537</v>
      </c>
      <c r="I392" s="3"/>
      <c r="J392" s="3"/>
    </row>
    <row r="393" customFormat="1" spans="1:10">
      <c r="A393" s="3">
        <v>16</v>
      </c>
      <c r="B393" s="4">
        <v>45554</v>
      </c>
      <c r="C393" s="3" t="s">
        <v>972</v>
      </c>
      <c r="D393" s="3" t="s">
        <v>973</v>
      </c>
      <c r="E393" s="3">
        <v>16000</v>
      </c>
      <c r="F393" s="3" t="s">
        <v>13</v>
      </c>
      <c r="G393" s="3" t="s">
        <v>36</v>
      </c>
      <c r="H393" s="3" t="s">
        <v>530</v>
      </c>
      <c r="I393" s="3"/>
      <c r="J393" s="3"/>
    </row>
    <row r="394" customFormat="1" spans="1:10">
      <c r="A394" s="3">
        <v>17</v>
      </c>
      <c r="B394" s="4">
        <v>45555</v>
      </c>
      <c r="C394" s="3" t="s">
        <v>974</v>
      </c>
      <c r="D394" s="3" t="s">
        <v>975</v>
      </c>
      <c r="E394" s="3">
        <v>500</v>
      </c>
      <c r="F394" s="3" t="s">
        <v>16</v>
      </c>
      <c r="G394" s="3">
        <v>0</v>
      </c>
      <c r="H394" s="3" t="s">
        <v>285</v>
      </c>
      <c r="I394" s="3"/>
      <c r="J394" s="3"/>
    </row>
    <row r="395" customFormat="1" spans="1:10">
      <c r="A395" s="3">
        <v>18</v>
      </c>
      <c r="B395" s="4">
        <v>45555</v>
      </c>
      <c r="C395" s="3" t="s">
        <v>974</v>
      </c>
      <c r="D395" s="3" t="s">
        <v>975</v>
      </c>
      <c r="E395" s="3">
        <v>15000</v>
      </c>
      <c r="F395" s="3" t="s">
        <v>16</v>
      </c>
      <c r="G395" s="3" t="s">
        <v>36</v>
      </c>
      <c r="H395" s="3" t="s">
        <v>285</v>
      </c>
      <c r="I395" s="3"/>
      <c r="J395" s="3"/>
    </row>
    <row r="396" customFormat="1" spans="1:10">
      <c r="A396" s="3">
        <v>19</v>
      </c>
      <c r="B396" s="4">
        <v>45555</v>
      </c>
      <c r="C396" s="3" t="s">
        <v>974</v>
      </c>
      <c r="D396" s="3" t="s">
        <v>976</v>
      </c>
      <c r="E396" s="3">
        <v>15000</v>
      </c>
      <c r="F396" s="3" t="s">
        <v>16</v>
      </c>
      <c r="G396" s="3" t="s">
        <v>36</v>
      </c>
      <c r="H396" s="3" t="s">
        <v>285</v>
      </c>
      <c r="I396" s="3"/>
      <c r="J396" s="3"/>
    </row>
    <row r="397" customFormat="1" spans="1:10">
      <c r="A397" s="3">
        <v>20</v>
      </c>
      <c r="B397" s="4">
        <v>45555</v>
      </c>
      <c r="C397" s="3" t="s">
        <v>977</v>
      </c>
      <c r="D397" s="3" t="s">
        <v>978</v>
      </c>
      <c r="E397" s="3">
        <v>50000</v>
      </c>
      <c r="F397" s="3" t="s">
        <v>13</v>
      </c>
      <c r="G397" s="3">
        <v>0</v>
      </c>
      <c r="H397" s="3" t="s">
        <v>537</v>
      </c>
      <c r="I397" s="3"/>
      <c r="J397" s="3"/>
    </row>
    <row r="398" customFormat="1" spans="1:10">
      <c r="A398" s="3">
        <v>21</v>
      </c>
      <c r="B398" s="4">
        <v>45558</v>
      </c>
      <c r="C398" s="3" t="s">
        <v>979</v>
      </c>
      <c r="D398" s="3" t="s">
        <v>980</v>
      </c>
      <c r="E398" s="3">
        <v>60000</v>
      </c>
      <c r="F398" s="3" t="s">
        <v>957</v>
      </c>
      <c r="G398" s="3">
        <v>0</v>
      </c>
      <c r="H398" s="3" t="s">
        <v>943</v>
      </c>
      <c r="I398" s="3"/>
      <c r="J398" s="3"/>
    </row>
    <row r="399" customFormat="1" spans="1:10">
      <c r="A399" s="3">
        <v>22</v>
      </c>
      <c r="B399" s="4">
        <v>45559</v>
      </c>
      <c r="C399" s="3" t="s">
        <v>365</v>
      </c>
      <c r="D399" s="3" t="s">
        <v>981</v>
      </c>
      <c r="E399" s="3">
        <v>31922.5</v>
      </c>
      <c r="F399" s="3" t="s">
        <v>16</v>
      </c>
      <c r="G399" s="3" t="s">
        <v>721</v>
      </c>
      <c r="H399" s="3" t="s">
        <v>530</v>
      </c>
      <c r="I399" s="3"/>
      <c r="J399" s="3"/>
    </row>
    <row r="400" customFormat="1" spans="1:10">
      <c r="A400" s="3">
        <v>23</v>
      </c>
      <c r="B400" s="4">
        <v>45559</v>
      </c>
      <c r="C400" s="3" t="s">
        <v>982</v>
      </c>
      <c r="D400" s="3" t="s">
        <v>983</v>
      </c>
      <c r="E400" s="3">
        <v>10000</v>
      </c>
      <c r="F400" s="3" t="s">
        <v>16</v>
      </c>
      <c r="G400" s="3">
        <v>0</v>
      </c>
      <c r="H400" s="3" t="s">
        <v>293</v>
      </c>
      <c r="I400" s="3"/>
      <c r="J400" s="3"/>
    </row>
    <row r="401" customFormat="1" spans="1:10">
      <c r="A401" s="3">
        <v>24</v>
      </c>
      <c r="B401" s="4">
        <v>45559</v>
      </c>
      <c r="C401" s="3" t="s">
        <v>984</v>
      </c>
      <c r="D401" s="3" t="s">
        <v>985</v>
      </c>
      <c r="E401" s="3">
        <v>15800</v>
      </c>
      <c r="F401" s="3" t="s">
        <v>986</v>
      </c>
      <c r="G401" s="3" t="s">
        <v>721</v>
      </c>
      <c r="H401" s="3" t="s">
        <v>530</v>
      </c>
      <c r="I401" s="3"/>
      <c r="J401" s="3"/>
    </row>
    <row r="402" customFormat="1" spans="1:10">
      <c r="A402" s="3">
        <v>25</v>
      </c>
      <c r="B402" s="4">
        <v>45560</v>
      </c>
      <c r="C402" s="3" t="s">
        <v>533</v>
      </c>
      <c r="D402" s="3" t="s">
        <v>909</v>
      </c>
      <c r="E402" s="3">
        <v>100000</v>
      </c>
      <c r="F402" s="3" t="s">
        <v>13</v>
      </c>
      <c r="G402" s="3" t="s">
        <v>36</v>
      </c>
      <c r="H402" s="3" t="s">
        <v>281</v>
      </c>
      <c r="I402" s="3"/>
      <c r="J402" s="3"/>
    </row>
    <row r="403" customFormat="1" spans="1:10">
      <c r="A403" s="3">
        <v>26</v>
      </c>
      <c r="B403" s="4">
        <v>45560</v>
      </c>
      <c r="C403" s="3" t="s">
        <v>533</v>
      </c>
      <c r="D403" s="3" t="s">
        <v>909</v>
      </c>
      <c r="E403" s="3">
        <v>2000</v>
      </c>
      <c r="F403" s="3" t="s">
        <v>13</v>
      </c>
      <c r="G403" s="3">
        <v>0</v>
      </c>
      <c r="H403" s="3" t="s">
        <v>281</v>
      </c>
      <c r="I403" s="3"/>
      <c r="J403" s="3"/>
    </row>
    <row r="404" customFormat="1" spans="1:10">
      <c r="A404" s="3">
        <v>27</v>
      </c>
      <c r="B404" s="4">
        <v>45560</v>
      </c>
      <c r="C404" s="3" t="s">
        <v>987</v>
      </c>
      <c r="D404" s="3" t="s">
        <v>988</v>
      </c>
      <c r="E404" s="3">
        <v>24992.05</v>
      </c>
      <c r="F404" s="3" t="s">
        <v>13</v>
      </c>
      <c r="G404" s="3">
        <v>0</v>
      </c>
      <c r="H404" s="3" t="s">
        <v>989</v>
      </c>
      <c r="I404" s="3"/>
      <c r="J404" s="3"/>
    </row>
    <row r="405" customFormat="1" spans="1:10">
      <c r="A405" s="3">
        <v>28</v>
      </c>
      <c r="B405" s="4">
        <v>45560</v>
      </c>
      <c r="C405" s="3" t="s">
        <v>990</v>
      </c>
      <c r="D405" s="3" t="s">
        <v>991</v>
      </c>
      <c r="E405" s="3">
        <v>46560</v>
      </c>
      <c r="F405" s="3" t="s">
        <v>13</v>
      </c>
      <c r="G405" s="3">
        <v>0</v>
      </c>
      <c r="H405" s="3" t="s">
        <v>535</v>
      </c>
      <c r="I405" s="3"/>
      <c r="J405" s="3"/>
    </row>
    <row r="406" customFormat="1" spans="1:10">
      <c r="A406" s="3">
        <v>29</v>
      </c>
      <c r="B406" s="4">
        <v>45560</v>
      </c>
      <c r="C406" s="3" t="s">
        <v>990</v>
      </c>
      <c r="D406" s="3" t="s">
        <v>992</v>
      </c>
      <c r="E406" s="3">
        <v>6305</v>
      </c>
      <c r="F406" s="3" t="s">
        <v>13</v>
      </c>
      <c r="G406" s="3">
        <v>0</v>
      </c>
      <c r="H406" s="3" t="s">
        <v>535</v>
      </c>
      <c r="I406" s="3"/>
      <c r="J406" s="3"/>
    </row>
    <row r="407" customFormat="1" spans="1:10">
      <c r="A407" s="3">
        <v>30</v>
      </c>
      <c r="B407" s="4">
        <v>45560</v>
      </c>
      <c r="C407" s="3" t="s">
        <v>993</v>
      </c>
      <c r="D407" s="3" t="s">
        <v>994</v>
      </c>
      <c r="E407" s="3">
        <v>11167.73</v>
      </c>
      <c r="F407" s="3" t="s">
        <v>16</v>
      </c>
      <c r="G407" s="3" t="s">
        <v>36</v>
      </c>
      <c r="H407" s="3" t="s">
        <v>537</v>
      </c>
      <c r="I407" s="3"/>
      <c r="J407" s="3"/>
    </row>
    <row r="408" customFormat="1" spans="1:10">
      <c r="A408" s="3">
        <v>31</v>
      </c>
      <c r="B408" s="4">
        <v>45560</v>
      </c>
      <c r="C408" s="3" t="s">
        <v>993</v>
      </c>
      <c r="D408" s="3" t="s">
        <v>995</v>
      </c>
      <c r="E408" s="3">
        <v>38832.27</v>
      </c>
      <c r="F408" s="3" t="s">
        <v>16</v>
      </c>
      <c r="G408" s="3" t="s">
        <v>36</v>
      </c>
      <c r="H408" s="3" t="s">
        <v>537</v>
      </c>
      <c r="I408" s="3"/>
      <c r="J408" s="3"/>
    </row>
    <row r="409" customFormat="1" spans="1:10">
      <c r="A409" s="3">
        <v>32</v>
      </c>
      <c r="B409" s="4">
        <v>45560</v>
      </c>
      <c r="C409" s="3" t="s">
        <v>555</v>
      </c>
      <c r="D409" s="3" t="s">
        <v>854</v>
      </c>
      <c r="E409" s="3">
        <v>10000</v>
      </c>
      <c r="F409" s="3" t="s">
        <v>276</v>
      </c>
      <c r="G409" s="3">
        <v>0</v>
      </c>
      <c r="H409" s="3" t="s">
        <v>537</v>
      </c>
      <c r="I409" s="3"/>
      <c r="J409" s="3"/>
    </row>
    <row r="410" customFormat="1" spans="1:10">
      <c r="A410" s="3">
        <v>33</v>
      </c>
      <c r="B410" s="4">
        <v>45561</v>
      </c>
      <c r="C410" s="3" t="s">
        <v>603</v>
      </c>
      <c r="D410" s="3" t="s">
        <v>996</v>
      </c>
      <c r="E410" s="3">
        <v>2500</v>
      </c>
      <c r="F410" s="3" t="s">
        <v>13</v>
      </c>
      <c r="G410" s="3">
        <v>0</v>
      </c>
      <c r="H410" s="3" t="s">
        <v>989</v>
      </c>
      <c r="I410" s="3"/>
      <c r="J410" s="3"/>
    </row>
    <row r="411" customFormat="1" spans="1:10">
      <c r="A411" s="3">
        <v>34</v>
      </c>
      <c r="B411" s="4">
        <v>45561</v>
      </c>
      <c r="C411" s="3" t="s">
        <v>603</v>
      </c>
      <c r="D411" s="3" t="s">
        <v>996</v>
      </c>
      <c r="E411" s="3">
        <v>375559.75</v>
      </c>
      <c r="F411" s="3" t="s">
        <v>13</v>
      </c>
      <c r="G411" s="3">
        <v>0</v>
      </c>
      <c r="H411" s="3" t="s">
        <v>989</v>
      </c>
      <c r="I411" s="3"/>
      <c r="J411" s="3"/>
    </row>
    <row r="412" customFormat="1" spans="1:10">
      <c r="A412" s="3">
        <v>35</v>
      </c>
      <c r="B412" s="4">
        <v>45561</v>
      </c>
      <c r="C412" s="3" t="s">
        <v>115</v>
      </c>
      <c r="D412" s="3" t="s">
        <v>997</v>
      </c>
      <c r="E412" s="3">
        <v>30000</v>
      </c>
      <c r="F412" s="3" t="s">
        <v>13</v>
      </c>
      <c r="G412" s="3" t="s">
        <v>36</v>
      </c>
      <c r="H412" s="3" t="s">
        <v>943</v>
      </c>
      <c r="I412" s="3"/>
      <c r="J412" s="3"/>
    </row>
    <row r="413" customFormat="1" spans="1:10">
      <c r="A413" s="3">
        <v>36</v>
      </c>
      <c r="B413" s="4">
        <v>45561</v>
      </c>
      <c r="C413" s="3" t="s">
        <v>998</v>
      </c>
      <c r="D413" s="3" t="s">
        <v>999</v>
      </c>
      <c r="E413" s="3">
        <v>767.95</v>
      </c>
      <c r="F413" s="3" t="s">
        <v>13</v>
      </c>
      <c r="G413" s="3">
        <v>0</v>
      </c>
      <c r="H413" s="3" t="s">
        <v>285</v>
      </c>
      <c r="I413" s="3"/>
      <c r="J413" s="3"/>
    </row>
    <row r="414" customFormat="1" spans="1:10">
      <c r="A414" s="3">
        <v>38</v>
      </c>
      <c r="B414" s="4">
        <v>45562</v>
      </c>
      <c r="C414" s="3" t="s">
        <v>998</v>
      </c>
      <c r="D414" s="3" t="s">
        <v>1000</v>
      </c>
      <c r="E414" s="3">
        <v>9780</v>
      </c>
      <c r="F414" s="3" t="s">
        <v>13</v>
      </c>
      <c r="G414" s="3" t="s">
        <v>942</v>
      </c>
      <c r="H414" s="3" t="s">
        <v>285</v>
      </c>
      <c r="I414" s="3"/>
      <c r="J414" s="3"/>
    </row>
    <row r="415" customFormat="1" spans="1:10">
      <c r="A415" s="3">
        <v>39</v>
      </c>
      <c r="B415" s="4">
        <v>45562</v>
      </c>
      <c r="C415" s="3" t="s">
        <v>998</v>
      </c>
      <c r="D415" s="3" t="s">
        <v>1001</v>
      </c>
      <c r="E415" s="3">
        <v>21000</v>
      </c>
      <c r="F415" s="3" t="s">
        <v>13</v>
      </c>
      <c r="G415" s="3" t="s">
        <v>942</v>
      </c>
      <c r="H415" s="3" t="s">
        <v>285</v>
      </c>
      <c r="I415" s="3"/>
      <c r="J415" s="3"/>
    </row>
    <row r="416" customFormat="1" spans="1:10">
      <c r="A416" s="3">
        <v>40</v>
      </c>
      <c r="B416" s="4">
        <v>45562</v>
      </c>
      <c r="C416" s="3" t="s">
        <v>998</v>
      </c>
      <c r="D416" s="3" t="s">
        <v>999</v>
      </c>
      <c r="E416" s="3">
        <v>33052.05</v>
      </c>
      <c r="F416" s="3" t="s">
        <v>13</v>
      </c>
      <c r="G416" s="3" t="s">
        <v>942</v>
      </c>
      <c r="H416" s="3" t="s">
        <v>285</v>
      </c>
      <c r="I416" s="3"/>
      <c r="J416" s="3"/>
    </row>
    <row r="417" customFormat="1" spans="1:10">
      <c r="A417" s="3">
        <v>38</v>
      </c>
      <c r="B417" s="4">
        <v>45562</v>
      </c>
      <c r="C417" s="3" t="s">
        <v>1002</v>
      </c>
      <c r="D417" s="3" t="s">
        <v>1003</v>
      </c>
      <c r="E417" s="3">
        <v>20000</v>
      </c>
      <c r="F417" s="3" t="s">
        <v>16</v>
      </c>
      <c r="G417" s="3" t="s">
        <v>36</v>
      </c>
      <c r="H417" s="3" t="s">
        <v>537</v>
      </c>
      <c r="I417" s="3"/>
      <c r="J417" s="3"/>
    </row>
    <row r="418" customFormat="1" spans="1:10">
      <c r="A418" s="3">
        <v>39</v>
      </c>
      <c r="B418" s="4">
        <v>45562</v>
      </c>
      <c r="C418" s="3" t="s">
        <v>14</v>
      </c>
      <c r="D418" s="3" t="s">
        <v>59</v>
      </c>
      <c r="E418" s="3">
        <v>200000</v>
      </c>
      <c r="F418" s="3" t="s">
        <v>1004</v>
      </c>
      <c r="G418" s="3" t="s">
        <v>36</v>
      </c>
      <c r="H418" s="3" t="s">
        <v>534</v>
      </c>
      <c r="I418" s="3"/>
      <c r="J418" s="3"/>
    </row>
    <row r="419" customFormat="1" spans="1:10">
      <c r="A419" s="3">
        <v>40</v>
      </c>
      <c r="B419" s="4">
        <v>45562</v>
      </c>
      <c r="C419" s="3" t="s">
        <v>1005</v>
      </c>
      <c r="D419" s="3" t="s">
        <v>1006</v>
      </c>
      <c r="E419" s="3">
        <v>3200</v>
      </c>
      <c r="F419" s="3" t="s">
        <v>16</v>
      </c>
      <c r="G419" s="3" t="s">
        <v>36</v>
      </c>
      <c r="H419" s="3" t="s">
        <v>285</v>
      </c>
      <c r="I419" s="3"/>
      <c r="J419" s="3"/>
    </row>
    <row r="420" customFormat="1" spans="1:10">
      <c r="A420" s="3">
        <v>41</v>
      </c>
      <c r="B420" s="4">
        <v>45562</v>
      </c>
      <c r="C420" s="3" t="s">
        <v>609</v>
      </c>
      <c r="D420" s="3" t="s">
        <v>1007</v>
      </c>
      <c r="E420" s="3">
        <v>3787.58</v>
      </c>
      <c r="F420" s="3" t="s">
        <v>13</v>
      </c>
      <c r="G420" s="3">
        <v>0</v>
      </c>
      <c r="H420" s="3" t="s">
        <v>926</v>
      </c>
      <c r="I420" s="3"/>
      <c r="J420" s="3"/>
    </row>
    <row r="421" customFormat="1" spans="1:10">
      <c r="A421" s="3">
        <v>42</v>
      </c>
      <c r="B421" s="4">
        <v>45562</v>
      </c>
      <c r="C421" s="3" t="s">
        <v>609</v>
      </c>
      <c r="D421" s="3" t="s">
        <v>1008</v>
      </c>
      <c r="E421" s="3">
        <v>7280</v>
      </c>
      <c r="F421" s="3" t="s">
        <v>13</v>
      </c>
      <c r="G421" s="3">
        <v>0</v>
      </c>
      <c r="H421" s="3" t="s">
        <v>926</v>
      </c>
      <c r="I421" s="3"/>
      <c r="J421" s="3"/>
    </row>
    <row r="422" customFormat="1" spans="1:10">
      <c r="A422" s="3">
        <v>43</v>
      </c>
      <c r="B422" s="4">
        <v>45562</v>
      </c>
      <c r="C422" s="3" t="s">
        <v>609</v>
      </c>
      <c r="D422" s="3" t="s">
        <v>1009</v>
      </c>
      <c r="E422" s="3">
        <v>13898.1</v>
      </c>
      <c r="F422" s="3" t="s">
        <v>13</v>
      </c>
      <c r="G422" s="3">
        <v>0</v>
      </c>
      <c r="H422" s="3" t="s">
        <v>926</v>
      </c>
      <c r="I422" s="3"/>
      <c r="J422" s="3"/>
    </row>
    <row r="423" customFormat="1" spans="1:10">
      <c r="A423" s="3">
        <v>44</v>
      </c>
      <c r="B423" s="4">
        <v>45562</v>
      </c>
      <c r="C423" s="3" t="s">
        <v>274</v>
      </c>
      <c r="D423" s="3" t="s">
        <v>275</v>
      </c>
      <c r="E423" s="3">
        <v>9850</v>
      </c>
      <c r="F423" s="3" t="s">
        <v>276</v>
      </c>
      <c r="G423" s="3">
        <v>0</v>
      </c>
      <c r="H423" s="3" t="s">
        <v>537</v>
      </c>
      <c r="I423" s="3"/>
      <c r="J423" s="3"/>
    </row>
    <row r="424" customFormat="1" spans="1:10">
      <c r="A424" s="3">
        <v>45</v>
      </c>
      <c r="B424" s="4">
        <v>45562</v>
      </c>
      <c r="C424" s="3" t="s">
        <v>766</v>
      </c>
      <c r="D424" s="3" t="s">
        <v>767</v>
      </c>
      <c r="E424" s="3">
        <v>5000</v>
      </c>
      <c r="F424" s="3" t="s">
        <v>933</v>
      </c>
      <c r="G424" s="3" t="s">
        <v>1010</v>
      </c>
      <c r="H424" s="3" t="s">
        <v>285</v>
      </c>
      <c r="I424" s="3"/>
      <c r="J424" s="3"/>
    </row>
    <row r="425" customFormat="1" spans="1:10">
      <c r="A425" s="3">
        <v>46</v>
      </c>
      <c r="B425" s="4">
        <v>45562</v>
      </c>
      <c r="C425" s="3" t="s">
        <v>607</v>
      </c>
      <c r="D425" s="3" t="s">
        <v>1011</v>
      </c>
      <c r="E425" s="3">
        <v>74200</v>
      </c>
      <c r="F425" s="3" t="s">
        <v>43</v>
      </c>
      <c r="G425" s="3" t="s">
        <v>36</v>
      </c>
      <c r="H425" s="3" t="s">
        <v>943</v>
      </c>
      <c r="I425" s="3"/>
      <c r="J425" s="3"/>
    </row>
    <row r="426" customFormat="1" spans="1:10">
      <c r="A426" s="3">
        <v>49</v>
      </c>
      <c r="B426" s="4">
        <v>45563</v>
      </c>
      <c r="C426" s="3" t="s">
        <v>14</v>
      </c>
      <c r="D426" s="3" t="s">
        <v>1012</v>
      </c>
      <c r="E426" s="3">
        <v>747</v>
      </c>
      <c r="F426" s="3" t="s">
        <v>16</v>
      </c>
      <c r="G426" s="3">
        <v>0</v>
      </c>
      <c r="H426" s="3" t="s">
        <v>534</v>
      </c>
      <c r="I426" s="3"/>
      <c r="J426" s="3"/>
    </row>
    <row r="427" customFormat="1" spans="1:10">
      <c r="A427" s="3">
        <v>47</v>
      </c>
      <c r="B427" s="4">
        <v>45564</v>
      </c>
      <c r="C427" s="3" t="s">
        <v>607</v>
      </c>
      <c r="D427" s="3" t="s">
        <v>1013</v>
      </c>
      <c r="E427" s="3">
        <v>25800</v>
      </c>
      <c r="F427" s="3" t="s">
        <v>43</v>
      </c>
      <c r="G427" s="3" t="s">
        <v>36</v>
      </c>
      <c r="H427" s="3" t="s">
        <v>943</v>
      </c>
      <c r="I427" s="3"/>
      <c r="J427" s="3"/>
    </row>
    <row r="428" customFormat="1" spans="1:10">
      <c r="A428" s="3">
        <v>48</v>
      </c>
      <c r="B428" s="4">
        <v>45564</v>
      </c>
      <c r="C428" s="3" t="s">
        <v>536</v>
      </c>
      <c r="D428" s="3" t="s">
        <v>771</v>
      </c>
      <c r="E428" s="3">
        <v>50000</v>
      </c>
      <c r="F428" s="3" t="s">
        <v>13</v>
      </c>
      <c r="G428" s="3" t="s">
        <v>36</v>
      </c>
      <c r="H428" s="3" t="s">
        <v>281</v>
      </c>
      <c r="I428" s="3"/>
      <c r="J428" s="3"/>
    </row>
    <row r="429" customFormat="1" spans="1:10">
      <c r="A429" s="3">
        <v>50</v>
      </c>
      <c r="B429" s="4">
        <v>45564</v>
      </c>
      <c r="C429" s="3" t="s">
        <v>14</v>
      </c>
      <c r="D429" s="3" t="s">
        <v>907</v>
      </c>
      <c r="E429" s="3">
        <v>40000</v>
      </c>
      <c r="F429" s="3" t="s">
        <v>16</v>
      </c>
      <c r="G429" s="3" t="s">
        <v>36</v>
      </c>
      <c r="H429" s="3" t="s">
        <v>534</v>
      </c>
      <c r="I429" s="3"/>
      <c r="J429" s="3"/>
    </row>
    <row r="430" customFormat="1" spans="1:10">
      <c r="A430" s="3">
        <v>51</v>
      </c>
      <c r="B430" s="4">
        <v>45564</v>
      </c>
      <c r="C430" s="3" t="s">
        <v>14</v>
      </c>
      <c r="D430" s="3" t="s">
        <v>1012</v>
      </c>
      <c r="E430" s="3">
        <v>25774.2</v>
      </c>
      <c r="F430" s="3" t="s">
        <v>16</v>
      </c>
      <c r="G430" s="3" t="s">
        <v>36</v>
      </c>
      <c r="H430" s="3" t="s">
        <v>534</v>
      </c>
      <c r="I430" s="3"/>
      <c r="J430" s="3"/>
    </row>
    <row r="431" customFormat="1" spans="1:10">
      <c r="A431" s="3">
        <v>52</v>
      </c>
      <c r="B431" s="4">
        <v>45564</v>
      </c>
      <c r="C431" s="3" t="s">
        <v>14</v>
      </c>
      <c r="D431" s="3" t="s">
        <v>213</v>
      </c>
      <c r="E431" s="3">
        <v>17910</v>
      </c>
      <c r="F431" s="3" t="s">
        <v>16</v>
      </c>
      <c r="G431" s="3" t="s">
        <v>36</v>
      </c>
      <c r="H431" s="3" t="s">
        <v>534</v>
      </c>
      <c r="I431" s="3"/>
      <c r="J431" s="3"/>
    </row>
    <row r="432" customFormat="1" spans="1:10">
      <c r="A432" s="3">
        <v>56</v>
      </c>
      <c r="B432" s="4">
        <v>45564</v>
      </c>
      <c r="C432" s="3" t="s">
        <v>14</v>
      </c>
      <c r="D432" s="3" t="s">
        <v>856</v>
      </c>
      <c r="E432" s="3">
        <v>100000</v>
      </c>
      <c r="F432" s="3" t="s">
        <v>16</v>
      </c>
      <c r="G432" s="3" t="s">
        <v>36</v>
      </c>
      <c r="H432" s="3" t="s">
        <v>534</v>
      </c>
      <c r="I432" s="3"/>
      <c r="J432" s="3"/>
    </row>
    <row r="433" customFormat="1" spans="1:10">
      <c r="A433" s="3">
        <v>57</v>
      </c>
      <c r="B433" s="4">
        <v>45564</v>
      </c>
      <c r="C433" s="3" t="s">
        <v>14</v>
      </c>
      <c r="D433" s="3" t="s">
        <v>913</v>
      </c>
      <c r="E433" s="3">
        <v>50000</v>
      </c>
      <c r="F433" s="3" t="s">
        <v>16</v>
      </c>
      <c r="G433" s="3" t="s">
        <v>36</v>
      </c>
      <c r="H433" s="3" t="s">
        <v>534</v>
      </c>
      <c r="I433" s="3"/>
      <c r="J433" s="3"/>
    </row>
    <row r="434" customFormat="1" spans="1:10">
      <c r="A434" s="3">
        <v>58</v>
      </c>
      <c r="B434" s="4">
        <v>45564</v>
      </c>
      <c r="C434" s="3" t="s">
        <v>14</v>
      </c>
      <c r="D434" s="3" t="s">
        <v>915</v>
      </c>
      <c r="E434" s="3">
        <v>80000</v>
      </c>
      <c r="F434" s="3" t="s">
        <v>16</v>
      </c>
      <c r="G434" s="3" t="s">
        <v>36</v>
      </c>
      <c r="H434" s="3" t="s">
        <v>534</v>
      </c>
      <c r="I434" s="3"/>
      <c r="J434" s="3"/>
    </row>
    <row r="435" customFormat="1" spans="1:10">
      <c r="A435" s="3">
        <v>59</v>
      </c>
      <c r="B435" s="4">
        <v>45564</v>
      </c>
      <c r="C435" s="3" t="s">
        <v>14</v>
      </c>
      <c r="D435" s="3" t="s">
        <v>917</v>
      </c>
      <c r="E435" s="3">
        <v>70000</v>
      </c>
      <c r="F435" s="3" t="s">
        <v>16</v>
      </c>
      <c r="G435" s="3" t="s">
        <v>36</v>
      </c>
      <c r="H435" s="3" t="s">
        <v>534</v>
      </c>
      <c r="I435" s="3"/>
      <c r="J435" s="3"/>
    </row>
    <row r="436" customFormat="1" spans="1:10">
      <c r="A436" s="3">
        <v>60</v>
      </c>
      <c r="B436" s="4">
        <v>45564</v>
      </c>
      <c r="C436" s="3" t="s">
        <v>559</v>
      </c>
      <c r="D436" s="3" t="s">
        <v>867</v>
      </c>
      <c r="E436" s="3">
        <v>50000</v>
      </c>
      <c r="F436" s="3" t="s">
        <v>13</v>
      </c>
      <c r="G436" s="3">
        <v>0</v>
      </c>
      <c r="H436" s="3" t="s">
        <v>926</v>
      </c>
      <c r="I436" s="3"/>
      <c r="J436" s="3"/>
    </row>
    <row r="437" customFormat="1" spans="1:10">
      <c r="A437" s="3">
        <v>61</v>
      </c>
      <c r="B437" s="4">
        <v>45564</v>
      </c>
      <c r="C437" s="3" t="s">
        <v>602</v>
      </c>
      <c r="D437" s="3" t="s">
        <v>944</v>
      </c>
      <c r="E437" s="3">
        <v>29420</v>
      </c>
      <c r="F437" s="3" t="s">
        <v>13</v>
      </c>
      <c r="G437" s="3">
        <v>0</v>
      </c>
      <c r="H437" s="3" t="s">
        <v>291</v>
      </c>
      <c r="I437" s="3"/>
      <c r="J437" s="3"/>
    </row>
    <row r="438" customFormat="1" spans="1:10">
      <c r="A438" s="3">
        <v>62</v>
      </c>
      <c r="B438" s="4">
        <v>45564</v>
      </c>
      <c r="C438" s="3" t="s">
        <v>936</v>
      </c>
      <c r="D438" s="3" t="s">
        <v>937</v>
      </c>
      <c r="E438" s="3">
        <v>20000</v>
      </c>
      <c r="F438" s="3" t="s">
        <v>13</v>
      </c>
      <c r="G438" s="3">
        <v>0</v>
      </c>
      <c r="H438" s="3" t="s">
        <v>926</v>
      </c>
      <c r="I438" s="3"/>
      <c r="J438" s="3"/>
    </row>
    <row r="439" customFormat="1" spans="1:10">
      <c r="A439" s="3">
        <v>63</v>
      </c>
      <c r="B439" s="4">
        <v>45564</v>
      </c>
      <c r="C439" s="3" t="s">
        <v>934</v>
      </c>
      <c r="D439" s="3" t="s">
        <v>935</v>
      </c>
      <c r="E439" s="3">
        <v>12000</v>
      </c>
      <c r="F439" s="3" t="s">
        <v>16</v>
      </c>
      <c r="G439" s="3">
        <v>0</v>
      </c>
      <c r="H439" s="3" t="s">
        <v>537</v>
      </c>
      <c r="I439" s="3"/>
      <c r="J439" s="3"/>
    </row>
    <row r="440" customFormat="1" spans="1:10">
      <c r="A440" s="3">
        <v>64</v>
      </c>
      <c r="B440" s="4">
        <v>45564</v>
      </c>
      <c r="C440" s="3" t="s">
        <v>601</v>
      </c>
      <c r="D440" s="3" t="s">
        <v>1014</v>
      </c>
      <c r="E440" s="3">
        <v>29500</v>
      </c>
      <c r="F440" s="3" t="s">
        <v>43</v>
      </c>
      <c r="G440" s="3" t="s">
        <v>36</v>
      </c>
      <c r="H440" s="3" t="s">
        <v>307</v>
      </c>
      <c r="I440" s="3"/>
      <c r="J440" s="3"/>
    </row>
    <row r="441" customFormat="1" spans="1:10">
      <c r="A441" s="3">
        <v>65</v>
      </c>
      <c r="B441" s="4">
        <v>45564</v>
      </c>
      <c r="C441" s="3" t="s">
        <v>601</v>
      </c>
      <c r="D441" s="3" t="s">
        <v>1015</v>
      </c>
      <c r="E441" s="3">
        <v>18500</v>
      </c>
      <c r="F441" s="3" t="s">
        <v>43</v>
      </c>
      <c r="G441" s="3" t="s">
        <v>36</v>
      </c>
      <c r="H441" s="3" t="s">
        <v>307</v>
      </c>
      <c r="I441" s="3"/>
      <c r="J441" s="3"/>
    </row>
    <row r="442" customFormat="1" spans="1:10">
      <c r="A442" s="3">
        <v>66</v>
      </c>
      <c r="B442" s="4">
        <v>45564</v>
      </c>
      <c r="C442" s="3" t="s">
        <v>268</v>
      </c>
      <c r="D442" s="3" t="s">
        <v>1016</v>
      </c>
      <c r="E442" s="3">
        <v>103600</v>
      </c>
      <c r="F442" s="3" t="s">
        <v>43</v>
      </c>
      <c r="G442" s="3" t="s">
        <v>36</v>
      </c>
      <c r="H442" s="3" t="s">
        <v>943</v>
      </c>
      <c r="I442" s="3"/>
      <c r="J442" s="3"/>
    </row>
    <row r="443" customFormat="1" spans="1:10">
      <c r="A443" s="3">
        <v>53</v>
      </c>
      <c r="B443" s="4">
        <v>45565</v>
      </c>
      <c r="C443" s="3" t="s">
        <v>14</v>
      </c>
      <c r="D443" s="3" t="s">
        <v>1017</v>
      </c>
      <c r="E443" s="3">
        <v>54880.3</v>
      </c>
      <c r="F443" s="3" t="s">
        <v>16</v>
      </c>
      <c r="G443" s="3" t="s">
        <v>36</v>
      </c>
      <c r="H443" s="3" t="s">
        <v>534</v>
      </c>
      <c r="I443" s="3"/>
      <c r="J443" s="3"/>
    </row>
    <row r="444" customFormat="1" spans="1:10">
      <c r="A444" s="3">
        <v>67</v>
      </c>
      <c r="B444" s="4">
        <v>45565</v>
      </c>
      <c r="C444" s="3" t="s">
        <v>780</v>
      </c>
      <c r="D444" s="3" t="s">
        <v>781</v>
      </c>
      <c r="E444" s="3">
        <v>7000</v>
      </c>
      <c r="F444" s="3" t="s">
        <v>957</v>
      </c>
      <c r="G444" s="3">
        <v>0</v>
      </c>
      <c r="H444" s="3" t="s">
        <v>527</v>
      </c>
      <c r="I444" s="3"/>
      <c r="J444" s="3"/>
    </row>
    <row r="445" customFormat="1" spans="1:10">
      <c r="A445" s="3">
        <v>68</v>
      </c>
      <c r="B445" s="4">
        <v>45565</v>
      </c>
      <c r="C445" s="3" t="s">
        <v>927</v>
      </c>
      <c r="D445" s="3" t="s">
        <v>928</v>
      </c>
      <c r="E445" s="3">
        <v>50000</v>
      </c>
      <c r="F445" s="3" t="s">
        <v>13</v>
      </c>
      <c r="G445" s="3">
        <v>0</v>
      </c>
      <c r="H445" s="3" t="s">
        <v>926</v>
      </c>
      <c r="I445" s="3"/>
      <c r="J445" s="3"/>
    </row>
    <row r="446" customFormat="1" spans="1:10">
      <c r="A446" s="3">
        <v>54</v>
      </c>
      <c r="B446" s="4">
        <v>45566</v>
      </c>
      <c r="C446" s="3" t="s">
        <v>14</v>
      </c>
      <c r="D446" s="3" t="s">
        <v>1018</v>
      </c>
      <c r="E446" s="3">
        <v>46315.2</v>
      </c>
      <c r="F446" s="3" t="s">
        <v>16</v>
      </c>
      <c r="G446" s="3" t="s">
        <v>36</v>
      </c>
      <c r="H446" s="3" t="s">
        <v>534</v>
      </c>
      <c r="I446" s="3"/>
      <c r="J446" s="3"/>
    </row>
    <row r="447" customFormat="1" spans="1:10">
      <c r="A447" s="3">
        <v>1</v>
      </c>
      <c r="B447" s="4">
        <v>45566</v>
      </c>
      <c r="C447" s="3" t="s">
        <v>881</v>
      </c>
      <c r="D447" s="3" t="s">
        <v>655</v>
      </c>
      <c r="E447" s="3">
        <v>92</v>
      </c>
      <c r="F447" s="3" t="s">
        <v>797</v>
      </c>
      <c r="G447" s="3" t="s">
        <v>728</v>
      </c>
      <c r="H447" s="3" t="s">
        <v>285</v>
      </c>
      <c r="I447" s="3"/>
      <c r="J447" s="3"/>
    </row>
    <row r="448" customFormat="1" spans="1:10">
      <c r="A448" s="3">
        <v>55</v>
      </c>
      <c r="B448" s="4">
        <v>45567</v>
      </c>
      <c r="C448" s="3" t="s">
        <v>14</v>
      </c>
      <c r="D448" s="3" t="s">
        <v>1019</v>
      </c>
      <c r="E448" s="3">
        <v>15120.3</v>
      </c>
      <c r="F448" s="3" t="s">
        <v>16</v>
      </c>
      <c r="G448" s="3" t="s">
        <v>36</v>
      </c>
      <c r="H448" s="3" t="s">
        <v>534</v>
      </c>
      <c r="I448" s="3"/>
      <c r="J448" s="3"/>
    </row>
    <row r="449" customFormat="1" spans="1:10">
      <c r="A449" s="3">
        <v>2</v>
      </c>
      <c r="B449" s="4">
        <v>45568</v>
      </c>
      <c r="C449" s="3" t="s">
        <v>1020</v>
      </c>
      <c r="D449" s="3" t="s">
        <v>1021</v>
      </c>
      <c r="E449" s="3">
        <v>10000</v>
      </c>
      <c r="F449" s="3" t="s">
        <v>16</v>
      </c>
      <c r="G449" s="3">
        <v>0</v>
      </c>
      <c r="H449" s="3" t="s">
        <v>926</v>
      </c>
      <c r="I449" s="3"/>
      <c r="J449" s="3"/>
    </row>
    <row r="450" customFormat="1" spans="1:10">
      <c r="A450" s="3">
        <v>3</v>
      </c>
      <c r="B450" s="4">
        <v>45574</v>
      </c>
      <c r="C450" s="3" t="s">
        <v>107</v>
      </c>
      <c r="D450" s="3" t="s">
        <v>200</v>
      </c>
      <c r="E450" s="3">
        <v>80675.9</v>
      </c>
      <c r="F450" s="3" t="s">
        <v>13</v>
      </c>
      <c r="G450" s="3">
        <v>0</v>
      </c>
      <c r="H450" s="3" t="s">
        <v>537</v>
      </c>
      <c r="I450" s="3"/>
      <c r="J450" s="3"/>
    </row>
    <row r="451" customFormat="1" spans="1:10">
      <c r="A451" s="3">
        <v>4</v>
      </c>
      <c r="B451" s="4">
        <v>45575</v>
      </c>
      <c r="C451" s="3" t="s">
        <v>1022</v>
      </c>
      <c r="D451" s="3" t="s">
        <v>749</v>
      </c>
      <c r="E451" s="3">
        <v>47000</v>
      </c>
      <c r="F451" s="3" t="s">
        <v>16</v>
      </c>
      <c r="G451" s="3" t="s">
        <v>36</v>
      </c>
      <c r="H451" s="3" t="s">
        <v>926</v>
      </c>
      <c r="I451" s="3"/>
      <c r="J451" s="3"/>
    </row>
    <row r="452" customFormat="1" spans="1:10">
      <c r="A452" s="3">
        <v>5</v>
      </c>
      <c r="B452" s="4">
        <v>45575</v>
      </c>
      <c r="C452" s="3" t="s">
        <v>982</v>
      </c>
      <c r="D452" s="3" t="s">
        <v>983</v>
      </c>
      <c r="E452" s="3">
        <v>10000</v>
      </c>
      <c r="F452" s="3" t="s">
        <v>16</v>
      </c>
      <c r="G452" s="3">
        <v>0</v>
      </c>
      <c r="H452" s="3" t="s">
        <v>293</v>
      </c>
      <c r="I452" s="3"/>
      <c r="J452" s="3"/>
    </row>
    <row r="453" customFormat="1" spans="1:10">
      <c r="A453" s="3">
        <v>6</v>
      </c>
      <c r="B453" s="4">
        <v>45577</v>
      </c>
      <c r="C453" s="3" t="s">
        <v>11</v>
      </c>
      <c r="D453" s="3" t="s">
        <v>1023</v>
      </c>
      <c r="E453" s="3">
        <v>167814</v>
      </c>
      <c r="F453" s="3" t="s">
        <v>13</v>
      </c>
      <c r="G453" s="3">
        <v>0</v>
      </c>
      <c r="H453" s="3" t="s">
        <v>291</v>
      </c>
      <c r="I453" s="3"/>
      <c r="J453" s="3"/>
    </row>
    <row r="454" customFormat="1" spans="1:10">
      <c r="A454" s="3">
        <v>7</v>
      </c>
      <c r="B454" s="4">
        <v>45577</v>
      </c>
      <c r="C454" s="3" t="s">
        <v>1024</v>
      </c>
      <c r="D454" s="3" t="s">
        <v>1025</v>
      </c>
      <c r="E454" s="3">
        <v>4250</v>
      </c>
      <c r="F454" s="3" t="s">
        <v>13</v>
      </c>
      <c r="G454" s="3">
        <v>0</v>
      </c>
      <c r="H454" s="3" t="s">
        <v>926</v>
      </c>
      <c r="I454" s="3"/>
      <c r="J454" s="3"/>
    </row>
    <row r="455" customFormat="1" spans="1:10">
      <c r="A455" s="3">
        <v>8</v>
      </c>
      <c r="B455" s="4">
        <v>45577</v>
      </c>
      <c r="C455" s="3" t="s">
        <v>1024</v>
      </c>
      <c r="D455" s="3" t="s">
        <v>1026</v>
      </c>
      <c r="E455" s="3">
        <v>29000</v>
      </c>
      <c r="F455" s="3" t="s">
        <v>13</v>
      </c>
      <c r="G455" s="3">
        <v>0</v>
      </c>
      <c r="H455" s="3" t="s">
        <v>926</v>
      </c>
      <c r="I455" s="3"/>
      <c r="J455" s="3"/>
    </row>
    <row r="456" customFormat="1" spans="1:10">
      <c r="A456" s="3">
        <v>9</v>
      </c>
      <c r="B456" s="4">
        <v>45579</v>
      </c>
      <c r="C456" s="3" t="s">
        <v>650</v>
      </c>
      <c r="D456" s="3" t="s">
        <v>1027</v>
      </c>
      <c r="E456" s="3">
        <v>72600</v>
      </c>
      <c r="F456" s="3" t="s">
        <v>16</v>
      </c>
      <c r="G456" s="3">
        <v>0</v>
      </c>
      <c r="H456" s="3" t="s">
        <v>285</v>
      </c>
      <c r="I456" s="3"/>
      <c r="J456" s="3"/>
    </row>
    <row r="457" customFormat="1" spans="1:10">
      <c r="A457" s="3">
        <v>10</v>
      </c>
      <c r="B457" s="4">
        <v>45580</v>
      </c>
      <c r="C457" s="3" t="s">
        <v>1028</v>
      </c>
      <c r="D457" s="3" t="s">
        <v>1029</v>
      </c>
      <c r="E457" s="3">
        <v>63377</v>
      </c>
      <c r="F457" s="3" t="s">
        <v>957</v>
      </c>
      <c r="G457" s="3" t="s">
        <v>1030</v>
      </c>
      <c r="H457" s="3" t="s">
        <v>293</v>
      </c>
      <c r="I457" s="3"/>
      <c r="J457" s="3"/>
    </row>
    <row r="458" customFormat="1" spans="1:10">
      <c r="A458" s="3">
        <v>11</v>
      </c>
      <c r="B458" s="4">
        <v>45581</v>
      </c>
      <c r="C458" s="3" t="s">
        <v>1031</v>
      </c>
      <c r="D458" s="3" t="s">
        <v>1032</v>
      </c>
      <c r="E458" s="3">
        <v>158893.88</v>
      </c>
      <c r="F458" s="3" t="s">
        <v>16</v>
      </c>
      <c r="G458" s="3" t="s">
        <v>1033</v>
      </c>
      <c r="H458" s="3" t="s">
        <v>1034</v>
      </c>
      <c r="I458" s="3"/>
      <c r="J458" s="3"/>
    </row>
    <row r="459" s="1" customFormat="1" spans="1:10">
      <c r="A459" s="9">
        <v>12</v>
      </c>
      <c r="B459" s="10">
        <v>45582</v>
      </c>
      <c r="C459" s="9" t="s">
        <v>528</v>
      </c>
      <c r="D459" s="9" t="s">
        <v>828</v>
      </c>
      <c r="E459" s="9">
        <v>30000</v>
      </c>
      <c r="F459" s="9" t="s">
        <v>113</v>
      </c>
      <c r="G459" s="9" t="s">
        <v>36</v>
      </c>
      <c r="H459" s="9" t="s">
        <v>527</v>
      </c>
      <c r="I459" s="9"/>
      <c r="J459" s="9"/>
    </row>
    <row r="460" customFormat="1" spans="1:10">
      <c r="A460" s="3">
        <v>13</v>
      </c>
      <c r="B460" s="4">
        <v>45582</v>
      </c>
      <c r="C460" s="3" t="s">
        <v>1035</v>
      </c>
      <c r="D460" s="3" t="s">
        <v>1036</v>
      </c>
      <c r="E460" s="3">
        <v>3940.52</v>
      </c>
      <c r="F460" s="3" t="s">
        <v>16</v>
      </c>
      <c r="G460" s="3">
        <v>0</v>
      </c>
      <c r="H460" s="3" t="s">
        <v>307</v>
      </c>
      <c r="I460" s="3"/>
      <c r="J460" s="3"/>
    </row>
    <row r="461" customFormat="1" spans="1:10">
      <c r="A461" s="3">
        <v>14</v>
      </c>
      <c r="B461" s="4">
        <v>45582</v>
      </c>
      <c r="C461" s="3" t="s">
        <v>615</v>
      </c>
      <c r="D461" s="3" t="s">
        <v>1037</v>
      </c>
      <c r="E461" s="3">
        <v>41300</v>
      </c>
      <c r="F461" s="3" t="s">
        <v>13</v>
      </c>
      <c r="G461" s="3" t="s">
        <v>36</v>
      </c>
      <c r="H461" s="3" t="s">
        <v>279</v>
      </c>
      <c r="I461" s="3"/>
      <c r="J461" s="3"/>
    </row>
    <row r="462" customFormat="1" spans="1:10">
      <c r="A462" s="3">
        <v>15</v>
      </c>
      <c r="B462" s="4">
        <v>45582</v>
      </c>
      <c r="C462" s="3" t="s">
        <v>615</v>
      </c>
      <c r="D462" s="3" t="s">
        <v>1038</v>
      </c>
      <c r="E462" s="3">
        <v>23700</v>
      </c>
      <c r="F462" s="3" t="s">
        <v>13</v>
      </c>
      <c r="G462" s="3" t="s">
        <v>36</v>
      </c>
      <c r="H462" s="3" t="s">
        <v>279</v>
      </c>
      <c r="I462" s="3"/>
      <c r="J462" s="3"/>
    </row>
    <row r="463" customFormat="1" spans="1:10">
      <c r="A463" s="3">
        <v>16</v>
      </c>
      <c r="B463" s="4">
        <v>45582</v>
      </c>
      <c r="C463" s="3" t="s">
        <v>615</v>
      </c>
      <c r="D463" s="3" t="s">
        <v>1039</v>
      </c>
      <c r="E463" s="3">
        <v>35000</v>
      </c>
      <c r="F463" s="3" t="s">
        <v>13</v>
      </c>
      <c r="G463" s="3" t="s">
        <v>36</v>
      </c>
      <c r="H463" s="3" t="s">
        <v>279</v>
      </c>
      <c r="I463" s="3"/>
      <c r="J463" s="3"/>
    </row>
    <row r="464" customFormat="1" spans="1:10">
      <c r="A464" s="3">
        <v>17</v>
      </c>
      <c r="B464" s="4">
        <v>45586</v>
      </c>
      <c r="C464" s="3" t="s">
        <v>1040</v>
      </c>
      <c r="D464" s="3" t="s">
        <v>1041</v>
      </c>
      <c r="E464" s="3">
        <v>23840</v>
      </c>
      <c r="F464" s="3" t="s">
        <v>1042</v>
      </c>
      <c r="G464" s="3" t="s">
        <v>1043</v>
      </c>
      <c r="H464" s="3" t="s">
        <v>293</v>
      </c>
      <c r="I464" s="3"/>
      <c r="J464" s="3"/>
    </row>
    <row r="465" customFormat="1" spans="1:10">
      <c r="A465" s="3">
        <v>18</v>
      </c>
      <c r="B465" s="4">
        <v>45586</v>
      </c>
      <c r="C465" s="3" t="s">
        <v>1044</v>
      </c>
      <c r="D465" s="3" t="s">
        <v>1045</v>
      </c>
      <c r="E465" s="3">
        <v>19500</v>
      </c>
      <c r="F465" s="3" t="s">
        <v>16</v>
      </c>
      <c r="G465" s="3" t="s">
        <v>98</v>
      </c>
      <c r="H465" s="3" t="s">
        <v>530</v>
      </c>
      <c r="I465" s="3"/>
      <c r="J465" s="3"/>
    </row>
    <row r="466" customFormat="1" spans="1:10">
      <c r="A466" s="3">
        <v>19</v>
      </c>
      <c r="B466" s="4">
        <v>45586</v>
      </c>
      <c r="C466" s="3" t="s">
        <v>1046</v>
      </c>
      <c r="D466" s="3" t="s">
        <v>1047</v>
      </c>
      <c r="E466" s="3">
        <v>3375</v>
      </c>
      <c r="F466" s="3" t="s">
        <v>1042</v>
      </c>
      <c r="G466" s="3">
        <v>0</v>
      </c>
      <c r="H466" s="3" t="s">
        <v>293</v>
      </c>
      <c r="I466" s="3"/>
      <c r="J466" s="3"/>
    </row>
    <row r="467" customFormat="1" spans="1:10">
      <c r="A467" s="3">
        <v>20</v>
      </c>
      <c r="B467" s="4">
        <v>45587</v>
      </c>
      <c r="C467" s="3" t="s">
        <v>590</v>
      </c>
      <c r="D467" s="3" t="s">
        <v>682</v>
      </c>
      <c r="E467" s="3">
        <v>2716</v>
      </c>
      <c r="F467" s="3" t="s">
        <v>16</v>
      </c>
      <c r="G467" s="3">
        <v>0</v>
      </c>
      <c r="H467" s="3" t="s">
        <v>943</v>
      </c>
      <c r="I467" s="3"/>
      <c r="J467" s="3"/>
    </row>
    <row r="468" customFormat="1" spans="1:10">
      <c r="A468" s="3">
        <v>21</v>
      </c>
      <c r="B468" s="4">
        <v>45587</v>
      </c>
      <c r="C468" s="3" t="s">
        <v>1048</v>
      </c>
      <c r="D468" s="3" t="s">
        <v>1049</v>
      </c>
      <c r="E468" s="3">
        <v>3583.33</v>
      </c>
      <c r="F468" s="3" t="s">
        <v>16</v>
      </c>
      <c r="G468" s="3">
        <v>0</v>
      </c>
      <c r="H468" s="3" t="s">
        <v>285</v>
      </c>
      <c r="I468" s="3"/>
      <c r="J468" s="3"/>
    </row>
    <row r="469" customFormat="1" spans="1:10">
      <c r="A469" s="3">
        <v>22</v>
      </c>
      <c r="B469" s="4">
        <v>45587</v>
      </c>
      <c r="C469" s="3" t="s">
        <v>1050</v>
      </c>
      <c r="D469" s="3" t="s">
        <v>1051</v>
      </c>
      <c r="E469" s="3">
        <v>14650</v>
      </c>
      <c r="F469" s="3" t="s">
        <v>16</v>
      </c>
      <c r="G469" s="3">
        <v>0</v>
      </c>
      <c r="H469" s="3" t="s">
        <v>279</v>
      </c>
      <c r="I469" s="3"/>
      <c r="J469" s="3"/>
    </row>
    <row r="470" customFormat="1" spans="1:10">
      <c r="A470" s="3">
        <v>23</v>
      </c>
      <c r="B470" s="4">
        <v>45587</v>
      </c>
      <c r="C470" s="3" t="s">
        <v>1052</v>
      </c>
      <c r="D470" s="3" t="s">
        <v>1053</v>
      </c>
      <c r="E470" s="3">
        <v>8000</v>
      </c>
      <c r="F470" s="3" t="s">
        <v>16</v>
      </c>
      <c r="G470" s="3">
        <v>0</v>
      </c>
      <c r="H470" s="3" t="s">
        <v>285</v>
      </c>
      <c r="I470" s="3"/>
      <c r="J470" s="3"/>
    </row>
    <row r="471" customFormat="1" spans="1:10">
      <c r="A471" s="3">
        <v>24</v>
      </c>
      <c r="B471" s="4">
        <v>45588</v>
      </c>
      <c r="C471" s="3" t="s">
        <v>1054</v>
      </c>
      <c r="D471" s="3" t="s">
        <v>1055</v>
      </c>
      <c r="E471" s="3">
        <v>3732.23</v>
      </c>
      <c r="F471" s="3" t="s">
        <v>13</v>
      </c>
      <c r="G471" s="3">
        <v>0</v>
      </c>
      <c r="H471" s="3" t="s">
        <v>1056</v>
      </c>
      <c r="I471" s="3"/>
      <c r="J471" s="3"/>
    </row>
    <row r="472" customFormat="1" spans="1:10">
      <c r="A472" s="3">
        <v>25</v>
      </c>
      <c r="B472" s="4">
        <v>45588</v>
      </c>
      <c r="C472" s="3" t="s">
        <v>1054</v>
      </c>
      <c r="D472" s="3" t="s">
        <v>1057</v>
      </c>
      <c r="E472" s="3">
        <v>241</v>
      </c>
      <c r="F472" s="3" t="s">
        <v>13</v>
      </c>
      <c r="G472" s="3">
        <v>0</v>
      </c>
      <c r="H472" s="3" t="s">
        <v>1056</v>
      </c>
      <c r="I472" s="3"/>
      <c r="J472" s="3"/>
    </row>
    <row r="473" customFormat="1" spans="1:10">
      <c r="A473" s="3">
        <v>26</v>
      </c>
      <c r="B473" s="4">
        <v>45588</v>
      </c>
      <c r="C473" s="3" t="s">
        <v>982</v>
      </c>
      <c r="D473" s="3" t="s">
        <v>983</v>
      </c>
      <c r="E473" s="3">
        <v>10000</v>
      </c>
      <c r="F473" s="3" t="s">
        <v>16</v>
      </c>
      <c r="G473" s="3">
        <v>0</v>
      </c>
      <c r="H473" s="3" t="s">
        <v>293</v>
      </c>
      <c r="I473" s="3"/>
      <c r="J473" s="3"/>
    </row>
    <row r="474" customFormat="1" spans="1:10">
      <c r="A474" s="3">
        <v>27</v>
      </c>
      <c r="B474" s="4">
        <v>45588</v>
      </c>
      <c r="C474" s="3" t="s">
        <v>1058</v>
      </c>
      <c r="D474" s="3" t="s">
        <v>1059</v>
      </c>
      <c r="E474" s="3">
        <v>18800</v>
      </c>
      <c r="F474" s="3" t="s">
        <v>43</v>
      </c>
      <c r="G474" s="3">
        <v>0</v>
      </c>
      <c r="H474" s="3" t="s">
        <v>1060</v>
      </c>
      <c r="I474" s="3"/>
      <c r="J474" s="3"/>
    </row>
    <row r="475" customFormat="1" spans="1:10">
      <c r="A475" s="3">
        <v>28</v>
      </c>
      <c r="B475" s="4">
        <v>45589</v>
      </c>
      <c r="C475" s="3" t="s">
        <v>1061</v>
      </c>
      <c r="D475" s="3" t="s">
        <v>272</v>
      </c>
      <c r="E475" s="3">
        <v>671500</v>
      </c>
      <c r="F475" s="3" t="s">
        <v>1062</v>
      </c>
      <c r="G475" s="3">
        <v>0</v>
      </c>
      <c r="H475" s="3" t="s">
        <v>535</v>
      </c>
      <c r="I475" s="3"/>
      <c r="J475" s="3"/>
    </row>
    <row r="476" customFormat="1" spans="1:10">
      <c r="A476" s="3">
        <v>29</v>
      </c>
      <c r="B476" s="4">
        <v>45589</v>
      </c>
      <c r="C476" s="3" t="s">
        <v>359</v>
      </c>
      <c r="D476" s="3" t="s">
        <v>1063</v>
      </c>
      <c r="E476" s="3">
        <v>20400</v>
      </c>
      <c r="F476" s="3" t="s">
        <v>16</v>
      </c>
      <c r="G476" s="3">
        <v>0</v>
      </c>
      <c r="H476" s="3" t="s">
        <v>285</v>
      </c>
      <c r="I476" s="3"/>
      <c r="J476" s="3"/>
    </row>
    <row r="477" customFormat="1" spans="1:10">
      <c r="A477" s="3">
        <v>30</v>
      </c>
      <c r="B477" s="4">
        <v>45589</v>
      </c>
      <c r="C477" s="3" t="s">
        <v>1064</v>
      </c>
      <c r="D477" s="3" t="s">
        <v>1065</v>
      </c>
      <c r="E477" s="3">
        <v>45600</v>
      </c>
      <c r="F477" s="3" t="s">
        <v>16</v>
      </c>
      <c r="G477" s="3">
        <v>0</v>
      </c>
      <c r="H477" s="3" t="s">
        <v>285</v>
      </c>
      <c r="I477" s="3"/>
      <c r="J477" s="3"/>
    </row>
    <row r="478" customFormat="1" spans="1:10">
      <c r="A478" s="3">
        <v>31</v>
      </c>
      <c r="B478" s="4">
        <v>45589</v>
      </c>
      <c r="C478" s="3" t="s">
        <v>1064</v>
      </c>
      <c r="D478" s="3" t="s">
        <v>1065</v>
      </c>
      <c r="E478" s="3">
        <v>50350</v>
      </c>
      <c r="F478" s="3" t="s">
        <v>16</v>
      </c>
      <c r="G478" s="3">
        <v>0</v>
      </c>
      <c r="H478" s="3" t="s">
        <v>285</v>
      </c>
      <c r="I478" s="3"/>
      <c r="J478" s="3"/>
    </row>
    <row r="479" customFormat="1" spans="1:10">
      <c r="A479" s="3">
        <v>32</v>
      </c>
      <c r="B479" s="4">
        <v>45589</v>
      </c>
      <c r="C479" s="3" t="s">
        <v>533</v>
      </c>
      <c r="D479" s="3" t="s">
        <v>909</v>
      </c>
      <c r="E479" s="3">
        <v>74000</v>
      </c>
      <c r="F479" s="3" t="s">
        <v>13</v>
      </c>
      <c r="G479" s="3">
        <v>0</v>
      </c>
      <c r="H479" s="3" t="s">
        <v>285</v>
      </c>
      <c r="I479" s="3"/>
      <c r="J479" s="3"/>
    </row>
    <row r="480" customFormat="1" spans="1:10">
      <c r="A480" s="3">
        <v>33</v>
      </c>
      <c r="B480" s="4">
        <v>45589</v>
      </c>
      <c r="C480" s="3" t="s">
        <v>735</v>
      </c>
      <c r="D480" s="3" t="s">
        <v>1066</v>
      </c>
      <c r="E480" s="3">
        <v>4000</v>
      </c>
      <c r="F480" s="3" t="s">
        <v>13</v>
      </c>
      <c r="G480" s="3">
        <v>0</v>
      </c>
      <c r="H480" s="3" t="s">
        <v>285</v>
      </c>
      <c r="I480" s="3"/>
      <c r="J480" s="3"/>
    </row>
    <row r="481" customFormat="1" spans="1:10">
      <c r="A481" s="3">
        <v>34</v>
      </c>
      <c r="B481" s="4">
        <v>45590</v>
      </c>
      <c r="C481" s="3" t="s">
        <v>533</v>
      </c>
      <c r="D481" s="3" t="s">
        <v>909</v>
      </c>
      <c r="E481" s="3">
        <v>100000</v>
      </c>
      <c r="F481" s="3" t="s">
        <v>13</v>
      </c>
      <c r="G481" s="3" t="s">
        <v>36</v>
      </c>
      <c r="H481" s="3" t="s">
        <v>285</v>
      </c>
      <c r="I481" s="3"/>
      <c r="J481" s="3"/>
    </row>
    <row r="482" customFormat="1" spans="1:10">
      <c r="A482" s="3">
        <v>35</v>
      </c>
      <c r="B482" s="4">
        <v>45590</v>
      </c>
      <c r="C482" s="3" t="s">
        <v>735</v>
      </c>
      <c r="D482" s="3" t="s">
        <v>1066</v>
      </c>
      <c r="E482" s="3">
        <v>100000</v>
      </c>
      <c r="F482" s="3" t="s">
        <v>13</v>
      </c>
      <c r="G482" s="3" t="s">
        <v>36</v>
      </c>
      <c r="H482" s="3" t="s">
        <v>285</v>
      </c>
      <c r="I482" s="3"/>
      <c r="J482" s="3"/>
    </row>
    <row r="483" customFormat="1" spans="1:10">
      <c r="A483" s="3">
        <v>36</v>
      </c>
      <c r="B483" s="4">
        <v>45590</v>
      </c>
      <c r="C483" s="3" t="s">
        <v>977</v>
      </c>
      <c r="D483" s="3" t="s">
        <v>978</v>
      </c>
      <c r="E483" s="3">
        <v>38500</v>
      </c>
      <c r="F483" s="3" t="s">
        <v>13</v>
      </c>
      <c r="G483" s="3">
        <v>0</v>
      </c>
      <c r="H483" s="3" t="s">
        <v>537</v>
      </c>
      <c r="I483" s="3"/>
      <c r="J483" s="3"/>
    </row>
    <row r="484" customFormat="1" spans="1:10">
      <c r="A484" s="3">
        <v>37</v>
      </c>
      <c r="B484" s="4">
        <v>45593</v>
      </c>
      <c r="C484" s="3" t="s">
        <v>1067</v>
      </c>
      <c r="D484" s="3" t="s">
        <v>1068</v>
      </c>
      <c r="E484" s="3">
        <v>60000</v>
      </c>
      <c r="F484" s="3" t="s">
        <v>43</v>
      </c>
      <c r="G484" s="3" t="s">
        <v>1043</v>
      </c>
      <c r="H484" s="3" t="s">
        <v>279</v>
      </c>
      <c r="I484" s="3"/>
      <c r="J484" s="3"/>
    </row>
    <row r="485" customFormat="1" spans="1:10">
      <c r="A485" s="3">
        <v>38</v>
      </c>
      <c r="B485" s="4">
        <v>45593</v>
      </c>
      <c r="C485" s="3" t="s">
        <v>553</v>
      </c>
      <c r="D485" s="3" t="s">
        <v>1069</v>
      </c>
      <c r="E485" s="3">
        <v>33304.5</v>
      </c>
      <c r="F485" s="3" t="s">
        <v>16</v>
      </c>
      <c r="G485" s="3">
        <v>0</v>
      </c>
      <c r="H485" s="3" t="s">
        <v>279</v>
      </c>
      <c r="I485" s="3"/>
      <c r="J485" s="3"/>
    </row>
    <row r="486" customFormat="1" spans="1:10">
      <c r="A486" s="3">
        <v>39</v>
      </c>
      <c r="B486" s="4">
        <v>45593</v>
      </c>
      <c r="C486" s="3" t="s">
        <v>553</v>
      </c>
      <c r="D486" s="3" t="s">
        <v>849</v>
      </c>
      <c r="E486" s="3">
        <v>195.5</v>
      </c>
      <c r="F486" s="3" t="s">
        <v>16</v>
      </c>
      <c r="G486" s="3">
        <v>0</v>
      </c>
      <c r="H486" s="3" t="s">
        <v>279</v>
      </c>
      <c r="I486" s="3"/>
      <c r="J486" s="3"/>
    </row>
    <row r="487" customFormat="1" spans="1:10">
      <c r="A487" s="3">
        <v>40</v>
      </c>
      <c r="B487" s="4">
        <v>45593</v>
      </c>
      <c r="C487" s="3" t="s">
        <v>553</v>
      </c>
      <c r="D487" s="3" t="s">
        <v>849</v>
      </c>
      <c r="E487" s="3">
        <v>13045</v>
      </c>
      <c r="F487" s="3" t="s">
        <v>16</v>
      </c>
      <c r="G487" s="3">
        <v>0</v>
      </c>
      <c r="H487" s="3" t="s">
        <v>279</v>
      </c>
      <c r="I487" s="3"/>
      <c r="J487" s="3"/>
    </row>
    <row r="488" customFormat="1" spans="1:10">
      <c r="A488" s="3">
        <v>41</v>
      </c>
      <c r="B488" s="4">
        <v>45593</v>
      </c>
      <c r="C488" s="3" t="s">
        <v>14</v>
      </c>
      <c r="D488" s="3" t="s">
        <v>1018</v>
      </c>
      <c r="E488" s="3">
        <v>123.5</v>
      </c>
      <c r="F488" s="3" t="s">
        <v>16</v>
      </c>
      <c r="G488" s="3">
        <v>0</v>
      </c>
      <c r="H488" s="3" t="s">
        <v>534</v>
      </c>
      <c r="I488" s="3"/>
      <c r="J488" s="3"/>
    </row>
    <row r="489" customFormat="1" spans="1:10">
      <c r="A489" s="3">
        <v>42</v>
      </c>
      <c r="B489" s="4">
        <v>45593</v>
      </c>
      <c r="C489" s="3" t="s">
        <v>927</v>
      </c>
      <c r="D489" s="3" t="s">
        <v>928</v>
      </c>
      <c r="E489" s="3">
        <v>60000</v>
      </c>
      <c r="F489" s="3" t="s">
        <v>13</v>
      </c>
      <c r="G489" s="3">
        <v>0</v>
      </c>
      <c r="H489" s="3" t="s">
        <v>279</v>
      </c>
      <c r="I489" s="3"/>
      <c r="J489" s="3"/>
    </row>
    <row r="490" customFormat="1" spans="1:10">
      <c r="A490" s="3">
        <v>43</v>
      </c>
      <c r="B490" s="4">
        <v>45593</v>
      </c>
      <c r="C490" s="3" t="s">
        <v>1070</v>
      </c>
      <c r="D490" s="3" t="s">
        <v>127</v>
      </c>
      <c r="E490" s="3">
        <v>22892.82</v>
      </c>
      <c r="F490" s="3" t="s">
        <v>13</v>
      </c>
      <c r="G490" s="3" t="s">
        <v>1071</v>
      </c>
      <c r="H490" s="3" t="s">
        <v>1056</v>
      </c>
      <c r="I490" s="3"/>
      <c r="J490" s="3"/>
    </row>
    <row r="491" customFormat="1" spans="1:10">
      <c r="A491" s="3">
        <v>44</v>
      </c>
      <c r="B491" s="4">
        <v>45593</v>
      </c>
      <c r="C491" s="3" t="s">
        <v>601</v>
      </c>
      <c r="D491" s="3" t="s">
        <v>1014</v>
      </c>
      <c r="E491" s="3">
        <v>40786.2</v>
      </c>
      <c r="F491" s="3" t="s">
        <v>43</v>
      </c>
      <c r="G491" s="3">
        <v>0</v>
      </c>
      <c r="H491" s="3" t="s">
        <v>307</v>
      </c>
      <c r="I491" s="3"/>
      <c r="J491" s="3"/>
    </row>
    <row r="492" customFormat="1" spans="1:10">
      <c r="A492" s="3">
        <v>45</v>
      </c>
      <c r="B492" s="4">
        <v>45593</v>
      </c>
      <c r="C492" s="3" t="s">
        <v>601</v>
      </c>
      <c r="D492" s="3" t="s">
        <v>1014</v>
      </c>
      <c r="E492" s="3">
        <v>9213.8</v>
      </c>
      <c r="F492" s="3" t="s">
        <v>43</v>
      </c>
      <c r="G492" s="3" t="s">
        <v>36</v>
      </c>
      <c r="H492" s="3" t="s">
        <v>307</v>
      </c>
      <c r="I492" s="3"/>
      <c r="J492" s="3"/>
    </row>
    <row r="493" customFormat="1" spans="1:10">
      <c r="A493" s="3">
        <v>46</v>
      </c>
      <c r="B493" s="4">
        <v>45593</v>
      </c>
      <c r="C493" s="3" t="s">
        <v>1072</v>
      </c>
      <c r="D493" s="3" t="s">
        <v>1073</v>
      </c>
      <c r="E493" s="3">
        <v>8500</v>
      </c>
      <c r="F493" s="3" t="s">
        <v>43</v>
      </c>
      <c r="G493" s="3" t="s">
        <v>1043</v>
      </c>
      <c r="H493" s="3" t="s">
        <v>293</v>
      </c>
      <c r="I493" s="3"/>
      <c r="J493" s="3"/>
    </row>
    <row r="494" customFormat="1" spans="1:10">
      <c r="A494" s="3">
        <v>47</v>
      </c>
      <c r="B494" s="4">
        <v>45593</v>
      </c>
      <c r="C494" s="3" t="s">
        <v>1072</v>
      </c>
      <c r="D494" s="3" t="s">
        <v>1074</v>
      </c>
      <c r="E494" s="3">
        <v>11000</v>
      </c>
      <c r="F494" s="3" t="s">
        <v>43</v>
      </c>
      <c r="G494" s="3" t="s">
        <v>1043</v>
      </c>
      <c r="H494" s="3" t="s">
        <v>293</v>
      </c>
      <c r="I494" s="3"/>
      <c r="J494" s="3"/>
    </row>
    <row r="495" customFormat="1" spans="1:10">
      <c r="A495" s="3">
        <v>48</v>
      </c>
      <c r="B495" s="4">
        <v>45593</v>
      </c>
      <c r="C495" s="3" t="s">
        <v>1072</v>
      </c>
      <c r="D495" s="3" t="s">
        <v>1075</v>
      </c>
      <c r="E495" s="3">
        <v>80500</v>
      </c>
      <c r="F495" s="3" t="s">
        <v>43</v>
      </c>
      <c r="G495" s="3" t="s">
        <v>1043</v>
      </c>
      <c r="H495" s="3" t="s">
        <v>293</v>
      </c>
      <c r="I495" s="3"/>
      <c r="J495" s="3"/>
    </row>
    <row r="496" customFormat="1" spans="1:10">
      <c r="A496" s="3">
        <v>49</v>
      </c>
      <c r="B496" s="4">
        <v>45594</v>
      </c>
      <c r="C496" s="3" t="s">
        <v>1072</v>
      </c>
      <c r="D496" s="3" t="s">
        <v>1076</v>
      </c>
      <c r="E496" s="3">
        <v>20800</v>
      </c>
      <c r="F496" s="3" t="s">
        <v>16</v>
      </c>
      <c r="G496" s="3" t="s">
        <v>36</v>
      </c>
      <c r="H496" s="3" t="s">
        <v>293</v>
      </c>
      <c r="I496" s="3"/>
      <c r="J496" s="3"/>
    </row>
    <row r="497" customFormat="1" spans="1:10">
      <c r="A497" s="3">
        <v>50</v>
      </c>
      <c r="B497" s="4">
        <v>45594</v>
      </c>
      <c r="C497" s="3" t="s">
        <v>1072</v>
      </c>
      <c r="D497" s="3" t="s">
        <v>1077</v>
      </c>
      <c r="E497" s="3">
        <v>16000</v>
      </c>
      <c r="F497" s="3">
        <v>0</v>
      </c>
      <c r="G497" s="3">
        <v>0</v>
      </c>
      <c r="H497" s="3" t="s">
        <v>293</v>
      </c>
      <c r="I497" s="3"/>
      <c r="J497" s="3"/>
    </row>
    <row r="498" customFormat="1" spans="1:10">
      <c r="A498" s="3">
        <v>51</v>
      </c>
      <c r="B498" s="4">
        <v>45594</v>
      </c>
      <c r="C498" s="3" t="s">
        <v>14</v>
      </c>
      <c r="D498" s="3" t="s">
        <v>913</v>
      </c>
      <c r="E498" s="3">
        <v>40000</v>
      </c>
      <c r="F498" s="3" t="s">
        <v>16</v>
      </c>
      <c r="G498" s="3" t="s">
        <v>36</v>
      </c>
      <c r="H498" s="3" t="s">
        <v>534</v>
      </c>
      <c r="I498" s="3"/>
      <c r="J498" s="3"/>
    </row>
    <row r="499" customFormat="1" spans="1:10">
      <c r="A499" s="3">
        <v>52</v>
      </c>
      <c r="B499" s="4">
        <v>45594</v>
      </c>
      <c r="C499" s="3" t="s">
        <v>14</v>
      </c>
      <c r="D499" s="3" t="s">
        <v>915</v>
      </c>
      <c r="E499" s="3">
        <v>60000</v>
      </c>
      <c r="F499" s="3" t="s">
        <v>16</v>
      </c>
      <c r="G499" s="3" t="s">
        <v>36</v>
      </c>
      <c r="H499" s="3" t="s">
        <v>534</v>
      </c>
      <c r="I499" s="3"/>
      <c r="J499" s="3"/>
    </row>
    <row r="500" customFormat="1" spans="1:10">
      <c r="A500" s="3">
        <v>53</v>
      </c>
      <c r="B500" s="4">
        <v>45594</v>
      </c>
      <c r="C500" s="3" t="s">
        <v>14</v>
      </c>
      <c r="D500" s="3" t="s">
        <v>917</v>
      </c>
      <c r="E500" s="3">
        <v>30000</v>
      </c>
      <c r="F500" s="3" t="s">
        <v>16</v>
      </c>
      <c r="G500" s="3" t="s">
        <v>36</v>
      </c>
      <c r="H500" s="3" t="s">
        <v>534</v>
      </c>
      <c r="I500" s="3"/>
      <c r="J500" s="3"/>
    </row>
    <row r="501" customFormat="1" spans="1:10">
      <c r="A501" s="3">
        <v>54</v>
      </c>
      <c r="B501" s="4">
        <v>45594</v>
      </c>
      <c r="C501" s="3" t="s">
        <v>14</v>
      </c>
      <c r="D501" s="3" t="s">
        <v>856</v>
      </c>
      <c r="E501" s="3">
        <v>40000</v>
      </c>
      <c r="F501" s="3" t="s">
        <v>16</v>
      </c>
      <c r="G501" s="3" t="s">
        <v>36</v>
      </c>
      <c r="H501" s="3" t="s">
        <v>534</v>
      </c>
      <c r="I501" s="3"/>
      <c r="J501" s="3"/>
    </row>
    <row r="502" customFormat="1" spans="1:10">
      <c r="A502" s="3">
        <v>55</v>
      </c>
      <c r="B502" s="4">
        <v>45594</v>
      </c>
      <c r="C502" s="3" t="s">
        <v>14</v>
      </c>
      <c r="D502" s="3" t="s">
        <v>907</v>
      </c>
      <c r="E502" s="3">
        <v>40000</v>
      </c>
      <c r="F502" s="3" t="s">
        <v>16</v>
      </c>
      <c r="G502" s="3" t="s">
        <v>36</v>
      </c>
      <c r="H502" s="3" t="s">
        <v>534</v>
      </c>
      <c r="I502" s="3"/>
      <c r="J502" s="3"/>
    </row>
    <row r="503" customFormat="1" spans="1:10">
      <c r="A503" s="3">
        <v>56</v>
      </c>
      <c r="B503" s="4">
        <v>45594</v>
      </c>
      <c r="C503" s="3" t="s">
        <v>14</v>
      </c>
      <c r="D503" s="3" t="s">
        <v>1017</v>
      </c>
      <c r="E503" s="3">
        <v>54881</v>
      </c>
      <c r="F503" s="3" t="s">
        <v>16</v>
      </c>
      <c r="G503" s="3" t="s">
        <v>36</v>
      </c>
      <c r="H503" s="3" t="s">
        <v>534</v>
      </c>
      <c r="I503" s="3"/>
      <c r="J503" s="3"/>
    </row>
    <row r="504" customFormat="1" spans="1:10">
      <c r="A504" s="3">
        <v>57</v>
      </c>
      <c r="B504" s="4">
        <v>45594</v>
      </c>
      <c r="C504" s="3" t="s">
        <v>14</v>
      </c>
      <c r="D504" s="3" t="s">
        <v>1019</v>
      </c>
      <c r="E504" s="3">
        <v>15120</v>
      </c>
      <c r="F504" s="3" t="s">
        <v>16</v>
      </c>
      <c r="G504" s="3" t="s">
        <v>36</v>
      </c>
      <c r="H504" s="3" t="s">
        <v>534</v>
      </c>
      <c r="I504" s="3"/>
      <c r="J504" s="3"/>
    </row>
    <row r="505" customFormat="1" spans="1:10">
      <c r="A505" s="3">
        <v>58</v>
      </c>
      <c r="B505" s="4">
        <v>45594</v>
      </c>
      <c r="C505" s="3" t="s">
        <v>14</v>
      </c>
      <c r="D505" s="3" t="s">
        <v>1012</v>
      </c>
      <c r="E505" s="3">
        <v>26521</v>
      </c>
      <c r="F505" s="3" t="s">
        <v>16</v>
      </c>
      <c r="G505" s="3" t="s">
        <v>36</v>
      </c>
      <c r="H505" s="3" t="s">
        <v>534</v>
      </c>
      <c r="I505" s="3"/>
      <c r="J505" s="3"/>
    </row>
    <row r="506" customFormat="1" spans="1:10">
      <c r="A506" s="3">
        <v>59</v>
      </c>
      <c r="B506" s="4">
        <v>45594</v>
      </c>
      <c r="C506" s="3" t="s">
        <v>14</v>
      </c>
      <c r="D506" s="3" t="s">
        <v>1018</v>
      </c>
      <c r="E506" s="3">
        <v>46191.5</v>
      </c>
      <c r="F506" s="3" t="s">
        <v>16</v>
      </c>
      <c r="G506" s="3" t="s">
        <v>36</v>
      </c>
      <c r="H506" s="3" t="s">
        <v>534</v>
      </c>
      <c r="I506" s="3"/>
      <c r="J506" s="3"/>
    </row>
    <row r="507" customFormat="1" spans="1:10">
      <c r="A507" s="3">
        <v>60</v>
      </c>
      <c r="B507" s="4">
        <v>45594</v>
      </c>
      <c r="C507" s="3" t="s">
        <v>1002</v>
      </c>
      <c r="D507" s="3" t="s">
        <v>1078</v>
      </c>
      <c r="E507" s="3">
        <v>99000</v>
      </c>
      <c r="F507" s="3" t="s">
        <v>16</v>
      </c>
      <c r="G507" s="3" t="s">
        <v>36</v>
      </c>
      <c r="H507" s="3" t="s">
        <v>534</v>
      </c>
      <c r="I507" s="3"/>
      <c r="J507" s="3"/>
    </row>
    <row r="508" customFormat="1" spans="1:10">
      <c r="A508" s="3">
        <v>61</v>
      </c>
      <c r="B508" s="4">
        <v>45594</v>
      </c>
      <c r="C508" s="3" t="s">
        <v>616</v>
      </c>
      <c r="D508" s="3" t="s">
        <v>924</v>
      </c>
      <c r="E508" s="3">
        <v>49250</v>
      </c>
      <c r="F508" s="3" t="s">
        <v>13</v>
      </c>
      <c r="G508" s="3">
        <v>0</v>
      </c>
      <c r="H508" s="3" t="s">
        <v>537</v>
      </c>
      <c r="I508" s="3"/>
      <c r="J508" s="3"/>
    </row>
    <row r="509" customFormat="1" spans="1:10">
      <c r="A509" s="3">
        <v>62</v>
      </c>
      <c r="B509" s="4">
        <v>45594</v>
      </c>
      <c r="C509" s="3" t="s">
        <v>536</v>
      </c>
      <c r="D509" s="3" t="s">
        <v>771</v>
      </c>
      <c r="E509" s="3">
        <v>50000</v>
      </c>
      <c r="F509" s="3" t="s">
        <v>13</v>
      </c>
      <c r="G509" s="3" t="s">
        <v>36</v>
      </c>
      <c r="H509" s="3" t="s">
        <v>281</v>
      </c>
      <c r="I509" s="3"/>
      <c r="J509" s="3"/>
    </row>
    <row r="510" customFormat="1" spans="1:10">
      <c r="A510" s="3">
        <v>63</v>
      </c>
      <c r="B510" s="4">
        <v>45594</v>
      </c>
      <c r="C510" s="3" t="s">
        <v>14</v>
      </c>
      <c r="D510" s="3" t="s">
        <v>213</v>
      </c>
      <c r="E510" s="3">
        <v>241</v>
      </c>
      <c r="F510" s="3" t="s">
        <v>16</v>
      </c>
      <c r="G510" s="3">
        <v>0</v>
      </c>
      <c r="H510" s="3" t="s">
        <v>534</v>
      </c>
      <c r="I510" s="3"/>
      <c r="J510" s="3"/>
    </row>
    <row r="511" customFormat="1" spans="1:10">
      <c r="A511" s="3">
        <v>64</v>
      </c>
      <c r="B511" s="4">
        <v>45594</v>
      </c>
      <c r="C511" s="3" t="s">
        <v>14</v>
      </c>
      <c r="D511" s="3" t="s">
        <v>181</v>
      </c>
      <c r="E511" s="3">
        <v>30000</v>
      </c>
      <c r="F511" s="3" t="s">
        <v>16</v>
      </c>
      <c r="G511" s="3" t="s">
        <v>36</v>
      </c>
      <c r="H511" s="3" t="s">
        <v>534</v>
      </c>
      <c r="I511" s="3"/>
      <c r="J511" s="3"/>
    </row>
    <row r="512" customFormat="1" spans="1:10">
      <c r="A512" s="3">
        <v>65</v>
      </c>
      <c r="B512" s="4">
        <v>45594</v>
      </c>
      <c r="C512" s="3" t="s">
        <v>14</v>
      </c>
      <c r="D512" s="3" t="s">
        <v>213</v>
      </c>
      <c r="E512" s="3">
        <v>19460</v>
      </c>
      <c r="F512" s="3" t="s">
        <v>16</v>
      </c>
      <c r="G512" s="3" t="s">
        <v>36</v>
      </c>
      <c r="H512" s="3" t="s">
        <v>534</v>
      </c>
      <c r="I512" s="3"/>
      <c r="J512" s="3"/>
    </row>
    <row r="513" customFormat="1" spans="1:10">
      <c r="A513" s="3">
        <v>66</v>
      </c>
      <c r="B513" s="4">
        <v>45594</v>
      </c>
      <c r="C513" s="3" t="s">
        <v>85</v>
      </c>
      <c r="D513" s="3" t="s">
        <v>1079</v>
      </c>
      <c r="E513" s="3">
        <v>30000</v>
      </c>
      <c r="F513" s="3" t="s">
        <v>16</v>
      </c>
      <c r="G513" s="3" t="s">
        <v>36</v>
      </c>
      <c r="H513" s="3" t="s">
        <v>279</v>
      </c>
      <c r="I513" s="3"/>
      <c r="J513" s="3"/>
    </row>
    <row r="514" customFormat="1" spans="1:10">
      <c r="A514" s="3">
        <v>67</v>
      </c>
      <c r="B514" s="4">
        <v>45594</v>
      </c>
      <c r="C514" s="3" t="s">
        <v>14</v>
      </c>
      <c r="D514" s="3" t="s">
        <v>59</v>
      </c>
      <c r="E514" s="3">
        <v>374200</v>
      </c>
      <c r="F514" s="3" t="s">
        <v>1080</v>
      </c>
      <c r="G514" s="3">
        <v>0</v>
      </c>
      <c r="H514" s="3" t="s">
        <v>534</v>
      </c>
      <c r="I514" s="3"/>
      <c r="J514" s="3"/>
    </row>
    <row r="515" customFormat="1" spans="1:10">
      <c r="A515" s="3">
        <v>68</v>
      </c>
      <c r="B515" s="4">
        <v>45595</v>
      </c>
      <c r="C515" s="3" t="s">
        <v>639</v>
      </c>
      <c r="D515" s="3" t="s">
        <v>882</v>
      </c>
      <c r="E515" s="3">
        <v>14238.81</v>
      </c>
      <c r="F515" s="3" t="s">
        <v>13</v>
      </c>
      <c r="G515" s="3" t="s">
        <v>36</v>
      </c>
      <c r="H515" s="3" t="s">
        <v>279</v>
      </c>
      <c r="I515" s="3"/>
      <c r="J515" s="3"/>
    </row>
    <row r="516" customFormat="1" spans="1:10">
      <c r="A516" s="3">
        <v>69</v>
      </c>
      <c r="B516" s="4">
        <v>45595</v>
      </c>
      <c r="C516" s="3" t="s">
        <v>1081</v>
      </c>
      <c r="D516" s="3" t="s">
        <v>1082</v>
      </c>
      <c r="E516" s="3">
        <v>10000</v>
      </c>
      <c r="F516" s="3" t="s">
        <v>16</v>
      </c>
      <c r="G516" s="3">
        <v>0</v>
      </c>
      <c r="H516" s="3" t="s">
        <v>279</v>
      </c>
      <c r="I516" s="3"/>
      <c r="J516" s="3"/>
    </row>
    <row r="517" customFormat="1" spans="1:10">
      <c r="A517" s="3">
        <v>70</v>
      </c>
      <c r="B517" s="4">
        <v>45595</v>
      </c>
      <c r="C517" s="3" t="s">
        <v>1083</v>
      </c>
      <c r="D517" s="3" t="s">
        <v>1084</v>
      </c>
      <c r="E517" s="3">
        <v>2514.4</v>
      </c>
      <c r="F517" s="3" t="s">
        <v>13</v>
      </c>
      <c r="G517" s="3" t="s">
        <v>98</v>
      </c>
      <c r="H517" s="3" t="s">
        <v>279</v>
      </c>
      <c r="I517" s="3"/>
      <c r="J517" s="3"/>
    </row>
    <row r="518" customFormat="1" spans="1:10">
      <c r="A518" s="3">
        <v>71</v>
      </c>
      <c r="B518" s="4">
        <v>45595</v>
      </c>
      <c r="C518" s="3" t="s">
        <v>1083</v>
      </c>
      <c r="D518" s="3" t="s">
        <v>1084</v>
      </c>
      <c r="E518" s="3">
        <v>3189.2</v>
      </c>
      <c r="F518" s="3" t="s">
        <v>13</v>
      </c>
      <c r="G518" s="3" t="s">
        <v>98</v>
      </c>
      <c r="H518" s="3" t="s">
        <v>279</v>
      </c>
      <c r="I518" s="3"/>
      <c r="J518" s="3"/>
    </row>
    <row r="519" customFormat="1" spans="1:10">
      <c r="A519" s="3">
        <v>72</v>
      </c>
      <c r="B519" s="4">
        <v>45595</v>
      </c>
      <c r="C519" s="3" t="s">
        <v>559</v>
      </c>
      <c r="D519" s="3" t="s">
        <v>772</v>
      </c>
      <c r="E519" s="3">
        <v>31124.89</v>
      </c>
      <c r="F519" s="3" t="s">
        <v>13</v>
      </c>
      <c r="G519" s="3">
        <v>0</v>
      </c>
      <c r="H519" s="3" t="s">
        <v>279</v>
      </c>
      <c r="I519" s="3"/>
      <c r="J519" s="3"/>
    </row>
    <row r="520" customFormat="1" spans="1:10">
      <c r="A520" s="3">
        <v>73</v>
      </c>
      <c r="B520" s="4">
        <v>45595</v>
      </c>
      <c r="C520" s="3" t="s">
        <v>559</v>
      </c>
      <c r="D520" s="3" t="s">
        <v>867</v>
      </c>
      <c r="E520" s="3">
        <v>38875.11</v>
      </c>
      <c r="F520" s="3" t="s">
        <v>13</v>
      </c>
      <c r="G520" s="3">
        <v>0</v>
      </c>
      <c r="H520" s="3" t="s">
        <v>279</v>
      </c>
      <c r="I520" s="3"/>
      <c r="J520" s="3"/>
    </row>
    <row r="521" customFormat="1" spans="1:10">
      <c r="A521" s="3">
        <v>74</v>
      </c>
      <c r="B521" s="4">
        <v>45595</v>
      </c>
      <c r="C521" s="3" t="s">
        <v>555</v>
      </c>
      <c r="D521" s="3" t="s">
        <v>854</v>
      </c>
      <c r="E521" s="3">
        <v>48000</v>
      </c>
      <c r="F521" s="3" t="s">
        <v>13</v>
      </c>
      <c r="G521" s="3">
        <v>0</v>
      </c>
      <c r="H521" s="3" t="s">
        <v>537</v>
      </c>
      <c r="I521" s="3"/>
      <c r="J521" s="3"/>
    </row>
    <row r="522" customFormat="1" spans="1:10">
      <c r="A522" s="3">
        <v>75</v>
      </c>
      <c r="B522" s="4">
        <v>45596</v>
      </c>
      <c r="C522" s="3" t="s">
        <v>548</v>
      </c>
      <c r="D522" s="3" t="s">
        <v>1085</v>
      </c>
      <c r="E522" s="3">
        <v>15250</v>
      </c>
      <c r="F522" s="3" t="s">
        <v>16</v>
      </c>
      <c r="G522" s="3" t="s">
        <v>1033</v>
      </c>
      <c r="H522" s="3" t="s">
        <v>943</v>
      </c>
      <c r="I522" s="3"/>
      <c r="J522" s="3"/>
    </row>
    <row r="523" s="1" customFormat="1" spans="1:10">
      <c r="A523" s="9">
        <v>76</v>
      </c>
      <c r="B523" s="10">
        <v>45596</v>
      </c>
      <c r="C523" s="9" t="s">
        <v>528</v>
      </c>
      <c r="D523" s="9" t="s">
        <v>828</v>
      </c>
      <c r="E523" s="9">
        <v>19000</v>
      </c>
      <c r="F523" s="9" t="s">
        <v>113</v>
      </c>
      <c r="G523" s="9" t="s">
        <v>36</v>
      </c>
      <c r="H523" s="9" t="s">
        <v>527</v>
      </c>
      <c r="I523" s="9"/>
      <c r="J523" s="9"/>
    </row>
    <row r="524" s="1" customFormat="1" spans="1:10">
      <c r="A524" s="9">
        <v>77</v>
      </c>
      <c r="B524" s="10">
        <v>45596</v>
      </c>
      <c r="C524" s="9" t="s">
        <v>528</v>
      </c>
      <c r="D524" s="9" t="s">
        <v>1086</v>
      </c>
      <c r="E524" s="9">
        <v>4892.5</v>
      </c>
      <c r="F524" s="9" t="s">
        <v>113</v>
      </c>
      <c r="G524" s="9" t="s">
        <v>36</v>
      </c>
      <c r="H524" s="9" t="s">
        <v>527</v>
      </c>
      <c r="I524" s="9"/>
      <c r="J524" s="9"/>
    </row>
    <row r="525" s="1" customFormat="1" spans="1:10">
      <c r="A525" s="9">
        <v>78</v>
      </c>
      <c r="B525" s="10">
        <v>45596</v>
      </c>
      <c r="C525" s="9" t="s">
        <v>528</v>
      </c>
      <c r="D525" s="9" t="s">
        <v>1086</v>
      </c>
      <c r="E525" s="9">
        <v>26107.5</v>
      </c>
      <c r="F525" s="9" t="s">
        <v>113</v>
      </c>
      <c r="G525" s="9" t="s">
        <v>36</v>
      </c>
      <c r="H525" s="9" t="s">
        <v>527</v>
      </c>
      <c r="I525" s="9"/>
      <c r="J525" s="9"/>
    </row>
    <row r="526" customFormat="1" spans="1:10">
      <c r="A526" s="3">
        <v>79</v>
      </c>
      <c r="B526" s="4">
        <v>45596</v>
      </c>
      <c r="C526" s="3" t="s">
        <v>936</v>
      </c>
      <c r="D526" s="3" t="s">
        <v>937</v>
      </c>
      <c r="E526" s="3">
        <v>20000</v>
      </c>
      <c r="F526" s="3" t="s">
        <v>13</v>
      </c>
      <c r="G526" s="3">
        <v>0</v>
      </c>
      <c r="H526" s="3" t="s">
        <v>279</v>
      </c>
      <c r="I526" s="3"/>
      <c r="J526" s="3"/>
    </row>
    <row r="527" customFormat="1" spans="1:10">
      <c r="A527" s="3">
        <v>80</v>
      </c>
      <c r="B527" s="4">
        <v>45596</v>
      </c>
      <c r="C527" s="3" t="s">
        <v>1087</v>
      </c>
      <c r="D527" s="3" t="s">
        <v>1088</v>
      </c>
      <c r="E527" s="3">
        <v>109250</v>
      </c>
      <c r="F527" s="3" t="s">
        <v>16</v>
      </c>
      <c r="G527" s="3" t="s">
        <v>36</v>
      </c>
      <c r="H527" s="3" t="s">
        <v>281</v>
      </c>
      <c r="I527" s="3"/>
      <c r="J527" s="3"/>
    </row>
    <row r="528" customFormat="1" spans="1:10">
      <c r="A528" s="3">
        <v>81</v>
      </c>
      <c r="B528" s="4">
        <v>45596</v>
      </c>
      <c r="C528" s="3" t="s">
        <v>1089</v>
      </c>
      <c r="D528" s="3" t="s">
        <v>1090</v>
      </c>
      <c r="E528" s="3">
        <v>30000</v>
      </c>
      <c r="F528" s="3" t="s">
        <v>16</v>
      </c>
      <c r="G528" s="3">
        <v>0</v>
      </c>
      <c r="H528" s="3" t="s">
        <v>537</v>
      </c>
      <c r="I528" s="3"/>
      <c r="J528" s="3"/>
    </row>
    <row r="529" customFormat="1" spans="1:10">
      <c r="A529" s="3">
        <v>82</v>
      </c>
      <c r="B529" s="4">
        <v>45596</v>
      </c>
      <c r="C529" s="3" t="s">
        <v>268</v>
      </c>
      <c r="D529" s="3" t="s">
        <v>1091</v>
      </c>
      <c r="E529" s="3">
        <v>30900</v>
      </c>
      <c r="F529" s="3" t="s">
        <v>43</v>
      </c>
      <c r="G529" s="3" t="s">
        <v>36</v>
      </c>
      <c r="H529" s="3" t="s">
        <v>943</v>
      </c>
      <c r="I529" s="3"/>
      <c r="J529" s="3"/>
    </row>
    <row r="530" customFormat="1" spans="1:10">
      <c r="A530" s="3">
        <v>83</v>
      </c>
      <c r="B530" s="4">
        <v>45596</v>
      </c>
      <c r="C530" s="3" t="s">
        <v>780</v>
      </c>
      <c r="D530" s="3" t="s">
        <v>781</v>
      </c>
      <c r="E530" s="3">
        <v>7000</v>
      </c>
      <c r="F530" s="3" t="s">
        <v>957</v>
      </c>
      <c r="G530" s="3" t="s">
        <v>36</v>
      </c>
      <c r="H530" s="3" t="s">
        <v>527</v>
      </c>
      <c r="I530" s="3"/>
      <c r="J530" s="3"/>
    </row>
    <row r="531" customFormat="1" spans="1:10">
      <c r="A531" s="3">
        <v>1</v>
      </c>
      <c r="B531" s="4">
        <v>45597</v>
      </c>
      <c r="C531" s="3" t="s">
        <v>881</v>
      </c>
      <c r="D531" s="3" t="s">
        <v>655</v>
      </c>
      <c r="E531" s="3">
        <v>92</v>
      </c>
      <c r="F531" s="3" t="s">
        <v>797</v>
      </c>
      <c r="G531" s="3" t="s">
        <v>728</v>
      </c>
      <c r="H531" s="3" t="s">
        <v>285</v>
      </c>
      <c r="I531" s="3"/>
      <c r="J531" s="3"/>
    </row>
    <row r="532" customFormat="1" spans="1:10">
      <c r="A532" s="3">
        <v>2</v>
      </c>
      <c r="B532" s="4">
        <v>45600</v>
      </c>
      <c r="C532" s="3" t="s">
        <v>1092</v>
      </c>
      <c r="D532" s="3" t="s">
        <v>1093</v>
      </c>
      <c r="E532" s="3">
        <v>31669.2</v>
      </c>
      <c r="F532" s="3" t="s">
        <v>13</v>
      </c>
      <c r="G532" s="3">
        <v>0</v>
      </c>
      <c r="H532" s="3" t="s">
        <v>285</v>
      </c>
      <c r="I532" s="3"/>
      <c r="J532" s="3"/>
    </row>
    <row r="533" customFormat="1" spans="1:10">
      <c r="A533" s="3">
        <v>3</v>
      </c>
      <c r="B533" s="4">
        <v>45600</v>
      </c>
      <c r="C533" s="3" t="s">
        <v>1092</v>
      </c>
      <c r="D533" s="3" t="s">
        <v>1094</v>
      </c>
      <c r="E533" s="3">
        <v>12448.8</v>
      </c>
      <c r="F533" s="3" t="s">
        <v>13</v>
      </c>
      <c r="G533" s="3">
        <v>0</v>
      </c>
      <c r="H533" s="3" t="s">
        <v>285</v>
      </c>
      <c r="I533" s="3"/>
      <c r="J533" s="3"/>
    </row>
    <row r="534" customFormat="1" spans="1:10">
      <c r="A534" s="3">
        <v>4</v>
      </c>
      <c r="B534" s="4">
        <v>45601</v>
      </c>
      <c r="C534" s="3" t="s">
        <v>945</v>
      </c>
      <c r="D534" s="3" t="s">
        <v>946</v>
      </c>
      <c r="E534" s="3">
        <v>43984.5</v>
      </c>
      <c r="F534" s="3" t="s">
        <v>13</v>
      </c>
      <c r="G534" s="3" t="s">
        <v>36</v>
      </c>
      <c r="H534" s="3" t="s">
        <v>307</v>
      </c>
      <c r="I534" s="3"/>
      <c r="J534" s="3"/>
    </row>
    <row r="535" customFormat="1" spans="1:10">
      <c r="A535" s="3">
        <v>5</v>
      </c>
      <c r="B535" s="4">
        <v>45601</v>
      </c>
      <c r="C535" s="3" t="s">
        <v>945</v>
      </c>
      <c r="D535" s="3" t="s">
        <v>1095</v>
      </c>
      <c r="E535" s="3">
        <v>147075</v>
      </c>
      <c r="F535" s="3" t="s">
        <v>13</v>
      </c>
      <c r="G535" s="3" t="s">
        <v>36</v>
      </c>
      <c r="H535" s="3" t="s">
        <v>307</v>
      </c>
      <c r="I535" s="3"/>
      <c r="J535" s="3"/>
    </row>
    <row r="536" customFormat="1" spans="1:10">
      <c r="A536" s="3">
        <v>6</v>
      </c>
      <c r="B536" s="4">
        <v>45603</v>
      </c>
      <c r="C536" s="3" t="s">
        <v>561</v>
      </c>
      <c r="D536" s="3" t="s">
        <v>876</v>
      </c>
      <c r="E536" s="3">
        <v>26740.4</v>
      </c>
      <c r="F536" s="3" t="s">
        <v>16</v>
      </c>
      <c r="G536" s="3" t="s">
        <v>36</v>
      </c>
      <c r="H536" s="3" t="s">
        <v>1096</v>
      </c>
      <c r="I536" s="3"/>
      <c r="J536" s="3"/>
    </row>
    <row r="537" customFormat="1" spans="1:10">
      <c r="A537" s="3">
        <v>7</v>
      </c>
      <c r="B537" s="4">
        <v>45603</v>
      </c>
      <c r="C537" s="3" t="s">
        <v>561</v>
      </c>
      <c r="D537" s="3" t="s">
        <v>1097</v>
      </c>
      <c r="E537" s="3">
        <v>23259.6</v>
      </c>
      <c r="F537" s="3" t="s">
        <v>16</v>
      </c>
      <c r="G537" s="3" t="s">
        <v>36</v>
      </c>
      <c r="H537" s="3" t="s">
        <v>1096</v>
      </c>
      <c r="I537" s="3"/>
      <c r="J537" s="3"/>
    </row>
    <row r="538" customFormat="1" spans="1:10">
      <c r="A538" s="3">
        <v>8</v>
      </c>
      <c r="B538" s="4">
        <v>45604</v>
      </c>
      <c r="C538" s="3" t="s">
        <v>1098</v>
      </c>
      <c r="D538" s="3" t="s">
        <v>1099</v>
      </c>
      <c r="E538" s="3">
        <v>22275</v>
      </c>
      <c r="F538" s="3" t="s">
        <v>16</v>
      </c>
      <c r="G538" s="3">
        <v>0</v>
      </c>
      <c r="H538" s="3" t="s">
        <v>285</v>
      </c>
      <c r="I538" s="3"/>
      <c r="J538" s="3"/>
    </row>
    <row r="539" customFormat="1" spans="1:10">
      <c r="A539" s="3">
        <v>9</v>
      </c>
      <c r="B539" s="4">
        <v>45604</v>
      </c>
      <c r="C539" s="3" t="s">
        <v>617</v>
      </c>
      <c r="D539" s="3" t="s">
        <v>737</v>
      </c>
      <c r="E539" s="3">
        <v>42520</v>
      </c>
      <c r="F539" s="3">
        <v>0</v>
      </c>
      <c r="G539" s="3">
        <v>0</v>
      </c>
      <c r="H539" s="3" t="s">
        <v>285</v>
      </c>
      <c r="I539" s="3"/>
      <c r="J539" s="3"/>
    </row>
    <row r="540" customFormat="1" spans="1:10">
      <c r="A540" s="3">
        <v>10</v>
      </c>
      <c r="B540" s="4">
        <v>45604</v>
      </c>
      <c r="C540" s="3" t="s">
        <v>617</v>
      </c>
      <c r="D540" s="3" t="s">
        <v>1100</v>
      </c>
      <c r="E540" s="3">
        <v>56185</v>
      </c>
      <c r="F540" s="3">
        <v>0</v>
      </c>
      <c r="G540" s="3">
        <v>0</v>
      </c>
      <c r="H540" s="3" t="s">
        <v>285</v>
      </c>
      <c r="I540" s="3"/>
      <c r="J540" s="3"/>
    </row>
    <row r="541" customFormat="1" spans="1:10">
      <c r="A541" s="3">
        <v>11</v>
      </c>
      <c r="B541" s="4">
        <v>45604</v>
      </c>
      <c r="C541" s="3" t="s">
        <v>617</v>
      </c>
      <c r="D541" s="3" t="s">
        <v>1101</v>
      </c>
      <c r="E541" s="3">
        <v>1295</v>
      </c>
      <c r="F541" s="3">
        <v>0</v>
      </c>
      <c r="G541" s="3">
        <v>0</v>
      </c>
      <c r="H541" s="3" t="s">
        <v>285</v>
      </c>
      <c r="I541" s="3"/>
      <c r="J541" s="3"/>
    </row>
    <row r="542" customFormat="1" spans="1:10">
      <c r="A542" s="3">
        <v>13</v>
      </c>
      <c r="B542" s="4">
        <v>45607</v>
      </c>
      <c r="C542" s="3" t="s">
        <v>1102</v>
      </c>
      <c r="D542" s="3" t="s">
        <v>146</v>
      </c>
      <c r="E542" s="3">
        <v>10000</v>
      </c>
      <c r="F542" s="3" t="s">
        <v>20</v>
      </c>
      <c r="G542" s="3">
        <v>0</v>
      </c>
      <c r="H542" s="3" t="s">
        <v>279</v>
      </c>
      <c r="I542" s="3"/>
      <c r="J542" s="3"/>
    </row>
    <row r="543" customFormat="1" spans="1:10">
      <c r="A543" s="3">
        <v>14</v>
      </c>
      <c r="B543" s="4">
        <v>45607</v>
      </c>
      <c r="C543" s="3" t="s">
        <v>1102</v>
      </c>
      <c r="D543" s="3" t="s">
        <v>146</v>
      </c>
      <c r="E543" s="3">
        <v>30000</v>
      </c>
      <c r="F543" s="3" t="s">
        <v>20</v>
      </c>
      <c r="G543" s="3">
        <v>0</v>
      </c>
      <c r="H543" s="3" t="s">
        <v>1096</v>
      </c>
      <c r="I543" s="3"/>
      <c r="J543" s="3"/>
    </row>
    <row r="544" customFormat="1" spans="1:10">
      <c r="A544" s="3">
        <v>15</v>
      </c>
      <c r="B544" s="4">
        <v>45607</v>
      </c>
      <c r="C544" s="3" t="s">
        <v>1102</v>
      </c>
      <c r="D544" s="3" t="s">
        <v>146</v>
      </c>
      <c r="E544" s="3">
        <v>10000</v>
      </c>
      <c r="F544" s="3" t="s">
        <v>20</v>
      </c>
      <c r="G544" s="3">
        <v>0</v>
      </c>
      <c r="H544" s="3" t="s">
        <v>527</v>
      </c>
      <c r="I544" s="3"/>
      <c r="J544" s="3"/>
    </row>
    <row r="545" customFormat="1" spans="1:10">
      <c r="A545" s="3">
        <v>12</v>
      </c>
      <c r="B545" s="4">
        <v>45608</v>
      </c>
      <c r="C545" s="3" t="s">
        <v>90</v>
      </c>
      <c r="D545" s="3" t="s">
        <v>1103</v>
      </c>
      <c r="E545" s="3">
        <v>44527.16</v>
      </c>
      <c r="F545" s="3" t="s">
        <v>16</v>
      </c>
      <c r="G545" s="3" t="s">
        <v>36</v>
      </c>
      <c r="H545" s="3" t="s">
        <v>279</v>
      </c>
      <c r="I545" s="3"/>
      <c r="J545" s="3"/>
    </row>
    <row r="546" customFormat="1" spans="1:10">
      <c r="A546" s="3">
        <v>16</v>
      </c>
      <c r="B546" s="4">
        <v>45608</v>
      </c>
      <c r="C546" s="3" t="s">
        <v>1104</v>
      </c>
      <c r="D546" s="3" t="s">
        <v>1105</v>
      </c>
      <c r="E546" s="3">
        <v>4031.15</v>
      </c>
      <c r="F546" s="3" t="s">
        <v>13</v>
      </c>
      <c r="G546" s="3" t="s">
        <v>98</v>
      </c>
      <c r="H546" s="3" t="s">
        <v>279</v>
      </c>
      <c r="I546" s="3"/>
      <c r="J546" s="3"/>
    </row>
    <row r="547" customFormat="1" spans="1:10">
      <c r="A547" s="3">
        <v>17</v>
      </c>
      <c r="B547" s="4">
        <v>45608</v>
      </c>
      <c r="C547" s="3" t="s">
        <v>1104</v>
      </c>
      <c r="D547" s="3" t="s">
        <v>1106</v>
      </c>
      <c r="E547" s="3">
        <v>24675</v>
      </c>
      <c r="F547" s="3" t="s">
        <v>13</v>
      </c>
      <c r="G547" s="3" t="s">
        <v>98</v>
      </c>
      <c r="H547" s="3" t="s">
        <v>279</v>
      </c>
      <c r="I547" s="3"/>
      <c r="J547" s="3"/>
    </row>
    <row r="548" customFormat="1" spans="1:10">
      <c r="A548" s="3">
        <v>18</v>
      </c>
      <c r="B548" s="4">
        <v>45608</v>
      </c>
      <c r="C548" s="3" t="s">
        <v>1104</v>
      </c>
      <c r="D548" s="3" t="s">
        <v>785</v>
      </c>
      <c r="E548" s="3">
        <v>14576.42</v>
      </c>
      <c r="F548" s="3" t="s">
        <v>13</v>
      </c>
      <c r="G548" s="3" t="s">
        <v>98</v>
      </c>
      <c r="H548" s="3" t="s">
        <v>279</v>
      </c>
      <c r="I548" s="3"/>
      <c r="J548" s="3"/>
    </row>
    <row r="549" customFormat="1" spans="1:10">
      <c r="A549" s="3">
        <v>19</v>
      </c>
      <c r="B549" s="4">
        <v>45608</v>
      </c>
      <c r="C549" s="3" t="s">
        <v>1107</v>
      </c>
      <c r="D549" s="3" t="s">
        <v>1108</v>
      </c>
      <c r="E549" s="3">
        <v>3100</v>
      </c>
      <c r="F549" s="3" t="s">
        <v>20</v>
      </c>
      <c r="G549" s="3" t="s">
        <v>98</v>
      </c>
      <c r="H549" s="3" t="s">
        <v>1056</v>
      </c>
      <c r="I549" s="3"/>
      <c r="J549" s="3"/>
    </row>
    <row r="550" customFormat="1" spans="1:10">
      <c r="A550" s="3">
        <v>20</v>
      </c>
      <c r="B550" s="4">
        <v>45608</v>
      </c>
      <c r="C550" s="3" t="s">
        <v>1107</v>
      </c>
      <c r="D550" s="3" t="s">
        <v>1109</v>
      </c>
      <c r="E550" s="3">
        <v>1620</v>
      </c>
      <c r="F550" s="3" t="s">
        <v>20</v>
      </c>
      <c r="G550" s="3" t="s">
        <v>98</v>
      </c>
      <c r="H550" s="3" t="s">
        <v>1056</v>
      </c>
      <c r="I550" s="3"/>
      <c r="J550" s="3"/>
    </row>
    <row r="551" customFormat="1" spans="1:10">
      <c r="A551" s="3">
        <v>21</v>
      </c>
      <c r="B551" s="4">
        <v>45608</v>
      </c>
      <c r="C551" s="3" t="s">
        <v>1107</v>
      </c>
      <c r="D551" s="3" t="s">
        <v>1110</v>
      </c>
      <c r="E551" s="3">
        <v>5000</v>
      </c>
      <c r="F551" s="3" t="s">
        <v>20</v>
      </c>
      <c r="G551" s="3" t="s">
        <v>98</v>
      </c>
      <c r="H551" s="3" t="s">
        <v>1056</v>
      </c>
      <c r="I551" s="3"/>
      <c r="J551" s="3"/>
    </row>
    <row r="552" customFormat="1" spans="1:10">
      <c r="A552" s="3">
        <v>22</v>
      </c>
      <c r="B552" s="4">
        <v>45609</v>
      </c>
      <c r="C552" s="3" t="s">
        <v>1111</v>
      </c>
      <c r="D552" s="3" t="s">
        <v>1112</v>
      </c>
      <c r="E552" s="3">
        <v>38606</v>
      </c>
      <c r="F552" s="3" t="s">
        <v>13</v>
      </c>
      <c r="G552" s="3">
        <v>0</v>
      </c>
      <c r="H552" s="3" t="s">
        <v>279</v>
      </c>
      <c r="I552" s="3"/>
      <c r="J552" s="3"/>
    </row>
    <row r="553" customFormat="1" spans="1:10">
      <c r="A553" s="3">
        <v>23</v>
      </c>
      <c r="B553" s="4">
        <v>45610</v>
      </c>
      <c r="C553" s="3" t="s">
        <v>982</v>
      </c>
      <c r="D553" s="3" t="s">
        <v>983</v>
      </c>
      <c r="E553" s="3">
        <v>20000</v>
      </c>
      <c r="F553" s="3" t="s">
        <v>16</v>
      </c>
      <c r="G553" s="3">
        <v>0</v>
      </c>
      <c r="H553" s="3" t="s">
        <v>285</v>
      </c>
      <c r="I553" s="3"/>
      <c r="J553" s="3"/>
    </row>
    <row r="554" customFormat="1" spans="1:10">
      <c r="A554" s="3">
        <v>24</v>
      </c>
      <c r="B554" s="4">
        <v>45615</v>
      </c>
      <c r="C554" s="3" t="s">
        <v>1113</v>
      </c>
      <c r="D554" s="3" t="s">
        <v>1114</v>
      </c>
      <c r="E554" s="3">
        <v>7797</v>
      </c>
      <c r="F554" s="3" t="s">
        <v>16</v>
      </c>
      <c r="G554" s="3" t="s">
        <v>36</v>
      </c>
      <c r="H554" s="3" t="s">
        <v>285</v>
      </c>
      <c r="I554" s="3"/>
      <c r="J554" s="3"/>
    </row>
    <row r="555" customFormat="1" spans="1:10">
      <c r="A555" s="3">
        <v>25</v>
      </c>
      <c r="B555" s="4">
        <v>45616</v>
      </c>
      <c r="C555" s="3" t="s">
        <v>1115</v>
      </c>
      <c r="D555" s="3" t="s">
        <v>1116</v>
      </c>
      <c r="E555" s="3">
        <v>3800</v>
      </c>
      <c r="F555" s="3" t="s">
        <v>13</v>
      </c>
      <c r="G555" s="3" t="s">
        <v>98</v>
      </c>
      <c r="H555" s="3" t="s">
        <v>1060</v>
      </c>
      <c r="I555" s="3"/>
      <c r="J555" s="3"/>
    </row>
    <row r="556" customFormat="1" spans="1:10">
      <c r="A556" s="3">
        <v>26</v>
      </c>
      <c r="B556" s="4">
        <v>45616</v>
      </c>
      <c r="C556" s="3" t="s">
        <v>590</v>
      </c>
      <c r="D556" s="3" t="s">
        <v>682</v>
      </c>
      <c r="E556" s="3">
        <v>2231</v>
      </c>
      <c r="F556" s="3" t="s">
        <v>16</v>
      </c>
      <c r="G556" s="3">
        <v>0</v>
      </c>
      <c r="H556" s="3" t="s">
        <v>285</v>
      </c>
      <c r="I556" s="3"/>
      <c r="J556" s="3"/>
    </row>
    <row r="557" customFormat="1" spans="1:10">
      <c r="A557" s="3">
        <v>27</v>
      </c>
      <c r="B557" s="4">
        <v>45616</v>
      </c>
      <c r="C557" s="3" t="s">
        <v>107</v>
      </c>
      <c r="D557" s="3" t="s">
        <v>1117</v>
      </c>
      <c r="E557" s="3">
        <v>28888.09</v>
      </c>
      <c r="F557" s="3" t="s">
        <v>13</v>
      </c>
      <c r="G557" s="3">
        <v>0</v>
      </c>
      <c r="H557" s="3" t="s">
        <v>537</v>
      </c>
      <c r="I557" s="3"/>
      <c r="J557" s="3"/>
    </row>
    <row r="558" customFormat="1" spans="1:10">
      <c r="A558" s="3">
        <v>28</v>
      </c>
      <c r="B558" s="4">
        <v>45617</v>
      </c>
      <c r="C558" s="3" t="s">
        <v>601</v>
      </c>
      <c r="D558" s="3" t="s">
        <v>1014</v>
      </c>
      <c r="E558" s="3">
        <v>15500</v>
      </c>
      <c r="F558" s="3" t="s">
        <v>43</v>
      </c>
      <c r="G558" s="3">
        <v>0</v>
      </c>
      <c r="H558" s="3" t="s">
        <v>307</v>
      </c>
      <c r="I558" s="3"/>
      <c r="J558" s="3"/>
    </row>
    <row r="559" customFormat="1" spans="1:10">
      <c r="A559" s="3">
        <v>29</v>
      </c>
      <c r="B559" s="4">
        <v>45617</v>
      </c>
      <c r="C559" s="3" t="s">
        <v>601</v>
      </c>
      <c r="D559" s="3" t="s">
        <v>1118</v>
      </c>
      <c r="E559" s="3">
        <v>6300</v>
      </c>
      <c r="F559" s="3" t="s">
        <v>43</v>
      </c>
      <c r="G559" s="3">
        <v>0</v>
      </c>
      <c r="H559" s="3" t="s">
        <v>307</v>
      </c>
      <c r="I559" s="3"/>
      <c r="J559" s="3"/>
    </row>
    <row r="560" customFormat="1" spans="1:10">
      <c r="A560" s="3">
        <v>30</v>
      </c>
      <c r="B560" s="4">
        <v>45617</v>
      </c>
      <c r="C560" s="3" t="s">
        <v>53</v>
      </c>
      <c r="D560" s="3" t="s">
        <v>1119</v>
      </c>
      <c r="E560" s="3">
        <v>21781.1</v>
      </c>
      <c r="F560" s="3" t="s">
        <v>113</v>
      </c>
      <c r="G560" s="3">
        <v>0</v>
      </c>
      <c r="H560" s="3" t="s">
        <v>285</v>
      </c>
      <c r="I560" s="3"/>
      <c r="J560" s="3"/>
    </row>
    <row r="561" customFormat="1" spans="1:10">
      <c r="A561" s="3">
        <v>31</v>
      </c>
      <c r="B561" s="4">
        <v>45618</v>
      </c>
      <c r="C561" s="3" t="s">
        <v>1120</v>
      </c>
      <c r="D561" s="3" t="s">
        <v>1121</v>
      </c>
      <c r="E561" s="3">
        <v>3400</v>
      </c>
      <c r="F561" s="3" t="s">
        <v>13</v>
      </c>
      <c r="G561" s="3" t="s">
        <v>1122</v>
      </c>
      <c r="H561" s="3" t="s">
        <v>1060</v>
      </c>
      <c r="I561" s="3"/>
      <c r="J561" s="3"/>
    </row>
    <row r="562" customFormat="1" spans="1:10">
      <c r="A562" s="3">
        <v>32</v>
      </c>
      <c r="B562" s="4">
        <v>45618</v>
      </c>
      <c r="C562" s="3" t="s">
        <v>1123</v>
      </c>
      <c r="D562" s="3" t="s">
        <v>1124</v>
      </c>
      <c r="E562" s="3">
        <v>2400</v>
      </c>
      <c r="F562" s="3" t="s">
        <v>13</v>
      </c>
      <c r="G562" s="3">
        <v>0</v>
      </c>
      <c r="H562" s="3" t="s">
        <v>1060</v>
      </c>
      <c r="I562" s="3"/>
      <c r="J562" s="3"/>
    </row>
    <row r="563" customFormat="1" spans="1:10">
      <c r="A563" s="3">
        <v>33</v>
      </c>
      <c r="B563" s="4">
        <v>45621</v>
      </c>
      <c r="C563" s="3" t="s">
        <v>1067</v>
      </c>
      <c r="D563" s="3" t="s">
        <v>1125</v>
      </c>
      <c r="E563" s="3">
        <v>39716.86</v>
      </c>
      <c r="F563" s="3" t="s">
        <v>43</v>
      </c>
      <c r="G563" s="3" t="s">
        <v>1043</v>
      </c>
      <c r="H563" s="3" t="s">
        <v>279</v>
      </c>
      <c r="I563" s="3"/>
      <c r="J563" s="3"/>
    </row>
    <row r="564" customFormat="1" spans="1:10">
      <c r="A564" s="3">
        <v>34</v>
      </c>
      <c r="B564" s="4">
        <v>45621</v>
      </c>
      <c r="C564" s="3" t="s">
        <v>1067</v>
      </c>
      <c r="D564" s="3" t="s">
        <v>1068</v>
      </c>
      <c r="E564" s="3">
        <v>20283.14</v>
      </c>
      <c r="F564" s="3" t="s">
        <v>43</v>
      </c>
      <c r="G564" s="3" t="s">
        <v>1043</v>
      </c>
      <c r="H564" s="3" t="s">
        <v>279</v>
      </c>
      <c r="I564" s="3"/>
      <c r="J564" s="3"/>
    </row>
    <row r="565" customFormat="1" spans="1:10">
      <c r="A565" s="3">
        <v>35</v>
      </c>
      <c r="B565" s="4">
        <v>45621</v>
      </c>
      <c r="C565" s="3" t="s">
        <v>1126</v>
      </c>
      <c r="D565" s="3" t="s">
        <v>1127</v>
      </c>
      <c r="E565" s="3">
        <v>7000</v>
      </c>
      <c r="F565" s="3" t="s">
        <v>13</v>
      </c>
      <c r="G565" s="3">
        <v>0</v>
      </c>
      <c r="H565" s="3" t="s">
        <v>279</v>
      </c>
      <c r="I565" s="3"/>
      <c r="J565" s="3"/>
    </row>
    <row r="566" customFormat="1" spans="1:10">
      <c r="A566" s="3">
        <v>36</v>
      </c>
      <c r="B566" s="4">
        <v>45621</v>
      </c>
      <c r="C566" s="3" t="s">
        <v>735</v>
      </c>
      <c r="D566" s="3" t="s">
        <v>1066</v>
      </c>
      <c r="E566" s="3">
        <v>100000</v>
      </c>
      <c r="F566" s="3" t="s">
        <v>13</v>
      </c>
      <c r="G566" s="3" t="s">
        <v>36</v>
      </c>
      <c r="H566" s="3" t="s">
        <v>279</v>
      </c>
      <c r="I566" s="3"/>
      <c r="J566" s="3"/>
    </row>
    <row r="567" customFormat="1" spans="1:10">
      <c r="A567" s="3">
        <v>38</v>
      </c>
      <c r="B567" s="4">
        <v>45621</v>
      </c>
      <c r="C567" s="3" t="s">
        <v>1067</v>
      </c>
      <c r="D567" s="3" t="s">
        <v>1128</v>
      </c>
      <c r="E567" s="3">
        <v>3000</v>
      </c>
      <c r="F567" s="3" t="s">
        <v>16</v>
      </c>
      <c r="G567" s="3" t="s">
        <v>98</v>
      </c>
      <c r="H567" s="3" t="s">
        <v>279</v>
      </c>
      <c r="I567" s="3"/>
      <c r="J567" s="3"/>
    </row>
    <row r="568" customFormat="1" spans="1:10">
      <c r="A568" s="3">
        <v>39</v>
      </c>
      <c r="B568" s="4">
        <v>45621</v>
      </c>
      <c r="C568" s="3" t="s">
        <v>619</v>
      </c>
      <c r="D568" s="3" t="s">
        <v>1129</v>
      </c>
      <c r="E568" s="3">
        <v>674720</v>
      </c>
      <c r="F568" s="3" t="s">
        <v>16</v>
      </c>
      <c r="G568" s="3">
        <v>0</v>
      </c>
      <c r="H568" s="3" t="s">
        <v>285</v>
      </c>
      <c r="I568" s="3"/>
      <c r="J568" s="3"/>
    </row>
    <row r="569" customFormat="1" spans="1:10">
      <c r="A569" s="3">
        <v>40</v>
      </c>
      <c r="B569" s="4">
        <v>45621</v>
      </c>
      <c r="C569" s="3" t="s">
        <v>45</v>
      </c>
      <c r="D569" s="3" t="s">
        <v>1130</v>
      </c>
      <c r="E569" s="3">
        <v>117634.1</v>
      </c>
      <c r="F569" s="3" t="s">
        <v>1062</v>
      </c>
      <c r="G569" s="3">
        <v>0</v>
      </c>
      <c r="H569" s="3" t="s">
        <v>285</v>
      </c>
      <c r="I569" s="3"/>
      <c r="J569" s="3"/>
    </row>
    <row r="570" customFormat="1" spans="1:10">
      <c r="A570" s="3">
        <v>41</v>
      </c>
      <c r="B570" s="4">
        <v>45621</v>
      </c>
      <c r="C570" s="3" t="s">
        <v>45</v>
      </c>
      <c r="D570" s="3" t="s">
        <v>1131</v>
      </c>
      <c r="E570" s="3">
        <v>166467.44</v>
      </c>
      <c r="F570" s="3" t="s">
        <v>1062</v>
      </c>
      <c r="G570" s="3">
        <v>0</v>
      </c>
      <c r="H570" s="3" t="s">
        <v>285</v>
      </c>
      <c r="I570" s="3"/>
      <c r="J570" s="3"/>
    </row>
    <row r="571" customFormat="1" spans="1:10">
      <c r="A571" s="3">
        <v>37</v>
      </c>
      <c r="B571" s="4">
        <v>45622</v>
      </c>
      <c r="C571" s="3" t="s">
        <v>1126</v>
      </c>
      <c r="D571" s="3" t="s">
        <v>1132</v>
      </c>
      <c r="E571" s="3">
        <v>45100</v>
      </c>
      <c r="F571" s="3" t="s">
        <v>13</v>
      </c>
      <c r="G571" s="3" t="s">
        <v>36</v>
      </c>
      <c r="H571" s="3" t="s">
        <v>279</v>
      </c>
      <c r="I571" s="3"/>
      <c r="J571" s="3"/>
    </row>
    <row r="572" customFormat="1" spans="1:10">
      <c r="A572" s="3">
        <v>42</v>
      </c>
      <c r="B572" s="4">
        <v>45622</v>
      </c>
      <c r="C572" s="3" t="s">
        <v>533</v>
      </c>
      <c r="D572" s="3" t="s">
        <v>853</v>
      </c>
      <c r="E572" s="3">
        <v>4400</v>
      </c>
      <c r="F572" s="3" t="s">
        <v>13</v>
      </c>
      <c r="G572" s="3">
        <v>0</v>
      </c>
      <c r="H572" s="3" t="s">
        <v>285</v>
      </c>
      <c r="I572" s="3"/>
      <c r="J572" s="3"/>
    </row>
    <row r="573" customFormat="1" spans="1:10">
      <c r="A573" s="3">
        <v>43</v>
      </c>
      <c r="B573" s="4">
        <v>45622</v>
      </c>
      <c r="C573" s="3" t="s">
        <v>735</v>
      </c>
      <c r="D573" s="3" t="s">
        <v>1066</v>
      </c>
      <c r="E573" s="3">
        <v>4000</v>
      </c>
      <c r="F573" s="3" t="s">
        <v>13</v>
      </c>
      <c r="G573" s="3">
        <v>0</v>
      </c>
      <c r="H573" s="3" t="s">
        <v>279</v>
      </c>
      <c r="I573" s="3"/>
      <c r="J573" s="3"/>
    </row>
    <row r="574" customFormat="1" spans="1:10">
      <c r="A574" s="3">
        <v>44</v>
      </c>
      <c r="B574" s="4">
        <v>45622</v>
      </c>
      <c r="C574" s="3" t="s">
        <v>14</v>
      </c>
      <c r="D574" s="3" t="s">
        <v>1019</v>
      </c>
      <c r="E574" s="3">
        <v>3130.99</v>
      </c>
      <c r="F574" s="3" t="s">
        <v>16</v>
      </c>
      <c r="G574" s="3" t="s">
        <v>388</v>
      </c>
      <c r="H574" s="3" t="s">
        <v>534</v>
      </c>
      <c r="I574" s="3"/>
      <c r="J574" s="3"/>
    </row>
    <row r="575" customFormat="1" spans="1:10">
      <c r="A575" s="3">
        <v>45</v>
      </c>
      <c r="B575" s="4">
        <v>45623</v>
      </c>
      <c r="C575" s="3" t="s">
        <v>14</v>
      </c>
      <c r="D575" s="3" t="s">
        <v>907</v>
      </c>
      <c r="E575" s="3">
        <v>20000</v>
      </c>
      <c r="F575" s="3" t="s">
        <v>16</v>
      </c>
      <c r="G575" s="3" t="s">
        <v>217</v>
      </c>
      <c r="H575" s="3" t="s">
        <v>534</v>
      </c>
      <c r="I575" s="3"/>
      <c r="J575" s="3"/>
    </row>
    <row r="576" customFormat="1" spans="1:10">
      <c r="A576" s="3">
        <v>46</v>
      </c>
      <c r="B576" s="4">
        <v>45623</v>
      </c>
      <c r="C576" s="3" t="s">
        <v>14</v>
      </c>
      <c r="D576" s="3" t="s">
        <v>183</v>
      </c>
      <c r="E576" s="3">
        <v>67400</v>
      </c>
      <c r="F576" s="3" t="s">
        <v>16</v>
      </c>
      <c r="G576" s="3" t="s">
        <v>217</v>
      </c>
      <c r="H576" s="3" t="s">
        <v>534</v>
      </c>
      <c r="I576" s="3"/>
      <c r="J576" s="3"/>
    </row>
    <row r="577" customFormat="1" spans="1:10">
      <c r="A577" s="3">
        <v>47</v>
      </c>
      <c r="B577" s="4">
        <v>45623</v>
      </c>
      <c r="C577" s="3" t="s">
        <v>14</v>
      </c>
      <c r="D577" s="3" t="s">
        <v>856</v>
      </c>
      <c r="E577" s="3">
        <v>27100</v>
      </c>
      <c r="F577" s="3" t="s">
        <v>16</v>
      </c>
      <c r="G577" s="3" t="s">
        <v>217</v>
      </c>
      <c r="H577" s="3" t="s">
        <v>534</v>
      </c>
      <c r="I577" s="3"/>
      <c r="J577" s="3"/>
    </row>
    <row r="578" customFormat="1" spans="1:10">
      <c r="A578" s="3">
        <v>48</v>
      </c>
      <c r="B578" s="4">
        <v>45623</v>
      </c>
      <c r="C578" s="3" t="s">
        <v>14</v>
      </c>
      <c r="D578" s="3" t="s">
        <v>1012</v>
      </c>
      <c r="E578" s="3">
        <v>50</v>
      </c>
      <c r="F578" s="3" t="s">
        <v>16</v>
      </c>
      <c r="G578" s="3" t="s">
        <v>217</v>
      </c>
      <c r="H578" s="3" t="s">
        <v>534</v>
      </c>
      <c r="I578" s="3"/>
      <c r="J578" s="3"/>
    </row>
    <row r="579" customFormat="1" spans="1:10">
      <c r="A579" s="3">
        <v>49</v>
      </c>
      <c r="B579" s="4">
        <v>45623</v>
      </c>
      <c r="C579" s="3" t="s">
        <v>14</v>
      </c>
      <c r="D579" s="3" t="s">
        <v>1012</v>
      </c>
      <c r="E579" s="3">
        <v>10600</v>
      </c>
      <c r="F579" s="3" t="s">
        <v>16</v>
      </c>
      <c r="G579" s="3" t="s">
        <v>217</v>
      </c>
      <c r="H579" s="3" t="s">
        <v>534</v>
      </c>
      <c r="I579" s="3"/>
      <c r="J579" s="3"/>
    </row>
    <row r="580" customFormat="1" spans="1:10">
      <c r="A580" s="3">
        <v>50</v>
      </c>
      <c r="B580" s="4">
        <v>45623</v>
      </c>
      <c r="C580" s="3" t="s">
        <v>14</v>
      </c>
      <c r="D580" s="3" t="s">
        <v>917</v>
      </c>
      <c r="E580" s="3">
        <v>40000</v>
      </c>
      <c r="F580" s="3" t="s">
        <v>16</v>
      </c>
      <c r="G580" s="3" t="s">
        <v>217</v>
      </c>
      <c r="H580" s="3" t="s">
        <v>534</v>
      </c>
      <c r="I580" s="3"/>
      <c r="J580" s="3"/>
    </row>
    <row r="581" customFormat="1" spans="1:10">
      <c r="A581" s="3">
        <v>51</v>
      </c>
      <c r="B581" s="4">
        <v>45623</v>
      </c>
      <c r="C581" s="3" t="s">
        <v>14</v>
      </c>
      <c r="D581" s="3" t="s">
        <v>1133</v>
      </c>
      <c r="E581" s="3">
        <v>172900</v>
      </c>
      <c r="F581" s="3" t="s">
        <v>16</v>
      </c>
      <c r="G581" s="3" t="s">
        <v>217</v>
      </c>
      <c r="H581" s="3" t="s">
        <v>534</v>
      </c>
      <c r="I581" s="3"/>
      <c r="J581" s="3"/>
    </row>
    <row r="582" customFormat="1" spans="1:10">
      <c r="A582" s="3">
        <v>52</v>
      </c>
      <c r="B582" s="4">
        <v>45623</v>
      </c>
      <c r="C582" s="3" t="s">
        <v>14</v>
      </c>
      <c r="D582" s="3" t="s">
        <v>913</v>
      </c>
      <c r="E582" s="3">
        <v>30000</v>
      </c>
      <c r="F582" s="3" t="s">
        <v>16</v>
      </c>
      <c r="G582" s="3" t="s">
        <v>217</v>
      </c>
      <c r="H582" s="3" t="s">
        <v>534</v>
      </c>
      <c r="I582" s="3"/>
      <c r="J582" s="3"/>
    </row>
    <row r="583" customFormat="1" spans="1:10">
      <c r="A583" s="3">
        <v>53</v>
      </c>
      <c r="B583" s="4">
        <v>45623</v>
      </c>
      <c r="C583" s="3" t="s">
        <v>14</v>
      </c>
      <c r="D583" s="3" t="s">
        <v>1017</v>
      </c>
      <c r="E583" s="3">
        <v>22000</v>
      </c>
      <c r="F583" s="3" t="s">
        <v>16</v>
      </c>
      <c r="G583" s="3" t="s">
        <v>217</v>
      </c>
      <c r="H583" s="3" t="s">
        <v>534</v>
      </c>
      <c r="I583" s="3"/>
      <c r="J583" s="3"/>
    </row>
    <row r="584" customFormat="1" spans="1:10">
      <c r="A584" s="3">
        <v>54</v>
      </c>
      <c r="B584" s="4">
        <v>45623</v>
      </c>
      <c r="C584" s="3" t="s">
        <v>14</v>
      </c>
      <c r="D584" s="3" t="s">
        <v>1018</v>
      </c>
      <c r="E584" s="3">
        <v>18500</v>
      </c>
      <c r="F584" s="3" t="s">
        <v>16</v>
      </c>
      <c r="G584" s="3" t="s">
        <v>217</v>
      </c>
      <c r="H584" s="3" t="s">
        <v>534</v>
      </c>
      <c r="I584" s="3"/>
      <c r="J584" s="3"/>
    </row>
    <row r="585" customFormat="1" spans="1:10">
      <c r="A585" s="3">
        <v>55</v>
      </c>
      <c r="B585" s="4">
        <v>45623</v>
      </c>
      <c r="C585" s="3" t="s">
        <v>14</v>
      </c>
      <c r="D585" s="3" t="s">
        <v>915</v>
      </c>
      <c r="E585" s="3">
        <v>40000</v>
      </c>
      <c r="F585" s="3" t="s">
        <v>16</v>
      </c>
      <c r="G585" s="3" t="s">
        <v>217</v>
      </c>
      <c r="H585" s="3" t="s">
        <v>534</v>
      </c>
      <c r="I585" s="3"/>
      <c r="J585" s="3"/>
    </row>
    <row r="586" customFormat="1" spans="1:10">
      <c r="A586" s="3">
        <v>56</v>
      </c>
      <c r="B586" s="4">
        <v>45623</v>
      </c>
      <c r="C586" s="3" t="s">
        <v>14</v>
      </c>
      <c r="D586" s="3" t="s">
        <v>181</v>
      </c>
      <c r="E586" s="3">
        <v>45300</v>
      </c>
      <c r="F586" s="3" t="s">
        <v>16</v>
      </c>
      <c r="G586" s="3" t="s">
        <v>217</v>
      </c>
      <c r="H586" s="3" t="s">
        <v>534</v>
      </c>
      <c r="I586" s="3"/>
      <c r="J586" s="3"/>
    </row>
    <row r="587" customFormat="1" spans="1:10">
      <c r="A587" s="3">
        <v>57</v>
      </c>
      <c r="B587" s="4">
        <v>45623</v>
      </c>
      <c r="C587" s="3" t="s">
        <v>14</v>
      </c>
      <c r="D587" s="3" t="s">
        <v>80</v>
      </c>
      <c r="E587" s="3">
        <v>65500</v>
      </c>
      <c r="F587" s="3" t="s">
        <v>16</v>
      </c>
      <c r="G587" s="3" t="s">
        <v>217</v>
      </c>
      <c r="H587" s="3" t="s">
        <v>534</v>
      </c>
      <c r="I587" s="3"/>
      <c r="J587" s="3"/>
    </row>
    <row r="588" customFormat="1" spans="1:10">
      <c r="A588" s="3">
        <v>58</v>
      </c>
      <c r="B588" s="4">
        <v>45623</v>
      </c>
      <c r="C588" s="3" t="s">
        <v>14</v>
      </c>
      <c r="D588" s="3" t="s">
        <v>1019</v>
      </c>
      <c r="E588" s="3">
        <v>2867.81</v>
      </c>
      <c r="F588" s="3" t="s">
        <v>16</v>
      </c>
      <c r="G588" s="3" t="s">
        <v>217</v>
      </c>
      <c r="H588" s="3" t="s">
        <v>534</v>
      </c>
      <c r="I588" s="3"/>
      <c r="J588" s="3"/>
    </row>
    <row r="589" customFormat="1" spans="1:10">
      <c r="A589" s="3">
        <v>59</v>
      </c>
      <c r="B589" s="4">
        <v>45623</v>
      </c>
      <c r="C589" s="3" t="s">
        <v>987</v>
      </c>
      <c r="D589" s="3" t="s">
        <v>988</v>
      </c>
      <c r="E589" s="3">
        <v>26190</v>
      </c>
      <c r="F589" s="3" t="s">
        <v>13</v>
      </c>
      <c r="G589" s="3">
        <v>0</v>
      </c>
      <c r="H589" s="3" t="s">
        <v>279</v>
      </c>
      <c r="I589" s="3"/>
      <c r="J589" s="3"/>
    </row>
    <row r="590" customFormat="1" spans="1:10">
      <c r="A590" s="3">
        <v>60</v>
      </c>
      <c r="B590" s="4">
        <v>45623</v>
      </c>
      <c r="C590" s="3" t="s">
        <v>1134</v>
      </c>
      <c r="D590" s="3" t="s">
        <v>762</v>
      </c>
      <c r="E590" s="3">
        <v>60819</v>
      </c>
      <c r="F590" s="3" t="s">
        <v>13</v>
      </c>
      <c r="G590" s="3">
        <v>0</v>
      </c>
      <c r="H590" s="3" t="s">
        <v>279</v>
      </c>
      <c r="I590" s="3"/>
      <c r="J590" s="3"/>
    </row>
    <row r="591" customFormat="1" spans="1:10">
      <c r="A591" s="3">
        <v>61</v>
      </c>
      <c r="B591" s="4">
        <v>45623</v>
      </c>
      <c r="C591" s="3" t="s">
        <v>931</v>
      </c>
      <c r="D591" s="3" t="s">
        <v>1135</v>
      </c>
      <c r="E591" s="3">
        <v>28500</v>
      </c>
      <c r="F591" s="3" t="s">
        <v>13</v>
      </c>
      <c r="G591" s="3">
        <v>0</v>
      </c>
      <c r="H591" s="3" t="s">
        <v>279</v>
      </c>
      <c r="I591" s="3"/>
      <c r="J591" s="3"/>
    </row>
    <row r="592" customFormat="1" spans="1:10">
      <c r="A592" s="3">
        <v>62</v>
      </c>
      <c r="B592" s="4">
        <v>45623</v>
      </c>
      <c r="C592" s="3" t="s">
        <v>53</v>
      </c>
      <c r="D592" s="3" t="s">
        <v>1119</v>
      </c>
      <c r="E592" s="3">
        <v>1660</v>
      </c>
      <c r="F592" s="3" t="s">
        <v>113</v>
      </c>
      <c r="G592" s="3">
        <v>0</v>
      </c>
      <c r="H592" s="3" t="s">
        <v>285</v>
      </c>
      <c r="I592" s="3"/>
      <c r="J592" s="3"/>
    </row>
    <row r="593" customFormat="1" spans="1:10">
      <c r="A593" s="3">
        <v>63</v>
      </c>
      <c r="B593" s="4">
        <v>45623</v>
      </c>
      <c r="C593" s="3" t="s">
        <v>53</v>
      </c>
      <c r="D593" s="3" t="s">
        <v>1119</v>
      </c>
      <c r="E593" s="3">
        <v>830</v>
      </c>
      <c r="F593" s="3" t="s">
        <v>113</v>
      </c>
      <c r="G593" s="3">
        <v>0</v>
      </c>
      <c r="H593" s="3" t="s">
        <v>285</v>
      </c>
      <c r="I593" s="3"/>
      <c r="J593" s="3"/>
    </row>
    <row r="594" customFormat="1" spans="1:10">
      <c r="A594" s="3">
        <v>64</v>
      </c>
      <c r="B594" s="4">
        <v>45624</v>
      </c>
      <c r="C594" s="3" t="s">
        <v>610</v>
      </c>
      <c r="D594" s="3" t="s">
        <v>1136</v>
      </c>
      <c r="E594" s="3">
        <v>2000</v>
      </c>
      <c r="F594" s="3" t="s">
        <v>13</v>
      </c>
      <c r="G594" s="3" t="s">
        <v>98</v>
      </c>
      <c r="H594" s="3" t="s">
        <v>279</v>
      </c>
      <c r="I594" s="3"/>
      <c r="J594" s="3"/>
    </row>
    <row r="595" customFormat="1" spans="1:10">
      <c r="A595" s="3">
        <v>65</v>
      </c>
      <c r="B595" s="4">
        <v>45624</v>
      </c>
      <c r="C595" s="3" t="s">
        <v>610</v>
      </c>
      <c r="D595" s="3" t="s">
        <v>1137</v>
      </c>
      <c r="E595" s="3">
        <v>2000</v>
      </c>
      <c r="F595" s="3" t="s">
        <v>13</v>
      </c>
      <c r="G595" s="3">
        <v>0</v>
      </c>
      <c r="H595" s="3" t="s">
        <v>279</v>
      </c>
      <c r="I595" s="3"/>
      <c r="J595" s="3"/>
    </row>
    <row r="596" customFormat="1" spans="1:10">
      <c r="A596" s="3">
        <v>66</v>
      </c>
      <c r="B596" s="4">
        <v>45624</v>
      </c>
      <c r="C596" s="3" t="s">
        <v>1081</v>
      </c>
      <c r="D596" s="3" t="s">
        <v>1082</v>
      </c>
      <c r="E596" s="3">
        <v>27000</v>
      </c>
      <c r="F596" s="3" t="s">
        <v>16</v>
      </c>
      <c r="G596" s="3">
        <v>0</v>
      </c>
      <c r="H596" s="3" t="s">
        <v>279</v>
      </c>
      <c r="I596" s="3"/>
      <c r="J596" s="3"/>
    </row>
    <row r="597" customFormat="1" spans="1:10">
      <c r="A597" s="3">
        <v>67</v>
      </c>
      <c r="B597" s="4">
        <v>45624</v>
      </c>
      <c r="C597" s="3" t="s">
        <v>259</v>
      </c>
      <c r="D597" s="3" t="s">
        <v>264</v>
      </c>
      <c r="E597" s="3">
        <v>237150</v>
      </c>
      <c r="F597" s="3" t="s">
        <v>16</v>
      </c>
      <c r="G597" s="3">
        <v>0</v>
      </c>
      <c r="H597" s="3" t="s">
        <v>285</v>
      </c>
      <c r="I597" s="3"/>
      <c r="J597" s="3"/>
    </row>
    <row r="598" customFormat="1" spans="1:10">
      <c r="A598" s="3">
        <v>68</v>
      </c>
      <c r="B598" s="4">
        <v>45625</v>
      </c>
      <c r="C598" s="3" t="s">
        <v>14</v>
      </c>
      <c r="D598" s="3" t="s">
        <v>1138</v>
      </c>
      <c r="E598" s="3">
        <v>13999.18</v>
      </c>
      <c r="F598" s="3" t="s">
        <v>16</v>
      </c>
      <c r="G598" s="3" t="s">
        <v>36</v>
      </c>
      <c r="H598" s="3" t="s">
        <v>285</v>
      </c>
      <c r="I598" s="3"/>
      <c r="J598" s="3"/>
    </row>
    <row r="599" customFormat="1" spans="1:10">
      <c r="A599" s="3">
        <v>69</v>
      </c>
      <c r="B599" s="4">
        <v>45625</v>
      </c>
      <c r="C599" s="3" t="s">
        <v>536</v>
      </c>
      <c r="D599" s="3" t="s">
        <v>771</v>
      </c>
      <c r="E599" s="3">
        <v>100000</v>
      </c>
      <c r="F599" s="3" t="s">
        <v>13</v>
      </c>
      <c r="G599" s="3" t="s">
        <v>36</v>
      </c>
      <c r="H599" s="3" t="s">
        <v>285</v>
      </c>
      <c r="I599" s="3"/>
      <c r="J599" s="3"/>
    </row>
    <row r="600" customFormat="1" spans="1:10">
      <c r="A600" s="3">
        <v>70</v>
      </c>
      <c r="B600" s="4">
        <v>45625</v>
      </c>
      <c r="C600" s="3" t="s">
        <v>1139</v>
      </c>
      <c r="D600" s="3" t="s">
        <v>1140</v>
      </c>
      <c r="E600" s="3">
        <v>15728</v>
      </c>
      <c r="F600" s="3" t="s">
        <v>13</v>
      </c>
      <c r="G600" s="3" t="s">
        <v>36</v>
      </c>
      <c r="H600" s="3" t="s">
        <v>279</v>
      </c>
      <c r="I600" s="3"/>
      <c r="J600" s="3"/>
    </row>
    <row r="601" customFormat="1" spans="1:10">
      <c r="A601" s="3">
        <v>71</v>
      </c>
      <c r="B601" s="4">
        <v>45625</v>
      </c>
      <c r="C601" s="3" t="s">
        <v>936</v>
      </c>
      <c r="D601" s="3" t="s">
        <v>937</v>
      </c>
      <c r="E601" s="3">
        <v>20000</v>
      </c>
      <c r="F601" s="3" t="s">
        <v>13</v>
      </c>
      <c r="G601" s="3">
        <v>0</v>
      </c>
      <c r="H601" s="3" t="s">
        <v>279</v>
      </c>
      <c r="I601" s="3"/>
      <c r="J601" s="3"/>
    </row>
    <row r="602" customFormat="1" spans="1:10">
      <c r="A602" s="3">
        <v>72</v>
      </c>
      <c r="B602" s="4">
        <v>45625</v>
      </c>
      <c r="C602" s="3" t="s">
        <v>174</v>
      </c>
      <c r="D602" s="3" t="s">
        <v>1141</v>
      </c>
      <c r="E602" s="3">
        <v>33000</v>
      </c>
      <c r="F602" s="3" t="s">
        <v>933</v>
      </c>
      <c r="G602" s="3">
        <v>0</v>
      </c>
      <c r="H602" s="3" t="s">
        <v>285</v>
      </c>
      <c r="I602" s="3"/>
      <c r="J602" s="3"/>
    </row>
    <row r="603" customFormat="1" spans="1:10">
      <c r="A603" s="3">
        <v>73</v>
      </c>
      <c r="B603" s="4">
        <v>45626</v>
      </c>
      <c r="C603" s="3" t="s">
        <v>1142</v>
      </c>
      <c r="D603" s="3" t="s">
        <v>39</v>
      </c>
      <c r="E603" s="3">
        <v>350000</v>
      </c>
      <c r="F603" s="3" t="s">
        <v>16</v>
      </c>
      <c r="G603" s="3" t="s">
        <v>1143</v>
      </c>
      <c r="H603" s="3" t="s">
        <v>285</v>
      </c>
      <c r="I603" s="3"/>
      <c r="J603" s="3"/>
    </row>
    <row r="604" customFormat="1" spans="1:10">
      <c r="A604" s="3">
        <v>74</v>
      </c>
      <c r="B604" s="4">
        <v>45626</v>
      </c>
      <c r="C604" s="3" t="s">
        <v>780</v>
      </c>
      <c r="D604" s="3" t="s">
        <v>781</v>
      </c>
      <c r="E604" s="3">
        <v>4687.95</v>
      </c>
      <c r="F604" s="3" t="s">
        <v>957</v>
      </c>
      <c r="G604" s="3" t="s">
        <v>36</v>
      </c>
      <c r="H604" s="3" t="s">
        <v>527</v>
      </c>
      <c r="I604" s="3"/>
      <c r="J604" s="3"/>
    </row>
    <row r="605" customFormat="1" spans="1:10">
      <c r="A605" s="3">
        <v>75</v>
      </c>
      <c r="B605" s="4">
        <v>45626</v>
      </c>
      <c r="C605" s="3" t="s">
        <v>780</v>
      </c>
      <c r="D605" s="3" t="s">
        <v>1144</v>
      </c>
      <c r="E605" s="3">
        <v>2312.05</v>
      </c>
      <c r="F605" s="3" t="s">
        <v>957</v>
      </c>
      <c r="G605" s="3" t="s">
        <v>36</v>
      </c>
      <c r="H605" s="3" t="s">
        <v>527</v>
      </c>
      <c r="I605" s="3"/>
      <c r="J605" s="3"/>
    </row>
    <row r="606" customFormat="1" spans="1:10">
      <c r="A606" s="3">
        <v>1</v>
      </c>
      <c r="B606" s="4">
        <v>45635</v>
      </c>
      <c r="C606" s="3" t="s">
        <v>1145</v>
      </c>
      <c r="D606" s="3" t="s">
        <v>1146</v>
      </c>
      <c r="E606" s="3">
        <v>40000</v>
      </c>
      <c r="F606" s="3" t="s">
        <v>43</v>
      </c>
      <c r="G606" s="3">
        <v>0</v>
      </c>
      <c r="H606" s="3" t="s">
        <v>279</v>
      </c>
      <c r="I606" s="3"/>
      <c r="J606" s="3"/>
    </row>
    <row r="607" customFormat="1" spans="1:10">
      <c r="A607" s="3">
        <v>2</v>
      </c>
      <c r="B607" s="4">
        <v>45638</v>
      </c>
      <c r="C607" s="3" t="s">
        <v>649</v>
      </c>
      <c r="D607" s="3" t="s">
        <v>701</v>
      </c>
      <c r="E607" s="3">
        <v>32305.56</v>
      </c>
      <c r="F607" s="3" t="s">
        <v>43</v>
      </c>
      <c r="G607" s="3" t="s">
        <v>36</v>
      </c>
      <c r="H607" s="3" t="s">
        <v>285</v>
      </c>
      <c r="I607" s="3"/>
      <c r="J607" s="3"/>
    </row>
    <row r="608" customFormat="1" spans="1:10">
      <c r="A608" s="3">
        <v>3</v>
      </c>
      <c r="B608" s="4">
        <v>45638</v>
      </c>
      <c r="C608" s="3" t="s">
        <v>649</v>
      </c>
      <c r="D608" s="3" t="s">
        <v>701</v>
      </c>
      <c r="E608" s="3">
        <v>12254.67</v>
      </c>
      <c r="F608" s="3" t="s">
        <v>43</v>
      </c>
      <c r="G608" s="3" t="s">
        <v>36</v>
      </c>
      <c r="H608" s="3" t="s">
        <v>285</v>
      </c>
      <c r="I608" s="3"/>
      <c r="J608" s="3"/>
    </row>
    <row r="609" customFormat="1" spans="1:10">
      <c r="A609" s="3">
        <v>4</v>
      </c>
      <c r="B609" s="4">
        <v>45638</v>
      </c>
      <c r="C609" s="3" t="s">
        <v>649</v>
      </c>
      <c r="D609" s="3" t="s">
        <v>701</v>
      </c>
      <c r="E609" s="3">
        <v>52.47</v>
      </c>
      <c r="F609" s="3" t="s">
        <v>13</v>
      </c>
      <c r="G609" s="3">
        <v>0</v>
      </c>
      <c r="H609" s="3" t="s">
        <v>285</v>
      </c>
      <c r="I609" s="3"/>
      <c r="J609" s="3"/>
    </row>
    <row r="610" customFormat="1" spans="1:10">
      <c r="A610" s="3">
        <v>5</v>
      </c>
      <c r="B610" s="4">
        <v>45643</v>
      </c>
      <c r="C610" s="3" t="s">
        <v>562</v>
      </c>
      <c r="D610" s="3" t="s">
        <v>1147</v>
      </c>
      <c r="E610" s="3">
        <v>100000</v>
      </c>
      <c r="F610" s="3" t="s">
        <v>13</v>
      </c>
      <c r="G610" s="3" t="s">
        <v>98</v>
      </c>
      <c r="H610" s="3" t="s">
        <v>943</v>
      </c>
      <c r="I610" s="3"/>
      <c r="J610" s="3"/>
    </row>
    <row r="611" customFormat="1" spans="1:10">
      <c r="A611" s="3">
        <v>6</v>
      </c>
      <c r="B611" s="4">
        <v>45643</v>
      </c>
      <c r="C611" s="3" t="s">
        <v>561</v>
      </c>
      <c r="D611" s="3" t="s">
        <v>1097</v>
      </c>
      <c r="E611" s="3">
        <v>38542.4</v>
      </c>
      <c r="F611" s="3" t="s">
        <v>16</v>
      </c>
      <c r="G611" s="3" t="s">
        <v>36</v>
      </c>
      <c r="H611" s="3" t="s">
        <v>1148</v>
      </c>
      <c r="I611" s="3"/>
      <c r="J611" s="3"/>
    </row>
    <row r="612" customFormat="1" spans="1:10">
      <c r="A612" s="3">
        <v>7</v>
      </c>
      <c r="B612" s="4">
        <v>45643</v>
      </c>
      <c r="C612" s="3" t="s">
        <v>561</v>
      </c>
      <c r="D612" s="3" t="s">
        <v>1149</v>
      </c>
      <c r="E612" s="3">
        <v>11457.6</v>
      </c>
      <c r="F612" s="3" t="s">
        <v>16</v>
      </c>
      <c r="G612" s="3" t="s">
        <v>36</v>
      </c>
      <c r="H612" s="3" t="s">
        <v>1148</v>
      </c>
      <c r="I612" s="3"/>
      <c r="J612" s="3"/>
    </row>
    <row r="613" customFormat="1" spans="1:10">
      <c r="A613" s="3">
        <v>8</v>
      </c>
      <c r="B613" s="4">
        <v>45644</v>
      </c>
      <c r="C613" s="3" t="s">
        <v>1150</v>
      </c>
      <c r="D613" s="3" t="s">
        <v>1151</v>
      </c>
      <c r="E613" s="3">
        <v>30000</v>
      </c>
      <c r="F613" s="3" t="s">
        <v>1152</v>
      </c>
      <c r="G613" s="3" t="s">
        <v>98</v>
      </c>
      <c r="H613" s="3" t="s">
        <v>279</v>
      </c>
      <c r="I613" s="3"/>
      <c r="J613" s="3"/>
    </row>
    <row r="614" customFormat="1" spans="1:10">
      <c r="A614" s="3">
        <v>9</v>
      </c>
      <c r="B614" s="4">
        <v>45645</v>
      </c>
      <c r="C614" s="3" t="s">
        <v>1153</v>
      </c>
      <c r="D614" s="3" t="s">
        <v>1154</v>
      </c>
      <c r="E614" s="3">
        <v>18386.78</v>
      </c>
      <c r="F614" s="3" t="s">
        <v>13</v>
      </c>
      <c r="G614" s="3">
        <v>0</v>
      </c>
      <c r="H614" s="3" t="s">
        <v>279</v>
      </c>
      <c r="I614" s="3"/>
      <c r="J614" s="3"/>
    </row>
    <row r="615" customFormat="1" spans="1:10">
      <c r="A615" s="3">
        <v>10</v>
      </c>
      <c r="B615" s="4">
        <v>45645</v>
      </c>
      <c r="C615" s="3" t="s">
        <v>1155</v>
      </c>
      <c r="D615" s="3" t="s">
        <v>1156</v>
      </c>
      <c r="E615" s="3">
        <v>84550</v>
      </c>
      <c r="F615" s="3" t="s">
        <v>13</v>
      </c>
      <c r="G615" s="3">
        <v>0</v>
      </c>
      <c r="H615" s="3" t="s">
        <v>943</v>
      </c>
      <c r="I615" s="3"/>
      <c r="J615" s="3"/>
    </row>
    <row r="616" customFormat="1" spans="1:10">
      <c r="A616" s="3">
        <v>11</v>
      </c>
      <c r="B616" s="4">
        <v>45646</v>
      </c>
      <c r="C616" s="3" t="s">
        <v>195</v>
      </c>
      <c r="D616" s="3" t="s">
        <v>1157</v>
      </c>
      <c r="E616" s="3">
        <v>2091.12</v>
      </c>
      <c r="F616" s="3" t="s">
        <v>16</v>
      </c>
      <c r="G616" s="3">
        <v>0</v>
      </c>
      <c r="H616" s="3" t="s">
        <v>1060</v>
      </c>
      <c r="I616" s="3"/>
      <c r="J616" s="3"/>
    </row>
    <row r="617" customFormat="1" spans="1:10">
      <c r="A617" s="3">
        <v>12</v>
      </c>
      <c r="B617" s="4">
        <v>45649</v>
      </c>
      <c r="C617" s="3" t="s">
        <v>642</v>
      </c>
      <c r="D617" s="3" t="s">
        <v>1158</v>
      </c>
      <c r="E617" s="3">
        <v>118750</v>
      </c>
      <c r="F617" s="3" t="s">
        <v>13</v>
      </c>
      <c r="G617" s="3">
        <v>0</v>
      </c>
      <c r="H617" s="3" t="s">
        <v>943</v>
      </c>
      <c r="I617" s="3"/>
      <c r="J617" s="3"/>
    </row>
    <row r="618" customFormat="1" spans="1:10">
      <c r="A618" s="3">
        <v>13</v>
      </c>
      <c r="B618" s="4">
        <v>45649</v>
      </c>
      <c r="C618" s="3" t="s">
        <v>590</v>
      </c>
      <c r="D618" s="3" t="s">
        <v>682</v>
      </c>
      <c r="E618" s="3">
        <v>1746</v>
      </c>
      <c r="F618" s="3" t="s">
        <v>16</v>
      </c>
      <c r="G618" s="3">
        <v>0</v>
      </c>
      <c r="H618" s="3" t="s">
        <v>285</v>
      </c>
      <c r="I618" s="3"/>
      <c r="J618" s="3"/>
    </row>
    <row r="619" customFormat="1" spans="1:10">
      <c r="A619" s="3">
        <v>14</v>
      </c>
      <c r="B619" s="4">
        <v>45650</v>
      </c>
      <c r="C619" s="3" t="s">
        <v>14</v>
      </c>
      <c r="D619" s="3" t="s">
        <v>1159</v>
      </c>
      <c r="E619" s="3">
        <v>645.44</v>
      </c>
      <c r="F619" s="3" t="s">
        <v>16</v>
      </c>
      <c r="G619" s="3">
        <v>0</v>
      </c>
      <c r="H619" s="3" t="s">
        <v>1160</v>
      </c>
      <c r="I619" s="3"/>
      <c r="J619" s="3"/>
    </row>
    <row r="620" customFormat="1" spans="1:10">
      <c r="A620" s="3">
        <v>15</v>
      </c>
      <c r="B620" s="4">
        <v>45650</v>
      </c>
      <c r="C620" s="3" t="s">
        <v>207</v>
      </c>
      <c r="D620" s="3" t="s">
        <v>1161</v>
      </c>
      <c r="E620" s="3">
        <v>2316.5</v>
      </c>
      <c r="F620" s="3" t="s">
        <v>16</v>
      </c>
      <c r="G620" s="3">
        <v>0</v>
      </c>
      <c r="H620" s="3" t="s">
        <v>285</v>
      </c>
      <c r="I620" s="3"/>
      <c r="J620" s="3"/>
    </row>
    <row r="621" customFormat="1" spans="1:10">
      <c r="A621" s="3">
        <v>0</v>
      </c>
      <c r="B621" s="4">
        <v>45650</v>
      </c>
      <c r="C621" s="3" t="s">
        <v>14</v>
      </c>
      <c r="D621" s="3" t="s">
        <v>1012</v>
      </c>
      <c r="E621" s="3">
        <v>180</v>
      </c>
      <c r="F621" s="3" t="s">
        <v>16</v>
      </c>
      <c r="G621" s="3" t="s">
        <v>1162</v>
      </c>
      <c r="H621" s="3" t="s">
        <v>1160</v>
      </c>
      <c r="I621" s="3"/>
      <c r="J621" s="3"/>
    </row>
    <row r="622" customFormat="1" spans="1:10">
      <c r="A622" s="3">
        <v>17</v>
      </c>
      <c r="B622" s="4">
        <v>45651</v>
      </c>
      <c r="C622" s="3" t="s">
        <v>564</v>
      </c>
      <c r="D622" s="3" t="s">
        <v>855</v>
      </c>
      <c r="E622" s="3">
        <v>7200</v>
      </c>
      <c r="F622" s="3" t="s">
        <v>20</v>
      </c>
      <c r="G622" s="3" t="s">
        <v>98</v>
      </c>
      <c r="H622" s="3" t="s">
        <v>1056</v>
      </c>
      <c r="I622" s="3"/>
      <c r="J622" s="3"/>
    </row>
    <row r="623" s="1" customFormat="1" spans="1:10">
      <c r="A623" s="9">
        <v>0</v>
      </c>
      <c r="B623" s="10">
        <v>45652</v>
      </c>
      <c r="C623" s="9" t="s">
        <v>14</v>
      </c>
      <c r="D623" s="9" t="s">
        <v>1159</v>
      </c>
      <c r="E623" s="9">
        <v>93018.91</v>
      </c>
      <c r="F623" s="9" t="s">
        <v>16</v>
      </c>
      <c r="G623" s="9" t="s">
        <v>1163</v>
      </c>
      <c r="H623" s="9" t="s">
        <v>1160</v>
      </c>
      <c r="I623" s="9"/>
      <c r="J623" s="9"/>
    </row>
    <row r="624" s="1" customFormat="1" spans="1:10">
      <c r="A624" s="9">
        <v>0</v>
      </c>
      <c r="B624" s="10">
        <v>45652</v>
      </c>
      <c r="C624" s="9" t="s">
        <v>14</v>
      </c>
      <c r="D624" s="9" t="s">
        <v>1164</v>
      </c>
      <c r="E624" s="9">
        <v>9000</v>
      </c>
      <c r="F624" s="9" t="s">
        <v>16</v>
      </c>
      <c r="G624" s="9" t="s">
        <v>1163</v>
      </c>
      <c r="H624" s="9" t="s">
        <v>1160</v>
      </c>
      <c r="I624" s="9"/>
      <c r="J624" s="9"/>
    </row>
    <row r="625" s="1" customFormat="1" spans="1:10">
      <c r="A625" s="9">
        <v>0</v>
      </c>
      <c r="B625" s="10">
        <v>45652</v>
      </c>
      <c r="C625" s="9" t="s">
        <v>14</v>
      </c>
      <c r="D625" s="9" t="s">
        <v>1165</v>
      </c>
      <c r="E625" s="9">
        <v>30886.5</v>
      </c>
      <c r="F625" s="9" t="s">
        <v>16</v>
      </c>
      <c r="G625" s="9" t="s">
        <v>1163</v>
      </c>
      <c r="H625" s="9" t="s">
        <v>1160</v>
      </c>
      <c r="I625" s="9"/>
      <c r="J625" s="9"/>
    </row>
    <row r="626" customFormat="1" spans="1:10">
      <c r="A626" s="3">
        <v>0</v>
      </c>
      <c r="B626" s="4">
        <v>45652</v>
      </c>
      <c r="C626" s="3" t="s">
        <v>14</v>
      </c>
      <c r="D626" s="3" t="s">
        <v>1166</v>
      </c>
      <c r="E626" s="3">
        <v>14716</v>
      </c>
      <c r="F626" s="3" t="s">
        <v>16</v>
      </c>
      <c r="G626" s="3" t="s">
        <v>1163</v>
      </c>
      <c r="H626" s="3" t="s">
        <v>1160</v>
      </c>
      <c r="I626" s="3"/>
      <c r="J626" s="3"/>
    </row>
    <row r="627" customFormat="1" spans="1:10">
      <c r="A627" s="3">
        <v>0</v>
      </c>
      <c r="B627" s="4">
        <v>45652</v>
      </c>
      <c r="C627" s="3" t="s">
        <v>14</v>
      </c>
      <c r="D627" s="3" t="s">
        <v>1167</v>
      </c>
      <c r="E627" s="3">
        <v>22999.7</v>
      </c>
      <c r="F627" s="3" t="s">
        <v>16</v>
      </c>
      <c r="G627" s="3" t="s">
        <v>1163</v>
      </c>
      <c r="H627" s="3" t="s">
        <v>1160</v>
      </c>
      <c r="I627" s="3"/>
      <c r="J627" s="3"/>
    </row>
    <row r="628" customFormat="1" spans="1:10">
      <c r="A628" s="3">
        <v>0</v>
      </c>
      <c r="B628" s="4">
        <v>45652</v>
      </c>
      <c r="C628" s="3" t="s">
        <v>14</v>
      </c>
      <c r="D628" s="3" t="s">
        <v>1168</v>
      </c>
      <c r="E628" s="3">
        <v>12890</v>
      </c>
      <c r="F628" s="3" t="s">
        <v>16</v>
      </c>
      <c r="G628" s="3" t="s">
        <v>1163</v>
      </c>
      <c r="H628" s="3" t="s">
        <v>1160</v>
      </c>
      <c r="I628" s="3"/>
      <c r="J628" s="3"/>
    </row>
    <row r="629" customFormat="1" spans="1:10">
      <c r="A629" s="3">
        <v>0</v>
      </c>
      <c r="B629" s="4">
        <v>45652</v>
      </c>
      <c r="C629" s="3" t="s">
        <v>14</v>
      </c>
      <c r="D629" s="3" t="s">
        <v>1169</v>
      </c>
      <c r="E629" s="3">
        <v>12578</v>
      </c>
      <c r="F629" s="3" t="s">
        <v>16</v>
      </c>
      <c r="G629" s="3" t="s">
        <v>1163</v>
      </c>
      <c r="H629" s="3" t="s">
        <v>1160</v>
      </c>
      <c r="I629" s="3"/>
      <c r="J629" s="3"/>
    </row>
    <row r="630" customFormat="1" spans="1:10">
      <c r="A630" s="3">
        <v>0</v>
      </c>
      <c r="B630" s="4">
        <v>45652</v>
      </c>
      <c r="C630" s="3" t="s">
        <v>14</v>
      </c>
      <c r="D630" s="3" t="s">
        <v>1170</v>
      </c>
      <c r="E630" s="3">
        <v>6653.67</v>
      </c>
      <c r="F630" s="3" t="s">
        <v>16</v>
      </c>
      <c r="G630" s="3" t="s">
        <v>1163</v>
      </c>
      <c r="H630" s="3" t="s">
        <v>1160</v>
      </c>
      <c r="I630" s="3"/>
      <c r="J630" s="3"/>
    </row>
    <row r="631" customFormat="1" spans="1:10">
      <c r="A631" s="3">
        <v>0</v>
      </c>
      <c r="B631" s="4">
        <v>45652</v>
      </c>
      <c r="C631" s="3" t="s">
        <v>14</v>
      </c>
      <c r="D631" s="3" t="s">
        <v>1171</v>
      </c>
      <c r="E631" s="3">
        <v>15600</v>
      </c>
      <c r="F631" s="3" t="s">
        <v>16</v>
      </c>
      <c r="G631" s="3" t="s">
        <v>1163</v>
      </c>
      <c r="H631" s="3" t="s">
        <v>1160</v>
      </c>
      <c r="I631" s="3"/>
      <c r="J631" s="3"/>
    </row>
    <row r="632" customFormat="1" spans="1:10">
      <c r="A632" s="3">
        <v>0</v>
      </c>
      <c r="B632" s="4">
        <v>45652</v>
      </c>
      <c r="C632" s="3" t="s">
        <v>14</v>
      </c>
      <c r="D632" s="3" t="s">
        <v>1172</v>
      </c>
      <c r="E632" s="3">
        <v>12069</v>
      </c>
      <c r="F632" s="3" t="s">
        <v>16</v>
      </c>
      <c r="G632" s="3" t="s">
        <v>1163</v>
      </c>
      <c r="H632" s="3" t="s">
        <v>1160</v>
      </c>
      <c r="I632" s="3"/>
      <c r="J632" s="3"/>
    </row>
    <row r="633" customFormat="1" spans="1:10">
      <c r="A633" s="3">
        <v>0</v>
      </c>
      <c r="B633" s="4">
        <v>45652</v>
      </c>
      <c r="C633" s="3" t="s">
        <v>14</v>
      </c>
      <c r="D633" s="3" t="s">
        <v>1173</v>
      </c>
      <c r="E633" s="3">
        <v>12800</v>
      </c>
      <c r="F633" s="3" t="s">
        <v>16</v>
      </c>
      <c r="G633" s="3" t="s">
        <v>1163</v>
      </c>
      <c r="H633" s="3" t="s">
        <v>1160</v>
      </c>
      <c r="I633" s="3"/>
      <c r="J633" s="3"/>
    </row>
    <row r="634" customFormat="1" spans="1:10">
      <c r="A634" s="3">
        <v>16</v>
      </c>
      <c r="B634" s="4">
        <v>45652</v>
      </c>
      <c r="C634" s="3" t="s">
        <v>14</v>
      </c>
      <c r="D634" s="3" t="s">
        <v>1174</v>
      </c>
      <c r="E634" s="3">
        <v>617.679999999993</v>
      </c>
      <c r="F634" s="3" t="s">
        <v>16</v>
      </c>
      <c r="G634" s="3" t="s">
        <v>1163</v>
      </c>
      <c r="H634" s="3" t="s">
        <v>1160</v>
      </c>
      <c r="I634" s="3"/>
      <c r="J634" s="3"/>
    </row>
    <row r="635" customFormat="1" spans="1:10">
      <c r="A635" s="3">
        <v>18</v>
      </c>
      <c r="B635" s="4">
        <v>45652</v>
      </c>
      <c r="C635" s="3" t="s">
        <v>528</v>
      </c>
      <c r="D635" s="3" t="s">
        <v>1119</v>
      </c>
      <c r="E635" s="3">
        <v>29800.9</v>
      </c>
      <c r="F635" s="3" t="s">
        <v>1152</v>
      </c>
      <c r="G635" s="3" t="s">
        <v>36</v>
      </c>
      <c r="H635" s="3" t="s">
        <v>527</v>
      </c>
      <c r="I635" s="3"/>
      <c r="J635" s="3"/>
    </row>
    <row r="636" customFormat="1" spans="1:10">
      <c r="A636" s="3">
        <v>19</v>
      </c>
      <c r="B636" s="4">
        <v>45652</v>
      </c>
      <c r="C636" s="3" t="s">
        <v>528</v>
      </c>
      <c r="D636" s="3" t="s">
        <v>1119</v>
      </c>
      <c r="E636" s="3">
        <v>22452</v>
      </c>
      <c r="F636" s="3" t="s">
        <v>1152</v>
      </c>
      <c r="G636" s="3" t="s">
        <v>36</v>
      </c>
      <c r="H636" s="3" t="s">
        <v>527</v>
      </c>
      <c r="I636" s="3"/>
      <c r="J636" s="3"/>
    </row>
    <row r="637" customFormat="1" spans="1:10">
      <c r="A637" s="3">
        <v>20</v>
      </c>
      <c r="B637" s="4">
        <v>45652</v>
      </c>
      <c r="C637" s="3" t="s">
        <v>528</v>
      </c>
      <c r="D637" s="3" t="s">
        <v>1086</v>
      </c>
      <c r="E637" s="3">
        <v>1807.1</v>
      </c>
      <c r="F637" s="3" t="s">
        <v>1152</v>
      </c>
      <c r="G637" s="3" t="s">
        <v>36</v>
      </c>
      <c r="H637" s="3" t="s">
        <v>527</v>
      </c>
      <c r="I637" s="3"/>
      <c r="J637" s="3"/>
    </row>
    <row r="638" customFormat="1" spans="1:10">
      <c r="A638" s="3">
        <v>21</v>
      </c>
      <c r="B638" s="4">
        <v>45652</v>
      </c>
      <c r="C638" s="3" t="s">
        <v>735</v>
      </c>
      <c r="D638" s="3" t="s">
        <v>1175</v>
      </c>
      <c r="E638" s="3">
        <v>36000</v>
      </c>
      <c r="F638" s="3" t="s">
        <v>13</v>
      </c>
      <c r="G638" s="3" t="s">
        <v>36</v>
      </c>
      <c r="H638" s="3" t="s">
        <v>279</v>
      </c>
      <c r="I638" s="3"/>
      <c r="J638" s="3"/>
    </row>
    <row r="639" customFormat="1" spans="1:10">
      <c r="A639" s="3">
        <v>22</v>
      </c>
      <c r="B639" s="4">
        <v>45653</v>
      </c>
      <c r="C639" s="3" t="s">
        <v>1176</v>
      </c>
      <c r="D639" s="3" t="s">
        <v>1177</v>
      </c>
      <c r="E639" s="3">
        <v>13300</v>
      </c>
      <c r="F639" s="3" t="s">
        <v>16</v>
      </c>
      <c r="G639" s="3">
        <v>0</v>
      </c>
      <c r="H639" s="3" t="s">
        <v>285</v>
      </c>
      <c r="I639" s="3"/>
      <c r="J639" s="3"/>
    </row>
    <row r="640" customFormat="1" spans="1:10">
      <c r="A640" s="3">
        <v>23</v>
      </c>
      <c r="B640" s="4">
        <v>45653</v>
      </c>
      <c r="C640" s="3" t="s">
        <v>307</v>
      </c>
      <c r="D640" s="3" t="s">
        <v>960</v>
      </c>
      <c r="E640" s="3">
        <v>10000</v>
      </c>
      <c r="F640" s="3" t="s">
        <v>463</v>
      </c>
      <c r="G640" s="3" t="s">
        <v>1178</v>
      </c>
      <c r="H640" s="3" t="s">
        <v>307</v>
      </c>
      <c r="I640" s="3"/>
      <c r="J640" s="3"/>
    </row>
    <row r="641" customFormat="1" spans="1:10">
      <c r="A641" s="3">
        <v>24</v>
      </c>
      <c r="B641" s="4">
        <v>45654</v>
      </c>
      <c r="C641" s="3" t="s">
        <v>533</v>
      </c>
      <c r="D641" s="3" t="s">
        <v>853</v>
      </c>
      <c r="E641" s="3">
        <v>34800</v>
      </c>
      <c r="F641" s="3" t="s">
        <v>13</v>
      </c>
      <c r="G641" s="3">
        <v>0</v>
      </c>
      <c r="H641" s="3" t="s">
        <v>281</v>
      </c>
      <c r="I641" s="3"/>
      <c r="J641" s="3"/>
    </row>
    <row r="642" customFormat="1" spans="1:10">
      <c r="A642" s="3">
        <v>26</v>
      </c>
      <c r="B642" s="4">
        <v>45655</v>
      </c>
      <c r="C642" s="3" t="s">
        <v>14</v>
      </c>
      <c r="D642" s="3" t="s">
        <v>1159</v>
      </c>
      <c r="E642" s="3">
        <v>89.15</v>
      </c>
      <c r="F642" s="3" t="s">
        <v>16</v>
      </c>
      <c r="G642" s="3">
        <v>0</v>
      </c>
      <c r="H642" s="3" t="s">
        <v>1160</v>
      </c>
      <c r="I642" s="3"/>
      <c r="J642" s="3"/>
    </row>
    <row r="643" customFormat="1" spans="1:10">
      <c r="A643" s="3">
        <v>27</v>
      </c>
      <c r="B643" s="4">
        <v>45655</v>
      </c>
      <c r="C643" s="3" t="s">
        <v>14</v>
      </c>
      <c r="D643" s="3" t="s">
        <v>1159</v>
      </c>
      <c r="E643" s="3">
        <v>189</v>
      </c>
      <c r="F643" s="3" t="s">
        <v>16</v>
      </c>
      <c r="G643" s="3">
        <v>0</v>
      </c>
      <c r="H643" s="3" t="s">
        <v>1160</v>
      </c>
      <c r="I643" s="3"/>
      <c r="J643" s="3"/>
    </row>
    <row r="644" customFormat="1" spans="1:10">
      <c r="A644" s="3">
        <v>0</v>
      </c>
      <c r="B644" s="4">
        <v>45656</v>
      </c>
      <c r="C644" s="3" t="s">
        <v>14</v>
      </c>
      <c r="D644" s="3" t="s">
        <v>1174</v>
      </c>
      <c r="E644" s="3">
        <v>67146.92</v>
      </c>
      <c r="F644" s="3" t="s">
        <v>16</v>
      </c>
      <c r="G644" s="3" t="s">
        <v>1179</v>
      </c>
      <c r="H644" s="3" t="s">
        <v>1160</v>
      </c>
      <c r="I644" s="3"/>
      <c r="J644" s="3"/>
    </row>
    <row r="645" customFormat="1" spans="1:10">
      <c r="A645" s="3">
        <v>0</v>
      </c>
      <c r="B645" s="4">
        <v>45656</v>
      </c>
      <c r="C645" s="3" t="s">
        <v>14</v>
      </c>
      <c r="D645" s="3" t="s">
        <v>917</v>
      </c>
      <c r="E645" s="3">
        <v>30000</v>
      </c>
      <c r="F645" s="3" t="s">
        <v>16</v>
      </c>
      <c r="G645" s="3" t="s">
        <v>1179</v>
      </c>
      <c r="H645" s="3" t="s">
        <v>1160</v>
      </c>
      <c r="I645" s="3"/>
      <c r="J645" s="3"/>
    </row>
    <row r="646" customFormat="1" spans="1:10">
      <c r="A646" s="3">
        <v>0</v>
      </c>
      <c r="B646" s="4">
        <v>45656</v>
      </c>
      <c r="C646" s="3" t="s">
        <v>14</v>
      </c>
      <c r="D646" s="3" t="s">
        <v>913</v>
      </c>
      <c r="E646" s="3">
        <v>20000</v>
      </c>
      <c r="F646" s="3" t="s">
        <v>16</v>
      </c>
      <c r="G646" s="3" t="s">
        <v>1179</v>
      </c>
      <c r="H646" s="3" t="s">
        <v>1160</v>
      </c>
      <c r="I646" s="3"/>
      <c r="J646" s="3"/>
    </row>
    <row r="647" customFormat="1" spans="1:10">
      <c r="A647" s="3">
        <v>0</v>
      </c>
      <c r="B647" s="4">
        <v>45656</v>
      </c>
      <c r="C647" s="3" t="s">
        <v>14</v>
      </c>
      <c r="D647" s="3" t="s">
        <v>907</v>
      </c>
      <c r="E647" s="3">
        <v>20300</v>
      </c>
      <c r="F647" s="3" t="s">
        <v>16</v>
      </c>
      <c r="G647" s="3" t="s">
        <v>1179</v>
      </c>
      <c r="H647" s="3" t="s">
        <v>1160</v>
      </c>
      <c r="I647" s="3"/>
      <c r="J647" s="3"/>
    </row>
    <row r="648" customFormat="1" spans="1:10">
      <c r="A648" s="3">
        <v>0</v>
      </c>
      <c r="B648" s="4">
        <v>45656</v>
      </c>
      <c r="C648" s="3" t="s">
        <v>14</v>
      </c>
      <c r="D648" s="3" t="s">
        <v>1180</v>
      </c>
      <c r="E648" s="3">
        <v>12038</v>
      </c>
      <c r="F648" s="3" t="s">
        <v>16</v>
      </c>
      <c r="G648" s="3" t="s">
        <v>1179</v>
      </c>
      <c r="H648" s="3" t="s">
        <v>1160</v>
      </c>
      <c r="I648" s="3"/>
      <c r="J648" s="3"/>
    </row>
    <row r="649" customFormat="1" spans="1:10">
      <c r="A649" s="3">
        <v>0</v>
      </c>
      <c r="B649" s="4">
        <v>45656</v>
      </c>
      <c r="C649" s="3" t="s">
        <v>14</v>
      </c>
      <c r="D649" s="3" t="s">
        <v>1181</v>
      </c>
      <c r="E649" s="3">
        <v>6140</v>
      </c>
      <c r="F649" s="3" t="s">
        <v>16</v>
      </c>
      <c r="G649" s="3" t="s">
        <v>1179</v>
      </c>
      <c r="H649" s="3" t="s">
        <v>1160</v>
      </c>
      <c r="I649" s="3"/>
      <c r="J649" s="3"/>
    </row>
    <row r="650" customFormat="1" spans="1:10">
      <c r="A650" s="3">
        <v>0</v>
      </c>
      <c r="B650" s="4">
        <v>45656</v>
      </c>
      <c r="C650" s="3" t="s">
        <v>14</v>
      </c>
      <c r="D650" s="3" t="s">
        <v>1182</v>
      </c>
      <c r="E650" s="3">
        <v>60900</v>
      </c>
      <c r="F650" s="3" t="s">
        <v>16</v>
      </c>
      <c r="G650" s="3" t="s">
        <v>1179</v>
      </c>
      <c r="H650" s="3" t="s">
        <v>1160</v>
      </c>
      <c r="I650" s="3"/>
      <c r="J650" s="3"/>
    </row>
    <row r="651" customFormat="1" spans="1:10">
      <c r="A651" s="3">
        <v>25</v>
      </c>
      <c r="B651" s="4">
        <v>45656</v>
      </c>
      <c r="C651" s="3" t="s">
        <v>14</v>
      </c>
      <c r="D651" s="3" t="s">
        <v>1133</v>
      </c>
      <c r="E651" s="3">
        <v>77740.83</v>
      </c>
      <c r="F651" s="3" t="s">
        <v>16</v>
      </c>
      <c r="G651" s="3" t="s">
        <v>1179</v>
      </c>
      <c r="H651" s="3" t="s">
        <v>1160</v>
      </c>
      <c r="I651" s="3"/>
      <c r="J651" s="3"/>
    </row>
    <row r="652" customFormat="1" spans="1:10">
      <c r="A652" s="3">
        <v>28</v>
      </c>
      <c r="B652" s="4">
        <v>45656</v>
      </c>
      <c r="C652" s="3" t="s">
        <v>936</v>
      </c>
      <c r="D652" s="3" t="s">
        <v>937</v>
      </c>
      <c r="E652" s="3">
        <v>23066.8</v>
      </c>
      <c r="F652" s="3" t="s">
        <v>13</v>
      </c>
      <c r="G652" s="3">
        <v>0</v>
      </c>
      <c r="H652" s="3" t="s">
        <v>279</v>
      </c>
      <c r="I652" s="3"/>
      <c r="J652" s="3"/>
    </row>
    <row r="653" customFormat="1" spans="1:10">
      <c r="A653" s="3">
        <v>29</v>
      </c>
      <c r="B653" s="4">
        <v>45656</v>
      </c>
      <c r="C653" s="3" t="s">
        <v>936</v>
      </c>
      <c r="D653" s="3" t="s">
        <v>937</v>
      </c>
      <c r="E653" s="3">
        <v>14785.2</v>
      </c>
      <c r="F653" s="3" t="s">
        <v>13</v>
      </c>
      <c r="G653" s="3">
        <v>0</v>
      </c>
      <c r="H653" s="3" t="s">
        <v>279</v>
      </c>
      <c r="I653" s="3"/>
      <c r="J653" s="3"/>
    </row>
    <row r="654" customFormat="1" spans="1:10">
      <c r="A654" s="3">
        <v>0</v>
      </c>
      <c r="B654" s="4">
        <v>45656</v>
      </c>
      <c r="C654" s="3" t="s">
        <v>14</v>
      </c>
      <c r="D654" s="3" t="s">
        <v>1012</v>
      </c>
      <c r="E654" s="3">
        <v>50</v>
      </c>
      <c r="F654" s="3" t="s">
        <v>16</v>
      </c>
      <c r="G654" s="3">
        <v>0</v>
      </c>
      <c r="H654" s="3" t="s">
        <v>1160</v>
      </c>
      <c r="I654" s="3"/>
      <c r="J654" s="3"/>
    </row>
    <row r="655" customFormat="1" spans="1:10">
      <c r="A655" s="3">
        <v>31</v>
      </c>
      <c r="B655" s="4">
        <v>45656</v>
      </c>
      <c r="C655" s="3" t="s">
        <v>14</v>
      </c>
      <c r="D655" s="3" t="s">
        <v>1159</v>
      </c>
      <c r="E655" s="3">
        <v>1907.5</v>
      </c>
      <c r="F655" s="3" t="s">
        <v>16</v>
      </c>
      <c r="G655" s="3">
        <v>0</v>
      </c>
      <c r="H655" s="3" t="s">
        <v>1160</v>
      </c>
      <c r="I655" s="3"/>
      <c r="J655" s="3"/>
    </row>
    <row r="656" customFormat="1" spans="1:10">
      <c r="A656" s="3">
        <v>33</v>
      </c>
      <c r="B656" s="4">
        <v>45656</v>
      </c>
      <c r="C656" s="3" t="s">
        <v>1102</v>
      </c>
      <c r="D656" s="3" t="s">
        <v>146</v>
      </c>
      <c r="E656" s="3">
        <v>20000</v>
      </c>
      <c r="F656" s="3" t="s">
        <v>20</v>
      </c>
      <c r="G656" s="3" t="s">
        <v>1183</v>
      </c>
      <c r="H656" s="3" t="s">
        <v>1148</v>
      </c>
      <c r="I656" s="3"/>
      <c r="J656" s="3"/>
    </row>
    <row r="657" customFormat="1" spans="1:10">
      <c r="A657" s="3">
        <v>34</v>
      </c>
      <c r="B657" s="4">
        <v>45656</v>
      </c>
      <c r="C657" s="3" t="s">
        <v>1113</v>
      </c>
      <c r="D657" s="3" t="s">
        <v>1184</v>
      </c>
      <c r="E657" s="3">
        <v>12998.25</v>
      </c>
      <c r="F657" s="3" t="s">
        <v>933</v>
      </c>
      <c r="G657" s="3" t="s">
        <v>36</v>
      </c>
      <c r="H657" s="3" t="s">
        <v>285</v>
      </c>
      <c r="I657" s="3"/>
      <c r="J657" s="3"/>
    </row>
    <row r="658" customFormat="1" spans="1:10">
      <c r="A658" s="3">
        <v>30</v>
      </c>
      <c r="B658" s="4">
        <v>45657</v>
      </c>
      <c r="C658" s="3" t="s">
        <v>927</v>
      </c>
      <c r="D658" s="3" t="s">
        <v>928</v>
      </c>
      <c r="E658" s="3">
        <v>100000</v>
      </c>
      <c r="F658" s="3" t="s">
        <v>13</v>
      </c>
      <c r="G658" s="3" t="s">
        <v>36</v>
      </c>
      <c r="H658" s="3" t="s">
        <v>279</v>
      </c>
      <c r="I658" s="3"/>
      <c r="J658" s="3"/>
    </row>
    <row r="659" customFormat="1" spans="1:10">
      <c r="A659" s="3">
        <v>0</v>
      </c>
      <c r="B659" s="4">
        <v>45657</v>
      </c>
      <c r="C659" s="3" t="s">
        <v>14</v>
      </c>
      <c r="D659" s="3" t="s">
        <v>1133</v>
      </c>
      <c r="E659" s="3">
        <v>95159.17</v>
      </c>
      <c r="F659" s="3" t="s">
        <v>16</v>
      </c>
      <c r="G659" s="3" t="s">
        <v>1179</v>
      </c>
      <c r="H659" s="3" t="s">
        <v>1160</v>
      </c>
      <c r="I659" s="3"/>
      <c r="J659" s="3"/>
    </row>
    <row r="660" customFormat="1" spans="1:10">
      <c r="A660" s="3">
        <v>0</v>
      </c>
      <c r="B660" s="4">
        <v>45657</v>
      </c>
      <c r="C660" s="3" t="s">
        <v>14</v>
      </c>
      <c r="D660" s="3" t="s">
        <v>916</v>
      </c>
      <c r="E660" s="3">
        <v>750000</v>
      </c>
      <c r="F660" s="3" t="s">
        <v>16</v>
      </c>
      <c r="G660" s="3" t="s">
        <v>1179</v>
      </c>
      <c r="H660" s="3" t="s">
        <v>1160</v>
      </c>
      <c r="I660" s="3"/>
      <c r="J660" s="3"/>
    </row>
    <row r="661" customFormat="1" spans="1:10">
      <c r="A661" s="3">
        <v>32</v>
      </c>
      <c r="B661" s="4">
        <v>45657</v>
      </c>
      <c r="C661" s="3" t="s">
        <v>14</v>
      </c>
      <c r="D661" s="3" t="s">
        <v>1012</v>
      </c>
      <c r="E661" s="3">
        <v>13247.53</v>
      </c>
      <c r="F661" s="3" t="s">
        <v>16</v>
      </c>
      <c r="G661" s="3" t="s">
        <v>1179</v>
      </c>
      <c r="H661" s="3" t="s">
        <v>1160</v>
      </c>
      <c r="I661" s="3"/>
      <c r="J661" s="3"/>
    </row>
    <row r="662" customFormat="1" spans="1:10">
      <c r="A662" s="3">
        <v>0</v>
      </c>
      <c r="B662" s="4">
        <v>45657</v>
      </c>
      <c r="C662" s="3" t="s">
        <v>14</v>
      </c>
      <c r="D662" s="3" t="s">
        <v>1019</v>
      </c>
      <c r="E662" s="3">
        <v>9121</v>
      </c>
      <c r="F662" s="3" t="s">
        <v>16</v>
      </c>
      <c r="G662" s="3" t="s">
        <v>1179</v>
      </c>
      <c r="H662" s="3" t="s">
        <v>1160</v>
      </c>
      <c r="I662" s="3"/>
      <c r="J662" s="3"/>
    </row>
    <row r="663" customFormat="1" spans="1:10">
      <c r="A663" s="3">
        <v>0</v>
      </c>
      <c r="B663" s="4">
        <v>45657</v>
      </c>
      <c r="C663" s="3" t="s">
        <v>14</v>
      </c>
      <c r="D663" s="3" t="s">
        <v>1018</v>
      </c>
      <c r="E663" s="3">
        <v>27815.5</v>
      </c>
      <c r="F663" s="3" t="s">
        <v>16</v>
      </c>
      <c r="G663" s="3" t="s">
        <v>1179</v>
      </c>
      <c r="H663" s="3" t="s">
        <v>1160</v>
      </c>
      <c r="I663" s="3"/>
      <c r="J663" s="3"/>
    </row>
    <row r="664" customFormat="1" spans="1:10">
      <c r="A664" s="3">
        <v>0</v>
      </c>
      <c r="B664" s="4">
        <v>45657</v>
      </c>
      <c r="C664" s="3" t="s">
        <v>14</v>
      </c>
      <c r="D664" s="3" t="s">
        <v>1017</v>
      </c>
      <c r="E664" s="3">
        <v>32880.4</v>
      </c>
      <c r="F664" s="3" t="s">
        <v>16</v>
      </c>
      <c r="G664" s="3" t="s">
        <v>1179</v>
      </c>
      <c r="H664" s="3" t="s">
        <v>1160</v>
      </c>
      <c r="I664" s="3"/>
      <c r="J664" s="3"/>
    </row>
    <row r="665" customFormat="1" spans="1:10">
      <c r="A665" s="3">
        <v>0</v>
      </c>
      <c r="B665" s="4">
        <v>45657</v>
      </c>
      <c r="C665" s="3" t="s">
        <v>14</v>
      </c>
      <c r="D665" s="3" t="s">
        <v>80</v>
      </c>
      <c r="E665" s="3">
        <v>61516.4</v>
      </c>
      <c r="F665" s="3" t="s">
        <v>16</v>
      </c>
      <c r="G665" s="3" t="s">
        <v>1179</v>
      </c>
      <c r="H665" s="3" t="s">
        <v>1160</v>
      </c>
      <c r="I665" s="3"/>
      <c r="J665" s="3"/>
    </row>
    <row r="666" customFormat="1" spans="1:10">
      <c r="A666" s="3">
        <v>0</v>
      </c>
      <c r="B666" s="4">
        <v>45657</v>
      </c>
      <c r="C666" s="3" t="s">
        <v>14</v>
      </c>
      <c r="D666" s="3" t="s">
        <v>181</v>
      </c>
      <c r="E666" s="3">
        <v>30000</v>
      </c>
      <c r="F666" s="3" t="s">
        <v>16</v>
      </c>
      <c r="G666" s="3" t="s">
        <v>1179</v>
      </c>
      <c r="H666" s="3" t="s">
        <v>1160</v>
      </c>
      <c r="I666" s="3"/>
      <c r="J666" s="3"/>
    </row>
    <row r="667" customFormat="1" spans="1:10">
      <c r="A667" s="3">
        <v>0</v>
      </c>
      <c r="B667" s="4">
        <v>45657</v>
      </c>
      <c r="C667" s="3" t="s">
        <v>14</v>
      </c>
      <c r="D667" s="3" t="s">
        <v>183</v>
      </c>
      <c r="E667" s="3">
        <v>67400</v>
      </c>
      <c r="F667" s="3" t="s">
        <v>16</v>
      </c>
      <c r="G667" s="3" t="s">
        <v>1179</v>
      </c>
      <c r="H667" s="3" t="s">
        <v>1160</v>
      </c>
      <c r="I667" s="3"/>
      <c r="J667" s="3"/>
    </row>
    <row r="668" customFormat="1" spans="1:10">
      <c r="A668" s="3">
        <v>33</v>
      </c>
      <c r="B668" s="4">
        <v>45657</v>
      </c>
      <c r="C668" s="3" t="s">
        <v>1185</v>
      </c>
      <c r="D668" s="3" t="s">
        <v>1186</v>
      </c>
      <c r="E668" s="3">
        <v>9840</v>
      </c>
      <c r="F668" s="3" t="s">
        <v>13</v>
      </c>
      <c r="G668" s="3" t="s">
        <v>98</v>
      </c>
      <c r="H668" s="3" t="s">
        <v>1060</v>
      </c>
      <c r="I668" s="3"/>
      <c r="J668" s="3"/>
    </row>
    <row r="669" customFormat="1" spans="1:10">
      <c r="A669" s="3">
        <v>34</v>
      </c>
      <c r="B669" s="4">
        <v>45657</v>
      </c>
      <c r="C669" s="3" t="s">
        <v>555</v>
      </c>
      <c r="D669" s="3" t="s">
        <v>1187</v>
      </c>
      <c r="E669" s="3">
        <v>100000</v>
      </c>
      <c r="F669" s="3" t="s">
        <v>16</v>
      </c>
      <c r="G669" s="3">
        <v>0</v>
      </c>
      <c r="H669" s="3" t="s">
        <v>281</v>
      </c>
      <c r="I669" s="3"/>
      <c r="J669" s="3"/>
    </row>
    <row r="670" customFormat="1" spans="1:10">
      <c r="A670" s="3">
        <v>35</v>
      </c>
      <c r="B670" s="4">
        <v>45657</v>
      </c>
      <c r="C670" s="3" t="s">
        <v>1188</v>
      </c>
      <c r="D670" s="3" t="s">
        <v>1189</v>
      </c>
      <c r="E670" s="3">
        <v>44550</v>
      </c>
      <c r="F670" s="3" t="s">
        <v>16</v>
      </c>
      <c r="G670" s="3" t="s">
        <v>36</v>
      </c>
      <c r="H670" s="3" t="s">
        <v>281</v>
      </c>
      <c r="I670" s="3"/>
      <c r="J670" s="3"/>
    </row>
    <row r="671" customFormat="1" spans="1:10">
      <c r="A671" s="3">
        <v>36</v>
      </c>
      <c r="B671" s="4">
        <v>45657</v>
      </c>
      <c r="C671" s="3" t="s">
        <v>1188</v>
      </c>
      <c r="D671" s="3" t="s">
        <v>1190</v>
      </c>
      <c r="E671" s="3">
        <v>44550</v>
      </c>
      <c r="F671" s="3" t="s">
        <v>16</v>
      </c>
      <c r="G671" s="3" t="s">
        <v>36</v>
      </c>
      <c r="H671" s="3" t="s">
        <v>281</v>
      </c>
      <c r="I671" s="3"/>
      <c r="J671" s="3"/>
    </row>
    <row r="672" customFormat="1" spans="1:10">
      <c r="A672" s="3">
        <v>37</v>
      </c>
      <c r="B672" s="4">
        <v>45657</v>
      </c>
      <c r="C672" s="3" t="s">
        <v>561</v>
      </c>
      <c r="D672" s="3" t="s">
        <v>1149</v>
      </c>
      <c r="E672" s="3">
        <v>38400</v>
      </c>
      <c r="F672" s="3" t="s">
        <v>1152</v>
      </c>
      <c r="G672" s="3" t="s">
        <v>1191</v>
      </c>
      <c r="H672" s="3" t="s">
        <v>1192</v>
      </c>
      <c r="I672" s="3"/>
      <c r="J672" s="3"/>
    </row>
    <row r="673" customFormat="1" spans="1:10">
      <c r="A673" s="3">
        <v>38</v>
      </c>
      <c r="B673" s="4">
        <v>45657</v>
      </c>
      <c r="C673" s="3" t="s">
        <v>561</v>
      </c>
      <c r="D673" s="3" t="s">
        <v>1149</v>
      </c>
      <c r="E673" s="3">
        <v>47126.4</v>
      </c>
      <c r="F673" s="3" t="s">
        <v>1152</v>
      </c>
      <c r="G673" s="3" t="s">
        <v>1191</v>
      </c>
      <c r="H673" s="3" t="s">
        <v>1192</v>
      </c>
      <c r="I673" s="3"/>
      <c r="J673" s="3"/>
    </row>
    <row r="674" customFormat="1" spans="1:10">
      <c r="A674" s="3">
        <v>39</v>
      </c>
      <c r="B674" s="4">
        <v>45657</v>
      </c>
      <c r="C674" s="3" t="s">
        <v>561</v>
      </c>
      <c r="D674" s="3" t="s">
        <v>1193</v>
      </c>
      <c r="E674" s="3">
        <v>70000</v>
      </c>
      <c r="F674" s="3" t="s">
        <v>1152</v>
      </c>
      <c r="G674" s="3" t="s">
        <v>1191</v>
      </c>
      <c r="H674" s="3" t="s">
        <v>1192</v>
      </c>
      <c r="I674" s="3"/>
      <c r="J674" s="3"/>
    </row>
    <row r="675" customFormat="1" spans="1:10">
      <c r="A675" s="3">
        <v>40</v>
      </c>
      <c r="B675" s="4">
        <v>45657</v>
      </c>
      <c r="C675" s="3" t="s">
        <v>561</v>
      </c>
      <c r="D675" s="3" t="s">
        <v>1194</v>
      </c>
      <c r="E675" s="3">
        <v>28704</v>
      </c>
      <c r="F675" s="3" t="s">
        <v>1152</v>
      </c>
      <c r="G675" s="3" t="s">
        <v>1191</v>
      </c>
      <c r="H675" s="3" t="s">
        <v>1192</v>
      </c>
      <c r="I675" s="3"/>
      <c r="J675" s="3"/>
    </row>
    <row r="676" customFormat="1" spans="1:10">
      <c r="A676" s="3">
        <v>41</v>
      </c>
      <c r="B676" s="4">
        <v>45657</v>
      </c>
      <c r="C676" s="3" t="s">
        <v>561</v>
      </c>
      <c r="D676" s="3" t="s">
        <v>807</v>
      </c>
      <c r="E676" s="3">
        <v>13036.2</v>
      </c>
      <c r="F676" s="3" t="s">
        <v>1152</v>
      </c>
      <c r="G676" s="3" t="s">
        <v>1195</v>
      </c>
      <c r="H676" s="3" t="s">
        <v>1192</v>
      </c>
      <c r="I676" s="3"/>
      <c r="J676" s="3"/>
    </row>
    <row r="677" customFormat="1" spans="1:10">
      <c r="A677" s="3">
        <v>42</v>
      </c>
      <c r="B677" s="4">
        <v>45657</v>
      </c>
      <c r="C677" s="3" t="s">
        <v>601</v>
      </c>
      <c r="D677" s="3" t="s">
        <v>1196</v>
      </c>
      <c r="E677" s="3">
        <v>29398.23</v>
      </c>
      <c r="F677" s="3" t="s">
        <v>43</v>
      </c>
      <c r="G677" s="3">
        <v>0</v>
      </c>
      <c r="H677" s="3" t="s">
        <v>307</v>
      </c>
      <c r="I677" s="3"/>
      <c r="J677" s="3"/>
    </row>
    <row r="678" customFormat="1" spans="1:10">
      <c r="A678" s="3">
        <v>43</v>
      </c>
      <c r="B678" s="4">
        <v>45657</v>
      </c>
      <c r="C678" s="3" t="s">
        <v>601</v>
      </c>
      <c r="D678" s="3" t="s">
        <v>1118</v>
      </c>
      <c r="E678" s="3">
        <v>10601.77</v>
      </c>
      <c r="F678" s="3" t="s">
        <v>43</v>
      </c>
      <c r="G678" s="3">
        <v>0</v>
      </c>
      <c r="H678" s="3" t="s">
        <v>307</v>
      </c>
      <c r="I678" s="3"/>
      <c r="J678" s="3"/>
    </row>
    <row r="679" customFormat="1" spans="1:10">
      <c r="A679" s="3" t="s">
        <v>1</v>
      </c>
      <c r="B679" s="4" t="s">
        <v>2</v>
      </c>
      <c r="C679" s="3" t="s">
        <v>3</v>
      </c>
      <c r="D679" s="3" t="s">
        <v>4</v>
      </c>
      <c r="E679" s="3" t="s">
        <v>5</v>
      </c>
      <c r="F679" s="3" t="s">
        <v>6</v>
      </c>
      <c r="G679" s="3" t="s">
        <v>7</v>
      </c>
      <c r="H679" s="3" t="s">
        <v>8</v>
      </c>
      <c r="I679" s="3"/>
      <c r="J679" s="3"/>
    </row>
  </sheetData>
  <sheetProtection formatCells="0" formatColumns="0" formatRows="0" insertRows="0" insertColumns="0" insertHyperlinks="0" deleteColumns="0" deleteRows="0" sort="0" autoFilter="0" pivotTables="0"/>
  <autoFilter xmlns:etc="http://www.wps.cn/officeDocument/2017/etCustomData" ref="C1:C679"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����b5uGl5uGl3N5uGl3NbQQ�V>k�O��ёY�VT��CQ 
dkTTN&�CQbQQ�V>k�O��ёY�VT��CQ 
dkTTN&�CQbQQ�V>k�O��ёY�VT��CQ 
dkTTN&�CQbQQ�V>k�O��ёY�VT��CQ 
dkTTN&�CQbQQ�V>k�O��ёY�VT��CQ 
dkTTN&�CQbQQ�V>k�O��ёY�VT��CQ 
dkTTN&�CQT��|�Sf���c�NkQ���[��*g_hy�N<P6eCQ�NCQ6eCQ�NCQ6eCQ�NCQ6eCQ�NCQ6eCQ�NCQ6eCQ�NCQ6eCQ�NCQ6eCQ�NCQ6eCQbQQ�Ndk&�CQ6eCQbQQ�Ndk&�CQ6e1NCQ�NCQ6e1NCQ�NCQ�V>kCQ�Ndk&�CQ�V>kCQ�Ndk&�CQ�V>kCQ�Ndk&�CQ�V>kCQ�Ndk&��V>kCQ�Ndk&��V>kCQ�Ndk&��V>kCQ�Ndk&��V>kCQ�Ndk&��V>kCQ�Ndk&��V>kCQ�Ndk&��V>kCQ�Ndk&��V>kCQ�Ndk&��V>kCQ�Ndk&��V>kCQ�Ndk&��V>kCQ�Ndk&�CQ�V>kCQ�Ndk&�CQ�V>k3NCQ�Ndk&�CQ�V>k3NCQ�Ndk&�CQ�V>k3NCQ�Ndk&�CQN �QaN�SN�W4l�l	gP�lQ�S &��V>kCQ�Ndk&�CQN&�USMO�lS�q�e�^PgƖ�V	gP�lQ�S�V>kCQ�Ndk&�CQN&�USMO�q\�fOp�s�O�y�b	gP�lQ�S�V>kCQ�Ndk&�CQN&�USMO�q\�fOp�s�O�y�b	gP�lQ�S�V>kCQ�Ndk&�CQN&�USMO�q\�fOp�s�O�y�b	gP�lQ�S�V>kCQ�Ndk&�CQ�V>k�Ndk&��V>k�Ndk&�N&�ё��CQ�vQ-N�Ot9�(uCQ0N&�USMO�'YT^�N-N4l�l	gP�#��NlQ�S�V>kCQ�Ndk&�CQ�V>kCQ�Ndk&�CQ�V>kCQ�Ndk&�CQ�V>kCQ�Ndk&�CQ�V>k5N�Ndk&�CQ�V>k5N�Ndk&�CQ�V>k5N�Ndk&�3NCQN&�USMO�
R�wmwm�S�]�^Pg���N	gP�lQ�S�V>k2N�Ndk&�CQ�V>k2N�Ndk&�CQ�O�6e>k�V>kCQ�dk&�NCQ�V>kCQ�dk&�NCQ�V>k�Ndk&�CQ�V>k�Ndk&�CQ�V>kCQ�Ndk&�CQ�V>kCQ�Ndk&�CQ�V>kCQ�Ndk&�CQ�V>kCQ�Ndk&�CQ�V>k5NCQ�Ndk&�CQ�V>kCQ�Ndk&�CQ�V>kCQ�Ndk&�CQ�V>kCQ�Ndk&��V>kCQ�Ndk&�N&�USMO�q\N���]4l�l	gP�lQ�SN&�USMO�R�wmO�O�^Q{�[ň	gP�lQ�SN&�USMOĞ�wb��^Pg	gP�lQ�S�V>kCQ�Ndk&�CQ0�V>kCQ�Ndk&�CQ0�V>kCQ�Ndk&�CQ0�V>kCQ�Ndk&�CQ�V>kCQ�Ndk&�CQ�V>kCQ�Ndk&�CQ�V>kN�Ndk&�24N�V>kN�Ndk&�N�V>kCQ�Ndk&�CQ�V>kCQ�Ndk&�CQbQQ�V>kN�Ndk&�NbQQ�V>kN�Ndk&�3.2NbQQ�V>kN�Ndk&�24NbQQ�V>kN�Ndk&�NbQQ�V>kN�Ndk&�NbQQ�V>kN�Ndk&�NbQQ�V>kN�Ndk&�NbQQ�V>kN�Ndk&�N�V>kCQ�Ndk&�CQ�V>kCQ�Ndk&�CQ�V>kCQ�Ndk&�CQ�V>kCQ�Ndk&�CQ0�&��&��&��&��&��&��&��V>kCQ�Ndk&�CQ�V>kCQ�Ndk&�CQN&�USMO��s�n�es^8l�S�e�W�^Pg	gP�lQ�S�V>k�Ndk&��V>k�Ndk&��V>kCQ�Ndk&�CQ�V>kCQ�Ndk&�CQ�V>kё��CQ�Ndk&�CQ0�V>kё��CQ�Ndk&�CQ�V>kё��CQ�Ndk&�CQ0�V>kCQ�Ndk&�CQ�V>kCQ�Ndk&�CQ�V>kCQ�Ndk&�CQ�V>kCQ�Ndk&�CQ�V>kCQ�Ndk&�CQ�V>kCQ�Ndk&�CQ�V>kCQ�Ndk&�CQ�V>kCQ�Ndk&��V>kCQ�Ndk&�15N�V>kCQ�Ndk&�CQ�V3N�Ndk&�CQYO�~tnx��Ǐ�V>kCQ N&�10N�V>kCQ  N&�CQkQ��؏�l�[���[�V>k�dkTTN&�1N�V>kCQ dkTTN&�T���V>k�N&�T���V>k�N&�T���V>k�N&�YONCQNy��v>k̑/e�Nё���CQ�cb>kCQ���VCQ6e>kUSMOfkIl_f�N&�USMOVnS_f
</file>

<file path=customXml/item2.xml>��penc�Ɖh�penc�Ɖh�
</file>

<file path=customXml/item3.xml>��
</file>

<file path=customXml/item4.xml><?xml version="1.0" encoding="utf-8"?>
<NetdiskSupbooks xmlns="http://www.wps.cn/et/2019/netdiskSupbooks">
  <NetdiskSupbook Target="2026年回款表.xlsx" FileId="483069188358" NetdiskName="yunwps"/>
</NetdiskSupbooks>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8CA11897-456E-43AF-AC28-93E1BBEC0A59}">
  <ds:schemaRefs>
    <ds:schemaRef ds:uri="http://www.wps.cn/et/2019/netdiskSupbooks"/>
  </ds:schemaRefs>
</ds:datastoreItem>
</file>

<file path=docProps/app.xml><?xml version="1.0" encoding="utf-8"?>
<Properties xmlns="http://schemas.openxmlformats.org/officeDocument/2006/extended-properties" xmlns:vt="http://schemas.openxmlformats.org/officeDocument/2006/docPropsVTypes">
  <Application>WPS Office WWO_wpscloud_20260320220154-fb57003c44</Application>
  <HeadingPairs>
    <vt:vector size="2" baseType="variant">
      <vt:variant>
        <vt:lpstr>工作表</vt:lpstr>
      </vt:variant>
      <vt:variant>
        <vt:i4>18</vt:i4>
      </vt:variant>
    </vt:vector>
  </HeadingPairs>
  <TitlesOfParts>
    <vt:vector size="18" baseType="lpstr">
      <vt:lpstr>1月</vt:lpstr>
      <vt:lpstr>2月</vt:lpstr>
      <vt:lpstr>3月</vt:lpstr>
      <vt:lpstr>4月</vt:lpstr>
      <vt:lpstr>5月</vt:lpstr>
      <vt:lpstr>6月</vt:lpstr>
      <vt:lpstr>7月</vt:lpstr>
      <vt:lpstr>8月</vt:lpstr>
      <vt:lpstr>9月</vt:lpstr>
      <vt:lpstr>10月</vt:lpstr>
      <vt:lpstr>11月</vt:lpstr>
      <vt:lpstr>12月</vt:lpstr>
      <vt:lpstr>汇总</vt:lpstr>
      <vt:lpstr>Sheet1</vt:lpstr>
      <vt:lpstr>保证金</vt:lpstr>
      <vt:lpstr>Sheet2</vt:lpstr>
      <vt:lpstr>2026回款汇总表</vt:lpstr>
      <vt:lpstr>2024年回款明细汇总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AZB-001</dc:creator>
  <cp:lastModifiedBy>黄婷</cp:lastModifiedBy>
  <dcterms:created xsi:type="dcterms:W3CDTF">2023-01-05T17:03:00Z</dcterms:created>
  <dcterms:modified xsi:type="dcterms:W3CDTF">2026-06-30T01:39:13Z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18F3ACD338CF4228B33B7758BB244B45_13</vt:lpwstr>
  </property>
  <property fmtid="{D5CDD505-2E9C-101B-9397-08002B2CF9AE}" pid="3" name="KSOProductBuildVer">
    <vt:lpwstr>2052-12.1.0.26895</vt:lpwstr>
  </property>
  <property fmtid="{D5CDD505-2E9C-101B-9397-08002B2CF9AE}" pid="4" name="KSOReadingLayout">
    <vt:bool>true</vt:bool>
  </property>
  <property fmtid="{D5CDD505-2E9C-101B-9397-08002B2CF9AE}" pid="5" name="CalculationRule">
    <vt:i4>0</vt:i4>
  </property>
</Properties>
</file>