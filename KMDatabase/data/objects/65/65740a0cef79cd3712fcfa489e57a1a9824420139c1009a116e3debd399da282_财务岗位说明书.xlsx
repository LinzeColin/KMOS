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/>
  <mc:AlternateContent xmlns:mc="http://schemas.openxmlformats.org/markup-compatibility/2006">
    <mc:Choice Requires="x15">
      <x15ac:absPath xmlns:x15ac="http://schemas.microsoft.com/office/spreadsheetml/2010/11/ac" url="/Users/linzezhang/Downloads/财务/"/>
    </mc:Choice>
  </mc:AlternateContent>
  <xr:revisionPtr revIDLastSave="0" documentId="13_ncr:1_{1B27FF6E-D4C3-6F48-9CED-0B5ED9C62117}" xr6:coauthVersionLast="47" xr6:coauthVersionMax="47" xr10:uidLastSave="{00000000-0000-0000-0000-000000000000}"/>
  <bookViews>
    <workbookView xWindow="0" yWindow="740" windowWidth="28800" windowHeight="16760" tabRatio="908" firstSheet="2" activeTab="5" xr2:uid="{00000000-000D-0000-FFFF-FFFF00000000}"/>
  </bookViews>
  <sheets>
    <sheet name="组织图" sheetId="4" r:id="rId1"/>
    <sheet name="财务部组织图" sheetId="5" r:id="rId2"/>
    <sheet name="财务部岗位清单" sheetId="6" r:id="rId3"/>
    <sheet name="岗位说明书-财务经理（余丽）" sheetId="7" r:id="rId4"/>
    <sheet name="岗位说明书-往来会计（潘佳敏）" sheetId="13" r:id="rId5"/>
    <sheet name="岗位说明书-总账会计（王金平）" sheetId="14" r:id="rId6"/>
    <sheet name="岗位说明书-出纳（杨婷）" sheetId="15" r:id="rId7"/>
    <sheet name="工作流程样式" sheetId="8" r:id="rId8"/>
    <sheet name="流程图工作符号说明" sheetId="11" state="hidden" r:id="rId9"/>
    <sheet name="工作推进计划" sheetId="9" r:id="rId10"/>
    <sheet name="库管岗位职责" sheetId="16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8" l="1"/>
  <c r="C31" i="8"/>
  <c r="C26" i="8"/>
  <c r="C6" i="8"/>
  <c r="D21" i="6"/>
  <c r="C21" i="6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4F7350FEB75C4953906E7EF7330823CD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11273155"/>
          <a:ext cx="2513330" cy="1882140"/>
        </a:xfrm>
        <a:prstGeom prst="rect">
          <a:avLst/>
        </a:prstGeom>
      </xdr:spPr>
    </xdr:pic>
  </etc:cellImage>
  <etc:cellImage>
    <xdr:pic>
      <xdr:nvPicPr>
        <xdr:cNvPr id="68" name="ID_E6DC4C45B7D4454D98FA89B0EED4E19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17652365"/>
          <a:ext cx="1626870" cy="3587750"/>
        </a:xfrm>
        <a:prstGeom prst="rect">
          <a:avLst/>
        </a:prstGeom>
      </xdr:spPr>
    </xdr:pic>
  </etc:cellImage>
  <etc:cellImage>
    <xdr:pic>
      <xdr:nvPicPr>
        <xdr:cNvPr id="67" name="ID_F1A3F9A9E23D4A32B146B1F598D3926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3990" y="17595215"/>
          <a:ext cx="2700020" cy="3599815"/>
        </a:xfrm>
        <a:prstGeom prst="rect">
          <a:avLst/>
        </a:prstGeom>
      </xdr:spPr>
    </xdr:pic>
  </etc:cellImage>
  <etc:cellImage>
    <xdr:pic>
      <xdr:nvPicPr>
        <xdr:cNvPr id="70" name="ID_748810A729AD4F9CB534B572E01F4FD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4660" y="1854835"/>
          <a:ext cx="3587115" cy="83851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<sst xmlns="http://schemas.openxmlformats.org/spreadsheetml/2006/main" count="545" uniqueCount="381">
  <si>
    <t>武汉开明高新科技有限公司</t>
  </si>
  <si>
    <t>组织机构图</t>
  </si>
  <si>
    <t>董事长</t>
  </si>
  <si>
    <t>综合部</t>
  </si>
  <si>
    <t>经营</t>
  </si>
  <si>
    <t>公司会议策划和组织及会议结论落实</t>
  </si>
  <si>
    <t>林全意</t>
  </si>
  <si>
    <t>林全意（兼）</t>
  </si>
  <si>
    <t>叶胜男</t>
  </si>
  <si>
    <t>公司流程管理</t>
  </si>
  <si>
    <t>张艳秋</t>
  </si>
  <si>
    <t>公司印章管理</t>
  </si>
  <si>
    <t>公司资质管理</t>
  </si>
  <si>
    <t>项目申报</t>
  </si>
  <si>
    <t>人力资源</t>
  </si>
  <si>
    <t>人力资源规划编制及实施管理；</t>
  </si>
  <si>
    <t>蒋霞</t>
  </si>
  <si>
    <t>组织机构及人员优化配置；</t>
  </si>
  <si>
    <t>1人</t>
  </si>
  <si>
    <t>人力资源制度流程建设；</t>
  </si>
  <si>
    <t>考勤福利及绩效统筹管理；</t>
  </si>
  <si>
    <t>劳动关系管理；</t>
  </si>
  <si>
    <t>人员培训与开发管理；</t>
  </si>
  <si>
    <t>行政</t>
  </si>
  <si>
    <t>食堂、宿舍管理；</t>
  </si>
  <si>
    <t>范桥</t>
  </si>
  <si>
    <t>保安、保洁管理</t>
  </si>
  <si>
    <t>6人</t>
  </si>
  <si>
    <t>固定资产管理</t>
  </si>
  <si>
    <t>办公用品管理 ；</t>
  </si>
  <si>
    <t>车辆管理</t>
  </si>
  <si>
    <t>财务部</t>
  </si>
  <si>
    <t>余丽</t>
  </si>
  <si>
    <t>往来会计</t>
  </si>
  <si>
    <t>应收账款的动态跟踪；</t>
  </si>
  <si>
    <t>潘佳敏</t>
  </si>
  <si>
    <t>往年呆滞应收账款催缴；</t>
  </si>
  <si>
    <t>催收人员工作的跟进；</t>
  </si>
  <si>
    <t>销售回款简单数据统计并分析；</t>
  </si>
  <si>
    <t>日常报销、付款初审及统计；</t>
  </si>
  <si>
    <t>总账会计</t>
  </si>
  <si>
    <t>负责公司的会计核算工作；</t>
  </si>
  <si>
    <t>王金平</t>
  </si>
  <si>
    <t>编制财务报表并申报网上各个平台；</t>
  </si>
  <si>
    <t>公司纳税申报及税务关系维护；</t>
  </si>
  <si>
    <t>财务凭证及资料的档案整理；</t>
  </si>
  <si>
    <t>开具、登记发票及控制税负；</t>
  </si>
  <si>
    <t>高企项目申报的财务数据归集和资料整理</t>
  </si>
  <si>
    <t>出纳</t>
  </si>
  <si>
    <t>资金日常收付款管理；</t>
  </si>
  <si>
    <t>杨婷</t>
  </si>
  <si>
    <t>资金报表的整理与填报；</t>
  </si>
  <si>
    <t>凭证整理与移交；</t>
  </si>
  <si>
    <t>款项跟踪汇报。</t>
  </si>
  <si>
    <t>生产部</t>
  </si>
  <si>
    <t>技术支持</t>
  </si>
  <si>
    <t>负责工程技术支持、工程设计技术支持等任务；协助工程设计图纸交底；</t>
  </si>
  <si>
    <t>聂响军</t>
  </si>
  <si>
    <t>李权智（兼）</t>
  </si>
  <si>
    <t>配合设计合同、设计协议的评审工作；</t>
  </si>
  <si>
    <t>5人</t>
  </si>
  <si>
    <t>部门人员管理及资格评定；</t>
  </si>
  <si>
    <t>相关领域新技术、新工艺应用推广、开发储备。</t>
  </si>
  <si>
    <t>生产工人</t>
  </si>
  <si>
    <t>项目计划制定和推进</t>
  </si>
  <si>
    <t>成本预算的制作和</t>
  </si>
  <si>
    <t>62人</t>
  </si>
  <si>
    <t>确保订单按时，保质完成；</t>
  </si>
  <si>
    <t>驻外人员</t>
  </si>
  <si>
    <t>仓库</t>
  </si>
  <si>
    <t>原材料的入库出库管理</t>
  </si>
  <si>
    <t>郭建霞</t>
  </si>
  <si>
    <t>工具的领用和回收</t>
  </si>
  <si>
    <t>采购</t>
  </si>
  <si>
    <t>原材料的采购</t>
  </si>
  <si>
    <t>工具的采购</t>
  </si>
  <si>
    <t>营销部</t>
  </si>
  <si>
    <t>商务</t>
  </si>
  <si>
    <t>售前投标、信息、资料支持；</t>
  </si>
  <si>
    <t>林柱生</t>
  </si>
  <si>
    <t>预算书及合同管理；</t>
  </si>
  <si>
    <t>收入确认及债权管理；</t>
  </si>
  <si>
    <t>表号：</t>
  </si>
  <si>
    <t>版本：</t>
  </si>
  <si>
    <t>武汉开明高新科技股份有限公司</t>
  </si>
  <si>
    <t>共   页</t>
  </si>
  <si>
    <t>财务部组织机构图</t>
  </si>
  <si>
    <t>第   页</t>
  </si>
  <si>
    <t>审核：</t>
  </si>
  <si>
    <t>日期：</t>
  </si>
  <si>
    <t>顺序号：</t>
  </si>
  <si>
    <t>版本：2025</t>
  </si>
  <si>
    <t>武汉开明高新技术有限公司</t>
  </si>
  <si>
    <t>共   1   页</t>
  </si>
  <si>
    <t>岗位清单</t>
  </si>
  <si>
    <t>第   1   页</t>
  </si>
  <si>
    <r>
      <rPr>
        <sz val="10"/>
        <rFont val="Calibri"/>
        <family val="4"/>
        <charset val="134"/>
        <scheme val="minor"/>
      </rPr>
      <t xml:space="preserve">部门 </t>
    </r>
  </si>
  <si>
    <t>编制</t>
  </si>
  <si>
    <t>李盛</t>
  </si>
  <si>
    <t>审核</t>
  </si>
  <si>
    <t>序号</t>
  </si>
  <si>
    <t>岗位名称</t>
  </si>
  <si>
    <t>岗位编制人数</t>
  </si>
  <si>
    <t>现岗位人数</t>
  </si>
  <si>
    <t>人员姓名</t>
  </si>
  <si>
    <t>所属科室（系）</t>
  </si>
  <si>
    <t>备注</t>
  </si>
  <si>
    <t>财务经理</t>
  </si>
  <si>
    <t>合计</t>
  </si>
  <si>
    <t>注：每个部门只需做一个总的岗位清单表。</t>
  </si>
  <si>
    <t>共      页</t>
  </si>
  <si>
    <t>岗位说明书</t>
  </si>
  <si>
    <t>第         页</t>
  </si>
  <si>
    <t>岗位名称：财务经理</t>
  </si>
  <si>
    <t>岗位编号：</t>
  </si>
  <si>
    <t>岗位类别：</t>
  </si>
  <si>
    <t>部门：财务部</t>
  </si>
  <si>
    <t>任职人：余丽</t>
  </si>
  <si>
    <t>任职人签字：</t>
  </si>
  <si>
    <t>部门负责人：金正时、余丽</t>
  </si>
  <si>
    <t>直接主管：林全意</t>
  </si>
  <si>
    <t>直接主管签字：</t>
  </si>
  <si>
    <t>任
职
资
格</t>
  </si>
  <si>
    <t>最低教育程度：本科</t>
  </si>
  <si>
    <t>经验和年限要求：10年以上工作经验</t>
  </si>
  <si>
    <t>专业知识：财会相关专业</t>
  </si>
  <si>
    <t>技能要求：有带财务团队管理经验，能独立完成全套账务，能独立进行财务分析能力</t>
  </si>
  <si>
    <t>综合素质要求：</t>
  </si>
  <si>
    <t xml:space="preserve">岗位目的（岗位存在的理由、权限和目标）：设置该岗位能够有效协调公司财务内部工作推进及外部的对接，能够有效的加强数据的规整及财务规范，使得数据来源更加真实有效，根据经营情况，对费用、业务及财务做经营分析汇报。
</t>
  </si>
  <si>
    <t>一、工作职责及工作标准</t>
  </si>
  <si>
    <t>职责1：财务体系建立并及时更新</t>
  </si>
  <si>
    <t>工作任务</t>
  </si>
  <si>
    <t>1、公司日常报销制度、差旅报销制度、审批流程管理办法、资金管理制度、发票管理制度等财务制度的初稿理定。</t>
  </si>
  <si>
    <t>2、根据公司实际情况，确保相关制度执行与落地；</t>
  </si>
  <si>
    <t>3、对相关管理制度组织部门内外部学习</t>
  </si>
  <si>
    <t>工作标准</t>
  </si>
  <si>
    <t>理定财务管理相关规定，落实相关文件相关要求</t>
  </si>
  <si>
    <t>职责2：内部工作的协调与财务人员的培训和培养</t>
  </si>
  <si>
    <t>工
作
任
务</t>
  </si>
  <si>
    <t>1、协调财务内部分工，能够按时按点及时完成整体财务工作</t>
  </si>
  <si>
    <t>2、根据财务内部人员实际情况，合理分配财务任务</t>
  </si>
  <si>
    <t>3、财务基础底表建立、数据支持、工作协助</t>
  </si>
  <si>
    <t>4、对财务人员的培训和培养，让整体财务水平达到要求</t>
  </si>
  <si>
    <t>工
作
标
准</t>
  </si>
  <si>
    <t>财务内部工作协调、对财务人员能力培训和培养，能够顺利开展日常工作</t>
  </si>
  <si>
    <t>职责3：销售、费用  经营分析</t>
  </si>
  <si>
    <t>1、销售数据的统计分析底表建立，销售日常工作的跟进与督导（账龄、开票、对账、律师等），对销售相关数据对比分析</t>
  </si>
  <si>
    <t>2、红圈系统维护，数据跟踪与汇总，并对相关数据进行分析</t>
  </si>
  <si>
    <t>3、对每月经营情况，做财务分析报表，并做经营分析</t>
  </si>
  <si>
    <t>对销售统计数据、每月经营数据，分别进行分析和汇报</t>
  </si>
  <si>
    <t>职责4：资金管理及筹划</t>
  </si>
  <si>
    <t>1、对公司收付款制度理定，并按要求执行</t>
  </si>
  <si>
    <t>2、贷款事项的跟踪，确保公司资金安全</t>
  </si>
  <si>
    <t>3、加强资金管理，落实每个环节的严谨性，确保每笔资金有其实际意义</t>
  </si>
  <si>
    <t>贷款跟踪，内部资金管理</t>
  </si>
  <si>
    <t>职责5：参与合同的审核、绩效政策的制定</t>
  </si>
  <si>
    <t>1、参与销售部日常合同审核、款项跟踪、日常销售报销审批、信息费审核、账龄及发票开出情况。</t>
  </si>
  <si>
    <t>2、根据销售情况，落实相关绩效政策的落地。</t>
  </si>
  <si>
    <t>参与销售合同审核，绩效政策的落实</t>
  </si>
  <si>
    <t>职责6：外部工作协同与衔接</t>
  </si>
  <si>
    <t>1、相关软件工作的衔接（金蝶、红圈、网银等）</t>
  </si>
  <si>
    <t>2、工商、税务、银行等部门接待</t>
  </si>
  <si>
    <t>3、公司部门间工作的协同</t>
  </si>
  <si>
    <t>公司部门间工作的协调与公司外政府部门的衔接与接待</t>
  </si>
  <si>
    <t xml:space="preserve">职责7：银行及中介融资对接 
</t>
  </si>
  <si>
    <t>融资事项顺利开展</t>
  </si>
  <si>
    <t>职责8：日常费用，付款、工资表 核复核</t>
  </si>
  <si>
    <t>1、日常费用、付款支出是否合规</t>
  </si>
  <si>
    <t>2、申请单据手续是否齐全</t>
  </si>
  <si>
    <t>3、工资数据复审，核对</t>
  </si>
  <si>
    <t>4、社保及个税核对</t>
  </si>
  <si>
    <t>严格按照流程及制度要求执行</t>
  </si>
  <si>
    <t>二、工作关系</t>
  </si>
  <si>
    <t>内部工作关系</t>
  </si>
  <si>
    <t>汇报</t>
  </si>
  <si>
    <t>总经理</t>
  </si>
  <si>
    <t>协调</t>
  </si>
  <si>
    <t>财务内部、公司内外部</t>
  </si>
  <si>
    <t>支持</t>
  </si>
  <si>
    <t>财务部各岗位</t>
  </si>
  <si>
    <t>外部工作关系</t>
  </si>
  <si>
    <t>银行贷款，税务申报、统计局申报、工商年报等</t>
  </si>
  <si>
    <t>三、其他</t>
  </si>
  <si>
    <t>工作场所</t>
  </si>
  <si>
    <t>办公室</t>
  </si>
  <si>
    <t>工作时间</t>
  </si>
  <si>
    <t>标准工作时间制度</t>
  </si>
  <si>
    <t>四、重点考核指标（3-5项）</t>
  </si>
  <si>
    <t>1、财务内部分工及协同，整体财务工作的推进；2、财务制度完善，财务档案规整；3、财务对比分析；4、资金管理，及资金筹划；5、合同审核与绩效考核的制定落实；6、外部工作的协同。7 、银行及中介融资对接8、日常费用，付款  工资数据  复核 。</t>
  </si>
  <si>
    <t>五、不符合岗位要求的事项</t>
  </si>
  <si>
    <t>岗位名称：往来会计</t>
  </si>
  <si>
    <t>任职人：潘佳敏</t>
  </si>
  <si>
    <t>部门负责人：余丽</t>
  </si>
  <si>
    <t>直接主管：</t>
  </si>
  <si>
    <t>最低教育程度：大专以上</t>
  </si>
  <si>
    <t>经验和年限要求：3年以上</t>
  </si>
  <si>
    <t>专业知识：财会相关</t>
  </si>
  <si>
    <t>技能要求：能够对Excel表格基本操作，日常报销流程熟悉，费用归集清晰</t>
  </si>
  <si>
    <t>综合素质要求：对公司整体工作有认同感，能够积极主动相互学习和工作</t>
  </si>
  <si>
    <t>岗位目的（岗位存在的理由、权限和目标）：
为了明确往来会计主要工作内容及所承担的责任，使往来会计工作规范、有序</t>
  </si>
  <si>
    <t>职责1：应收账款的动态跟踪</t>
  </si>
  <si>
    <t>1.确认合同款项。</t>
  </si>
  <si>
    <t>2.验收竣工后，根据对账。同时做票后的登记及统计工作</t>
  </si>
  <si>
    <t>3.根据合同回款时间向销售催收应收款及四类保证金。根据客户要求完成相关回款手续。月底制度回款分析表。</t>
  </si>
  <si>
    <t>4.登记合同款项、回款明细。</t>
  </si>
  <si>
    <t>5、对其他应收账款进行维护并台账登记</t>
  </si>
  <si>
    <t>跟踪客户情况，能及时提供客户相关需求（对账、回款明细等）</t>
  </si>
  <si>
    <t>职责2：往年呆滞应收账款催缴</t>
  </si>
  <si>
    <t>1.做对账单给客户确认回签，催收质量保证金。</t>
  </si>
  <si>
    <t>2.未能回签及时反馈给催收，根据销售要求是否要发律师函。</t>
  </si>
  <si>
    <t>3.需要起诉的，及时联系律师起诉。</t>
  </si>
  <si>
    <t>每天登记并跟踪应收账款的跟踪情况</t>
  </si>
  <si>
    <t>职责3：催收人员工作的跟进</t>
  </si>
  <si>
    <t>1.提供催收人员相关财务数据</t>
  </si>
  <si>
    <t>2、根据催收进度，做好相关台账及核算。</t>
  </si>
  <si>
    <t>能够提供相关数据，给与催收相关数据及和待遇核算</t>
  </si>
  <si>
    <t>职责4：销售简单数据统计并分析</t>
  </si>
  <si>
    <t>1.归集并统计销售相关数据（合同台账、回款台账等）</t>
  </si>
  <si>
    <t>2、根据台账做简要分析并提出适当要求和建议。</t>
  </si>
  <si>
    <t>能够提供相关数据，给与销售提供相关支持</t>
  </si>
  <si>
    <t>职责5：费用报销审核及统计</t>
  </si>
  <si>
    <t>1.审核差旅费、招待费、快递费等费用报销单据的真实性及准确性。</t>
  </si>
  <si>
    <t>2.制作月度销售费用统计报表。</t>
  </si>
  <si>
    <t>对费用的控制及监管，按月统计相关费用</t>
  </si>
  <si>
    <t>总账会计、出纳</t>
  </si>
  <si>
    <t>销售内勤</t>
  </si>
  <si>
    <t>律师</t>
  </si>
  <si>
    <t>四、重点考核指标（3项）</t>
  </si>
  <si>
    <t>1.应收账款是否更新及时及准确。</t>
  </si>
  <si>
    <t>2.销项发票是否与合同一致，购进发票是否属实且真实。</t>
  </si>
  <si>
    <t>3.回款实付与开票公司一致，金额一致。</t>
  </si>
  <si>
    <t>岗位名称：总账会计</t>
  </si>
  <si>
    <t>任职人：王金平</t>
  </si>
  <si>
    <t>经验和年限要求：5年以上</t>
  </si>
  <si>
    <t>技能要求：能够对Excel表格基本操作，日常报销流程熟悉，费用归集清晰，能够独立完成全套账务处理，了解高新企业申报</t>
  </si>
  <si>
    <t xml:space="preserve">岗位目的（岗位存在的理由、权限和目标）：该岗位负责公司全面账目工作及日常申报工作。
</t>
  </si>
  <si>
    <t>职责1：负责公司的会计核算工作</t>
  </si>
  <si>
    <t>1、按月负责4家公司收入、成本分摊、结账等核算工作；王先梅个体户和工会户的流水账登记。</t>
  </si>
  <si>
    <t>2、按月、季对公司各类税款进行核算、计提工作。</t>
  </si>
  <si>
    <t>3、按月对各类记账凭证进行审核。</t>
  </si>
  <si>
    <t>4、定期检查账务，做到账实相符。</t>
  </si>
  <si>
    <t>5、根据每月结账后的账务情况、清理员工借支和往来款，并发送给相应部门负责人跟踪落实。</t>
  </si>
  <si>
    <t>6、根据每月账务情况登记电子发票管理台账。</t>
  </si>
  <si>
    <t>7、根据每月账务情况登记已付款无发票台账。</t>
  </si>
  <si>
    <t>8、给生产部每月开具发票。</t>
  </si>
  <si>
    <t>每月10日前完成上月核算，并结账，同时账目无差错。</t>
  </si>
  <si>
    <t>职责2：编制财务报表并申报网上各个平台</t>
  </si>
  <si>
    <t>1、按月编制公司月度财务报表。</t>
  </si>
  <si>
    <t>2、按月编制公司月度费用报表。</t>
  </si>
  <si>
    <t>3、每月将财务报表填报到统计局。</t>
  </si>
  <si>
    <t>4、每月填写工业运行监测与服务平台统计数据。</t>
  </si>
  <si>
    <t>5、与审计咨询公司对接，整理资料出具公司所需要的审计报告。</t>
  </si>
  <si>
    <t>在规定时间节点，完善对外相关申报工作。</t>
  </si>
  <si>
    <t>职责3：公司纳税申报及税务关系维护</t>
  </si>
  <si>
    <t>1、按月完成6家公司增值税、附加税、房产税、企业所得税、个人所得税、土地使用税、社保等纳税申报及税款缴纳工作。</t>
  </si>
  <si>
    <t>2、每月进行进项发票勾选认证，做到进项不浪费，为公司节省费用。</t>
  </si>
  <si>
    <t>3、税务关系的维护与承接。</t>
  </si>
  <si>
    <t>每月15日前完成税费申报，对已开票发票未到位部分及时提醒。</t>
  </si>
  <si>
    <t>职责4：财务凭证及资料的档案整理</t>
  </si>
  <si>
    <t>按月打印好记账凭证，并根据原始凭证整理装订。</t>
  </si>
  <si>
    <t>凭证装订规范整齐</t>
  </si>
  <si>
    <t>协助项目申报员在规定的时间内整理完善所需财务资料。</t>
  </si>
  <si>
    <t>职责5、发票的开具及税负平衡</t>
  </si>
  <si>
    <t>开具及登记各主体的发票，控制各公司税负。</t>
  </si>
  <si>
    <t>及时按照要求开具发票并做好记录，统筹好税负。</t>
  </si>
  <si>
    <t xml:space="preserve">职责6：高企项目申报的财务数据归集和资料整理
</t>
  </si>
  <si>
    <t>1、计划公司每年、每月研发费用数据的归集，并按照计划完成研发费用的账务处理。</t>
  </si>
  <si>
    <t>2、配合高企申报专员整理项目申报所需的财务资料。</t>
  </si>
  <si>
    <t>3、每年申报公司火炬网的高新认定的企业年报。</t>
  </si>
  <si>
    <t>出纳、报销人员</t>
  </si>
  <si>
    <t>工商、税务</t>
  </si>
  <si>
    <t>四、重点考核指标（3-4项）</t>
  </si>
  <si>
    <t>1、每天及时录账，每周与银行一致，做到日清月结；2、凭证及时装订，财务档案规整；3、税费及公司相关网上申报；4、公司税负筹划及报表的出具。</t>
  </si>
  <si>
    <t>岗位名称：出纳</t>
  </si>
  <si>
    <t>任职人：杨婷</t>
  </si>
  <si>
    <t>经验和年限要求：2年以上</t>
  </si>
  <si>
    <t>技能要求：能够对Excel表格基本操作，日常报销流程熟悉，熟悉不同网银操作</t>
  </si>
  <si>
    <t xml:space="preserve">岗位目的（岗位存在的理由、权限和目标）：做好公司资金计划、资金收付款，能够有效归集报销凭证
</t>
  </si>
  <si>
    <t>职责1：资金日常收付款管理</t>
  </si>
  <si>
    <t>1、每月工资及工程部生活费发放</t>
  </si>
  <si>
    <t>2、收到承兑及时背书，同时登记汇票（快到期票据要及时提示付款和托收）</t>
  </si>
  <si>
    <t>3、每日借支、费用报销及其他费用付款，确保及时并准确无误</t>
  </si>
  <si>
    <t>4、每月确保贷款利息的划款，协助资金的调度</t>
  </si>
  <si>
    <t>资金能够及时支付，并做好资金合理调配</t>
  </si>
  <si>
    <t>职责2：资金报表的整理与填报</t>
  </si>
  <si>
    <t>1、每日银行存款余额的查询、承兑及现金的盘点，并编制资金报表</t>
  </si>
  <si>
    <t>2、回款记录表的及时更新，发给销售会计、销售内勤</t>
  </si>
  <si>
    <t>3、规划资金，注意公司各贷款账户需要还款的金额和时间</t>
  </si>
  <si>
    <t>日常基础资金台账的整理并更新</t>
  </si>
  <si>
    <t>职责3：凭证整理与移交</t>
  </si>
  <si>
    <t>1、对付款的凭证归集并报送总账会计</t>
  </si>
  <si>
    <t>2、结合付款能够分清报销资金用途，与申请人初步对接</t>
  </si>
  <si>
    <t>结合审批流程和付款情况，收集相关原始凭证</t>
  </si>
  <si>
    <t>职责4.：款项跟踪汇报</t>
  </si>
  <si>
    <t>1、对销售回款，及时群内通报</t>
  </si>
  <si>
    <t>2、每笔付款，在请示群汇报</t>
  </si>
  <si>
    <t>3、每日资金与总账会计衔接并核对</t>
  </si>
  <si>
    <t>资金日常按公司要求汇报与对接</t>
  </si>
  <si>
    <t>财务经理、总账会计</t>
  </si>
  <si>
    <t>总账会计、催收、生产内勤</t>
  </si>
  <si>
    <t>1、按流程付款，付款准确及时；2、 资金报表的制作及更新；3、凭证的整理与归集；4、款项跟踪与汇报</t>
  </si>
  <si>
    <t>版本/修订：</t>
  </si>
  <si>
    <t>湖北开明高新科技有限公司</t>
  </si>
  <si>
    <r>
      <rPr>
        <b/>
        <sz val="15"/>
        <rFont val="SimSun"/>
        <charset val="134"/>
      </rPr>
      <t>厂外项目零星采购流程图</t>
    </r>
  </si>
  <si>
    <t>权责部门</t>
  </si>
  <si>
    <r>
      <rPr>
        <sz val="12"/>
        <rFont val="Microsoft YaHei"/>
        <family val="2"/>
        <charset val="134"/>
      </rPr>
      <t>对应资料</t>
    </r>
  </si>
  <si>
    <t>项目班长
项目经理</t>
  </si>
  <si>
    <r>
      <rPr>
        <sz val="12"/>
        <rFont val="Microsoft YaHei"/>
        <family val="2"/>
        <charset val="134"/>
      </rPr>
      <t xml:space="preserve">盖公章和手机号的收据+付款
</t>
    </r>
    <r>
      <rPr>
        <sz val="6"/>
        <rFont val="Arial"/>
        <family val="2"/>
      </rPr>
      <t xml:space="preserve">
</t>
    </r>
    <r>
      <rPr>
        <sz val="12"/>
        <rFont val="Microsoft YaHei"/>
        <family val="2"/>
        <charset val="134"/>
      </rPr>
      <t>截图+实物拍照+</t>
    </r>
    <r>
      <rPr>
        <sz val="12"/>
        <color rgb="FFFF0000"/>
        <rFont val="Microsoft YaHei"/>
        <family val="2"/>
        <charset val="134"/>
      </rPr>
      <t xml:space="preserve">发票（尽量
</t>
    </r>
    <r>
      <rPr>
        <sz val="6"/>
        <rFont val="Arial"/>
        <family val="2"/>
      </rPr>
      <t xml:space="preserve">
</t>
    </r>
    <r>
      <rPr>
        <sz val="12"/>
        <color rgb="FFFF0000"/>
        <rFont val="Microsoft YaHei"/>
        <family val="2"/>
        <charset val="134"/>
      </rPr>
      <t xml:space="preserve">           取得）电子版</t>
    </r>
  </si>
  <si>
    <r>
      <rPr>
        <sz val="12"/>
        <rFont val="Microsoft YaHei"/>
        <family val="2"/>
        <charset val="134"/>
      </rPr>
      <t>仓库</t>
    </r>
  </si>
  <si>
    <r>
      <rPr>
        <sz val="12"/>
        <rFont val="Microsoft YaHei"/>
        <family val="2"/>
        <charset val="134"/>
      </rPr>
      <t>入库单</t>
    </r>
  </si>
  <si>
    <r>
      <rPr>
        <sz val="12"/>
        <rFont val="Microsoft YaHei"/>
        <family val="2"/>
        <charset val="134"/>
      </rPr>
      <t xml:space="preserve">红圈项目报销单+电子版明细
</t>
    </r>
    <r>
      <rPr>
        <sz val="6"/>
        <rFont val="Arial"/>
        <family val="2"/>
      </rPr>
      <t xml:space="preserve">
</t>
    </r>
    <r>
      <rPr>
        <sz val="12"/>
        <rFont val="Microsoft YaHei"/>
        <family val="2"/>
        <charset val="134"/>
      </rPr>
      <t xml:space="preserve">                 上传</t>
    </r>
  </si>
  <si>
    <r>
      <rPr>
        <sz val="12"/>
        <rFont val="Microsoft YaHei"/>
        <family val="2"/>
        <charset val="134"/>
      </rPr>
      <t>生产部经理</t>
    </r>
  </si>
  <si>
    <r>
      <rPr>
        <sz val="12"/>
        <rFont val="Microsoft YaHei"/>
        <family val="2"/>
        <charset val="134"/>
      </rPr>
      <t>红圈项目报销单</t>
    </r>
  </si>
  <si>
    <t>财务</t>
  </si>
  <si>
    <r>
      <rPr>
        <sz val="12"/>
        <rFont val="Microsoft YaHei"/>
        <family val="2"/>
        <charset val="134"/>
      </rPr>
      <t xml:space="preserve">项目报销单+盖公章和手机号
</t>
    </r>
    <r>
      <rPr>
        <sz val="6"/>
        <rFont val="Arial"/>
        <family val="2"/>
      </rPr>
      <t xml:space="preserve">
</t>
    </r>
    <r>
      <rPr>
        <sz val="12"/>
        <rFont val="Microsoft YaHei"/>
        <family val="2"/>
        <charset val="134"/>
      </rPr>
      <t>的收据+付款截图+</t>
    </r>
    <r>
      <rPr>
        <sz val="12"/>
        <color rgb="FFFF0000"/>
        <rFont val="Microsoft YaHei"/>
        <family val="2"/>
        <charset val="134"/>
      </rPr>
      <t xml:space="preserve">发票电子
</t>
    </r>
    <r>
      <rPr>
        <sz val="6"/>
        <rFont val="Arial"/>
        <family val="2"/>
      </rPr>
      <t xml:space="preserve">
</t>
    </r>
    <r>
      <rPr>
        <sz val="12"/>
        <color rgb="FFFF0000"/>
        <rFont val="Microsoft YaHei"/>
        <family val="2"/>
        <charset val="134"/>
      </rPr>
      <t>版</t>
    </r>
  </si>
  <si>
    <r>
      <rPr>
        <sz val="12"/>
        <rFont val="Microsoft YaHei"/>
        <family val="2"/>
        <charset val="134"/>
      </rPr>
      <t xml:space="preserve">项目班长
</t>
    </r>
    <r>
      <rPr>
        <sz val="11"/>
        <rFont val="Arial"/>
        <family val="2"/>
      </rPr>
      <t xml:space="preserve">
</t>
    </r>
    <r>
      <rPr>
        <sz val="12"/>
        <rFont val="Microsoft YaHei"/>
        <family val="2"/>
        <charset val="134"/>
      </rPr>
      <t>项目经理</t>
    </r>
  </si>
  <si>
    <r>
      <rPr>
        <sz val="12"/>
        <rFont val="Microsoft YaHei"/>
        <family val="2"/>
        <charset val="134"/>
      </rPr>
      <t xml:space="preserve">盖公章和手机号的收据原件+
</t>
    </r>
    <r>
      <rPr>
        <sz val="6"/>
        <rFont val="Arial"/>
        <family val="2"/>
      </rPr>
      <t xml:space="preserve">
</t>
    </r>
    <r>
      <rPr>
        <sz val="12"/>
        <color rgb="FFFF0000"/>
        <rFont val="Microsoft YaHei"/>
        <family val="2"/>
        <charset val="134"/>
      </rPr>
      <t xml:space="preserve">     发票（尽量取得）原件</t>
    </r>
  </si>
  <si>
    <r>
      <rPr>
        <sz val="12"/>
        <rFont val="Microsoft YaHei"/>
        <family val="2"/>
        <charset val="134"/>
      </rPr>
      <t>项目报销单+纸质原件</t>
    </r>
  </si>
  <si>
    <r>
      <rPr>
        <sz val="12"/>
        <rFont val="Microsoft YaHei"/>
        <family val="2"/>
        <charset val="134"/>
      </rPr>
      <t>财务</t>
    </r>
  </si>
  <si>
    <r>
      <rPr>
        <b/>
        <sz val="15"/>
        <rFont val="SimSun"/>
        <charset val="134"/>
      </rPr>
      <t>收据、发票</t>
    </r>
  </si>
  <si>
    <r>
      <rPr>
        <b/>
        <sz val="15"/>
        <rFont val="SimSun"/>
        <charset val="134"/>
      </rPr>
      <t>付款截图</t>
    </r>
    <r>
      <rPr>
        <sz val="15"/>
        <rFont val="SimSun"/>
        <charset val="134"/>
      </rPr>
      <t xml:space="preserve">          </t>
    </r>
  </si>
  <si>
    <t>实物拍照</t>
  </si>
  <si>
    <r>
      <rPr>
        <b/>
        <sz val="11"/>
        <color theme="1"/>
        <rFont val="Calibri"/>
        <family val="4"/>
        <charset val="134"/>
        <scheme val="minor"/>
      </rPr>
      <t>相关记录 ①─</t>
    </r>
    <r>
      <rPr>
        <b/>
        <sz val="11"/>
        <color theme="1"/>
        <rFont val="宋体"/>
        <charset val="134"/>
      </rPr>
      <t xml:space="preserve">⑩ </t>
    </r>
  </si>
  <si>
    <t>工作推进计划</t>
  </si>
  <si>
    <t>项目</t>
  </si>
  <si>
    <t>计划完成时间</t>
  </si>
  <si>
    <t>协助部门</t>
  </si>
  <si>
    <t>责任人</t>
  </si>
  <si>
    <t>实际完成时间</t>
  </si>
  <si>
    <t>状态</t>
  </si>
  <si>
    <t>一</t>
  </si>
  <si>
    <t>公司财务基础工作整理完善</t>
  </si>
  <si>
    <t>财务岗位分工及岗位主要职责</t>
  </si>
  <si>
    <t>财务各岗位</t>
  </si>
  <si>
    <t>相关财务制度理定（至少三大项）</t>
  </si>
  <si>
    <t>投标、履约、安全和农民工保证金清理</t>
  </si>
  <si>
    <t>公司贷款事项沟通衔接</t>
  </si>
  <si>
    <t>杨婷、余丽</t>
  </si>
  <si>
    <t>二</t>
  </si>
  <si>
    <t>日常工作开展</t>
  </si>
  <si>
    <t>财务凭证规范、整理并及时录入，税务、客户开票、、高新等申报</t>
  </si>
  <si>
    <t>每月15日</t>
  </si>
  <si>
    <t>红圈审批流程的复核、付款</t>
  </si>
  <si>
    <t>按审批流程</t>
  </si>
  <si>
    <t>余丽、杨婷</t>
  </si>
  <si>
    <t>应收账款的统计与跟催</t>
  </si>
  <si>
    <t>收付款的办理，资金帐的登记</t>
  </si>
  <si>
    <t>每天</t>
  </si>
  <si>
    <t>库管员岗位职责</t>
  </si>
  <si>
    <t>填写日期：2025.8.20</t>
  </si>
  <si>
    <t>姓名</t>
  </si>
  <si>
    <t>职务</t>
  </si>
  <si>
    <t>主要职责</t>
  </si>
  <si>
    <t>工作内容</t>
  </si>
  <si>
    <t>库管员</t>
  </si>
  <si>
    <t>总库管</t>
  </si>
  <si>
    <t>公司整体仓库的物质的调配，分库管日常做账、清理、盘点等工作的督导。</t>
  </si>
  <si>
    <t>采购申请</t>
  </si>
  <si>
    <r>
      <rPr>
        <sz val="11"/>
        <rFont val="宋体"/>
        <charset val="134"/>
      </rPr>
      <t>使用人填写纸质申购单</t>
    </r>
    <r>
      <rPr>
        <sz val="11"/>
        <rFont val="Arial"/>
        <family val="2"/>
      </rPr>
      <t>→</t>
    </r>
    <r>
      <rPr>
        <sz val="11"/>
        <rFont val="宋体"/>
        <charset val="134"/>
      </rPr>
      <t>库管确认库存后签字→部门主管签字。                                                  生产特殊物资跟据生产需要填报采购申请单数量，附上往期采购参价格、物资用途，做红圈系统采购申请单。</t>
    </r>
  </si>
  <si>
    <t>日常使用常规物资跟据生产需要和安全库存填报采购申请单数量，附仓库库存及往期采购参考价格，做红圈系统采购申请单。</t>
  </si>
  <si>
    <t>收料</t>
  </si>
  <si>
    <t>厂内采购物资清点数量、找相关使用人员共同查看质量，如达标使用要求，收入仓库并码放在规定货架上，集采入库金蝶系统生成入库单，红圈系统及厂内入库电子台账。</t>
  </si>
  <si>
    <t>厂外采购入库，询问清楚采购实际品名、数量，集采入库金蝶系统，红圈系统及厂外电子台账跟踪表。</t>
  </si>
  <si>
    <t>厂外施工回厂物资整理，清点数量，物料码放在规定的货架上，需检查维修物资交相关人员维修后再码放到规定的地方。做电子台账跟踪单及红圈收料调拨入库。                           无维修价值需报废的，做进报废台帐，按月统计后报领导签字，做金蝶和红圈盘亏出库。                                            厂外项目材料消耗做进金蝶和红圈。</t>
  </si>
  <si>
    <t>发料</t>
  </si>
  <si>
    <t>厂内跟据各项目领料登记出库单，做厂内各项目领料登记电子台账，做红圈各项目调拨出库单及消耗单。</t>
  </si>
  <si>
    <t>劳保领料登记出库单，做劳保领料登记电子台账，做红圈领料出库单。</t>
  </si>
  <si>
    <t>跟据生产部提供外出施工物资记录表发放各项目所需物资，发放时督促各领料人核查数量及保证使用的质量，做好记录，做电子台账跟踪表及红圈调拨出库单。</t>
  </si>
  <si>
    <t>盘点</t>
  </si>
  <si>
    <t>月末厂内厂外盘点表，将报废物资同库内可使用物资物资分开码放，跟据要求填写报废单。</t>
  </si>
  <si>
    <t>月末厂内厂外物资采购入库汇总表。</t>
  </si>
  <si>
    <t>月末厂内厂外物资销耗汇总表。</t>
  </si>
  <si>
    <t>每日气体盘点。</t>
  </si>
  <si>
    <t>物流</t>
  </si>
  <si>
    <t>发货前根据要货时间选择价格优惠的物流公司。                        每月初按项目区分报销上月的物流资金。</t>
  </si>
  <si>
    <t>食堂</t>
  </si>
  <si>
    <t>每月食堂未刷卡人员金额扣款统计发给蒋霞。                           每月食堂费用汇总表和周稳食堂费用报销。</t>
  </si>
  <si>
    <t>电费</t>
  </si>
  <si>
    <t>每月宿舍人员的用电扣款统计。</t>
  </si>
  <si>
    <t>安全卫生</t>
  </si>
  <si>
    <t>上班后打开仓库窗户通风。                              下班前关好仓库门窗及水电。                                仓库区域的日常清洁卫生。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</si>
</sst>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charset val="134"/>
      <scheme val="minor"/>
    </font>
    <font>
      <sz val="9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b/>
      <sz val="20"/>
      <name val="微软雅黑"/>
      <family val="2"/>
      <charset val="134"/>
    </font>
    <font>
      <b/>
      <sz val="9"/>
      <name val="微软雅黑"/>
      <family val="2"/>
      <charset val="134"/>
    </font>
    <font>
      <b/>
      <sz val="12"/>
      <name val="宋体"/>
      <charset val="134"/>
    </font>
    <font>
      <b/>
      <sz val="16"/>
      <color theme="1"/>
      <name val="Calibri"/>
      <family val="4"/>
      <charset val="134"/>
      <scheme val="minor"/>
    </font>
    <font>
      <b/>
      <sz val="11"/>
      <color theme="1"/>
      <name val="Calibri"/>
      <family val="4"/>
      <charset val="134"/>
      <scheme val="minor"/>
    </font>
    <font>
      <sz val="10"/>
      <name val="宋体"/>
      <charset val="134"/>
    </font>
    <font>
      <sz val="11"/>
      <name val="Calibri"/>
      <family val="4"/>
      <charset val="134"/>
      <scheme val="minor"/>
    </font>
    <font>
      <sz val="11"/>
      <color rgb="FF000000"/>
      <name val="Arial"/>
      <family val="2"/>
    </font>
    <font>
      <sz val="10"/>
      <name val="Calibri"/>
      <family val="4"/>
      <charset val="134"/>
      <scheme val="minor"/>
    </font>
    <font>
      <b/>
      <sz val="11"/>
      <name val="Calibri"/>
      <family val="4"/>
      <charset val="134"/>
      <scheme val="minor"/>
    </font>
    <font>
      <b/>
      <sz val="18"/>
      <color theme="1"/>
      <name val="黑体"/>
      <charset val="134"/>
    </font>
    <font>
      <b/>
      <sz val="15"/>
      <color rgb="FF000000"/>
      <name val="Arial"/>
      <family val="2"/>
    </font>
    <font>
      <sz val="12"/>
      <color rgb="FF000000"/>
      <name val="Arial"/>
      <family val="2"/>
    </font>
    <font>
      <sz val="12"/>
      <name val="Microsoft YaHei"/>
      <family val="2"/>
      <charset val="134"/>
    </font>
    <font>
      <sz val="12"/>
      <color rgb="FF000000"/>
      <name val="宋体"/>
      <charset val="134"/>
    </font>
    <font>
      <sz val="12"/>
      <color rgb="FFFF0000"/>
      <name val="Arial"/>
      <family val="2"/>
    </font>
    <font>
      <b/>
      <sz val="15"/>
      <name val="SimSun"/>
      <charset val="134"/>
    </font>
    <font>
      <sz val="12"/>
      <name val="Calibri"/>
      <family val="4"/>
      <charset val="134"/>
      <scheme val="minor"/>
    </font>
    <font>
      <sz val="16"/>
      <name val="Calibri"/>
      <family val="4"/>
      <charset val="134"/>
      <scheme val="minor"/>
    </font>
    <font>
      <sz val="10.5"/>
      <name val="Calibri"/>
      <family val="4"/>
      <charset val="134"/>
      <scheme val="minor"/>
    </font>
    <font>
      <sz val="10.5"/>
      <name val="宋体"/>
      <charset val="134"/>
    </font>
    <font>
      <sz val="14"/>
      <name val="Calibri"/>
      <family val="4"/>
      <charset val="134"/>
      <scheme val="minor"/>
    </font>
    <font>
      <b/>
      <sz val="18"/>
      <name val="Calibri"/>
      <family val="4"/>
      <charset val="134"/>
      <scheme val="minor"/>
    </font>
    <font>
      <b/>
      <sz val="14"/>
      <name val="Calibri"/>
      <family val="4"/>
      <charset val="134"/>
      <scheme val="minor"/>
    </font>
    <font>
      <sz val="18"/>
      <name val="黑体"/>
      <charset val="134"/>
    </font>
    <font>
      <sz val="14"/>
      <name val="黑体"/>
      <charset val="134"/>
    </font>
    <font>
      <sz val="18"/>
      <color theme="1"/>
      <name val="黑体"/>
      <charset val="134"/>
    </font>
    <font>
      <sz val="12"/>
      <color theme="1"/>
      <name val="Calibri"/>
      <family val="4"/>
      <charset val="134"/>
      <scheme val="minor"/>
    </font>
    <font>
      <sz val="10"/>
      <color theme="1"/>
      <name val="Calibri"/>
      <family val="4"/>
      <charset val="134"/>
      <scheme val="minor"/>
    </font>
    <font>
      <sz val="10"/>
      <color rgb="FFFF0000"/>
      <name val="Calibri"/>
      <family val="4"/>
      <charset val="134"/>
      <scheme val="minor"/>
    </font>
    <font>
      <sz val="11"/>
      <name val="Arial"/>
      <family val="2"/>
    </font>
    <font>
      <sz val="6"/>
      <name val="Arial"/>
      <family val="2"/>
    </font>
    <font>
      <sz val="12"/>
      <color rgb="FFFF0000"/>
      <name val="Microsoft YaHei"/>
      <family val="2"/>
      <charset val="134"/>
    </font>
    <font>
      <b/>
      <sz val="11"/>
      <color theme="1"/>
      <name val="宋体"/>
      <charset val="134"/>
    </font>
    <font>
      <sz val="15"/>
      <name val="SimSun"/>
      <charset val="134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20651875362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6">
    <xf numFmtId="0" fontId="0" fillId="0" borderId="0">
      <alignment vertical="center"/>
    </xf>
    <xf numFmtId="0" fontId="39" fillId="0" borderId="0">
      <alignment vertical="center"/>
    </xf>
    <xf numFmtId="0" fontId="2" fillId="0" borderId="0"/>
    <xf numFmtId="0" fontId="39" fillId="0" borderId="0">
      <alignment vertical="center"/>
    </xf>
    <xf numFmtId="0" fontId="2" fillId="0" borderId="0"/>
    <xf numFmtId="0" fontId="2" fillId="0" borderId="0"/>
  </cellStyleXfs>
  <cellXfs count="19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6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14" fontId="0" fillId="0" borderId="2" xfId="0" applyNumberForma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0" fillId="4" borderId="0" xfId="0" applyFont="1" applyFill="1">
      <alignment vertical="center"/>
    </xf>
    <xf numFmtId="0" fontId="10" fillId="0" borderId="0" xfId="0" applyFont="1">
      <alignment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10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12" fillId="4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20" fillId="0" borderId="0" xfId="0" applyFont="1" applyAlignment="1">
      <alignment vertical="top" wrapText="1"/>
    </xf>
    <xf numFmtId="0" fontId="8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2" applyFont="1" applyAlignment="1">
      <alignment vertical="center"/>
    </xf>
    <xf numFmtId="0" fontId="25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justify" vertical="center" wrapText="1"/>
    </xf>
    <xf numFmtId="0" fontId="12" fillId="0" borderId="9" xfId="0" applyFont="1" applyBorder="1" applyAlignment="1">
      <alignment horizontal="justify" vertical="center" wrapText="1"/>
    </xf>
    <xf numFmtId="0" fontId="12" fillId="0" borderId="2" xfId="0" applyFont="1" applyBorder="1" applyAlignment="1">
      <alignment horizontal="justify" vertical="center" wrapText="1"/>
    </xf>
    <xf numFmtId="0" fontId="12" fillId="0" borderId="18" xfId="0" applyFont="1" applyBorder="1" applyAlignment="1">
      <alignment horizontal="justify" vertical="center" wrapText="1"/>
    </xf>
    <xf numFmtId="0" fontId="12" fillId="0" borderId="3" xfId="0" applyFont="1" applyBorder="1" applyAlignment="1">
      <alignment horizontal="justify" vertical="center" wrapText="1"/>
    </xf>
    <xf numFmtId="0" fontId="12" fillId="0" borderId="19" xfId="0" applyFont="1" applyBorder="1" applyAlignment="1">
      <alignment horizontal="justify" vertical="center" wrapText="1"/>
    </xf>
    <xf numFmtId="0" fontId="12" fillId="0" borderId="20" xfId="0" applyFont="1" applyBorder="1" applyAlignment="1">
      <alignment horizontal="center" vertical="center" wrapText="1"/>
    </xf>
    <xf numFmtId="0" fontId="9" fillId="4" borderId="20" xfId="2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4" borderId="20" xfId="2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0" fillId="0" borderId="0" xfId="0" applyAlignment="1"/>
    <xf numFmtId="0" fontId="12" fillId="0" borderId="18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7" xfId="0" applyFont="1" applyBorder="1">
      <alignment vertical="center"/>
    </xf>
    <xf numFmtId="0" fontId="9" fillId="0" borderId="13" xfId="0" applyFont="1" applyBorder="1">
      <alignment vertical="center"/>
    </xf>
    <xf numFmtId="0" fontId="39" fillId="0" borderId="0" xfId="3">
      <alignment vertical="center"/>
    </xf>
    <xf numFmtId="0" fontId="2" fillId="0" borderId="0" xfId="5"/>
    <xf numFmtId="0" fontId="2" fillId="0" borderId="0" xfId="4" applyAlignment="1">
      <alignment horizontal="left"/>
    </xf>
    <xf numFmtId="0" fontId="39" fillId="0" borderId="0" xfId="3" applyAlignment="1"/>
    <xf numFmtId="0" fontId="39" fillId="0" borderId="32" xfId="3" applyBorder="1">
      <alignment vertical="center"/>
    </xf>
    <xf numFmtId="0" fontId="30" fillId="0" borderId="32" xfId="3" applyFont="1" applyBorder="1">
      <alignment vertical="center"/>
    </xf>
    <xf numFmtId="0" fontId="30" fillId="0" borderId="0" xfId="3" applyFont="1">
      <alignment vertical="center"/>
    </xf>
    <xf numFmtId="0" fontId="39" fillId="0" borderId="32" xfId="3" applyBorder="1" applyAlignment="1"/>
    <xf numFmtId="0" fontId="39" fillId="0" borderId="33" xfId="3" applyBorder="1">
      <alignment vertical="center"/>
    </xf>
    <xf numFmtId="0" fontId="39" fillId="0" borderId="34" xfId="3" applyBorder="1">
      <alignment vertical="center"/>
    </xf>
    <xf numFmtId="0" fontId="39" fillId="0" borderId="0" xfId="3" applyAlignment="1">
      <alignment horizontal="center" vertical="center"/>
    </xf>
    <xf numFmtId="0" fontId="2" fillId="0" borderId="35" xfId="2" applyBorder="1" applyAlignment="1">
      <alignment horizontal="center" vertical="center" wrapText="1"/>
    </xf>
    <xf numFmtId="0" fontId="2" fillId="0" borderId="36" xfId="2" applyBorder="1" applyAlignment="1">
      <alignment horizontal="center" vertical="center" wrapText="1"/>
    </xf>
    <xf numFmtId="0" fontId="31" fillId="0" borderId="0" xfId="3" applyFont="1" applyAlignment="1"/>
    <xf numFmtId="0" fontId="39" fillId="0" borderId="37" xfId="3" applyBorder="1">
      <alignment vertical="center"/>
    </xf>
    <xf numFmtId="0" fontId="30" fillId="0" borderId="37" xfId="3" applyFont="1" applyBorder="1">
      <alignment vertical="center"/>
    </xf>
    <xf numFmtId="0" fontId="39" fillId="0" borderId="38" xfId="3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5" xfId="0" applyBorder="1" applyAlignment="1">
      <alignment horizontal="center" vertical="center"/>
    </xf>
    <xf numFmtId="0" fontId="32" fillId="0" borderId="3" xfId="0" applyFont="1" applyBorder="1">
      <alignment vertical="center"/>
    </xf>
    <xf numFmtId="0" fontId="32" fillId="0" borderId="4" xfId="0" applyFont="1" applyBorder="1">
      <alignment vertical="center"/>
    </xf>
    <xf numFmtId="0" fontId="32" fillId="0" borderId="5" xfId="0" applyFont="1" applyBorder="1">
      <alignment vertical="center"/>
    </xf>
    <xf numFmtId="0" fontId="32" fillId="0" borderId="0" xfId="0" applyFont="1">
      <alignment vertical="center"/>
    </xf>
    <xf numFmtId="0" fontId="32" fillId="0" borderId="3" xfId="0" applyFont="1" applyBorder="1" applyAlignment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5" xfId="0" applyFont="1" applyBorder="1" applyAlignment="1">
      <alignment horizontal="left" vertical="center"/>
    </xf>
    <xf numFmtId="0" fontId="32" fillId="0" borderId="5" xfId="0" applyFont="1" applyBorder="1" applyAlignment="1">
      <alignment horizontal="left" vertical="center" wrapText="1"/>
    </xf>
    <xf numFmtId="0" fontId="12" fillId="0" borderId="3" xfId="1" applyFont="1" applyBorder="1" applyAlignment="1">
      <alignment vertical="center" wrapText="1"/>
    </xf>
    <xf numFmtId="0" fontId="12" fillId="0" borderId="4" xfId="1" applyFont="1" applyBorder="1" applyAlignment="1">
      <alignment vertical="center" wrapText="1"/>
    </xf>
    <xf numFmtId="0" fontId="12" fillId="0" borderId="5" xfId="1" applyFont="1" applyBorder="1" applyAlignment="1">
      <alignment vertical="center" wrapText="1"/>
    </xf>
    <xf numFmtId="0" fontId="0" fillId="0" borderId="1" xfId="0" applyBorder="1">
      <alignment vertical="center"/>
    </xf>
    <xf numFmtId="0" fontId="33" fillId="0" borderId="3" xfId="0" applyFont="1" applyBorder="1">
      <alignment vertical="center"/>
    </xf>
    <xf numFmtId="0" fontId="33" fillId="0" borderId="5" xfId="0" applyFont="1" applyBorder="1">
      <alignment vertical="center"/>
    </xf>
    <xf numFmtId="0" fontId="12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8" fillId="0" borderId="29" xfId="2" applyFont="1" applyBorder="1" applyAlignment="1">
      <alignment horizontal="center" vertical="center" wrapText="1"/>
    </xf>
    <xf numFmtId="0" fontId="28" fillId="0" borderId="30" xfId="2" applyFont="1" applyBorder="1" applyAlignment="1">
      <alignment horizontal="center" vertical="center" wrapText="1"/>
    </xf>
    <xf numFmtId="0" fontId="29" fillId="0" borderId="31" xfId="2" applyFont="1" applyBorder="1" applyAlignment="1">
      <alignment horizontal="center" vertical="center" wrapText="1"/>
    </xf>
    <xf numFmtId="0" fontId="29" fillId="0" borderId="11" xfId="2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justify" vertical="center"/>
    </xf>
    <xf numFmtId="0" fontId="12" fillId="0" borderId="18" xfId="0" applyFont="1" applyBorder="1" applyAlignment="1">
      <alignment horizontal="justify" vertical="center"/>
    </xf>
    <xf numFmtId="0" fontId="12" fillId="0" borderId="20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9" fillId="4" borderId="2" xfId="2" applyFont="1" applyFill="1" applyBorder="1" applyAlignment="1">
      <alignment horizontal="left" vertical="center" wrapText="1"/>
    </xf>
    <xf numFmtId="0" fontId="9" fillId="4" borderId="18" xfId="2" applyFont="1" applyFill="1" applyBorder="1" applyAlignment="1">
      <alignment horizontal="left" vertical="center" wrapText="1"/>
    </xf>
    <xf numFmtId="0" fontId="9" fillId="4" borderId="21" xfId="2" applyFont="1" applyFill="1" applyBorder="1" applyAlignment="1">
      <alignment horizontal="left" vertical="center" wrapText="1"/>
    </xf>
    <xf numFmtId="0" fontId="9" fillId="4" borderId="16" xfId="2" applyFont="1" applyFill="1" applyBorder="1" applyAlignment="1">
      <alignment horizontal="left" vertical="center" wrapText="1"/>
    </xf>
    <xf numFmtId="0" fontId="9" fillId="4" borderId="22" xfId="2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23" fillId="0" borderId="20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12" fillId="0" borderId="26" xfId="2" applyFont="1" applyBorder="1" applyAlignment="1">
      <alignment horizontal="left" vertical="center" wrapText="1"/>
    </xf>
    <xf numFmtId="0" fontId="12" fillId="0" borderId="27" xfId="2" applyFont="1" applyBorder="1" applyAlignment="1">
      <alignment horizontal="left" vertical="center" wrapText="1"/>
    </xf>
    <xf numFmtId="0" fontId="12" fillId="0" borderId="13" xfId="2" applyFont="1" applyBorder="1" applyAlignment="1">
      <alignment horizontal="left" vertical="center" wrapText="1"/>
    </xf>
    <xf numFmtId="0" fontId="9" fillId="4" borderId="23" xfId="2" applyFont="1" applyFill="1" applyBorder="1" applyAlignment="1">
      <alignment horizontal="center" vertical="center"/>
    </xf>
    <xf numFmtId="0" fontId="9" fillId="4" borderId="24" xfId="2" applyFont="1" applyFill="1" applyBorder="1" applyAlignment="1">
      <alignment horizontal="center" vertical="center"/>
    </xf>
    <xf numFmtId="0" fontId="9" fillId="4" borderId="25" xfId="2" applyFont="1" applyFill="1" applyBorder="1" applyAlignment="1">
      <alignment horizontal="center" vertical="center"/>
    </xf>
    <xf numFmtId="0" fontId="12" fillId="0" borderId="20" xfId="0" applyFont="1" applyBorder="1" applyAlignment="1">
      <alignment horizontal="justify" vertical="top" wrapText="1"/>
    </xf>
    <xf numFmtId="0" fontId="12" fillId="0" borderId="2" xfId="0" applyFont="1" applyBorder="1" applyAlignment="1">
      <alignment horizontal="justify" vertical="top" wrapText="1"/>
    </xf>
    <xf numFmtId="0" fontId="12" fillId="0" borderId="18" xfId="0" applyFont="1" applyBorder="1" applyAlignment="1">
      <alignment horizontal="justify" vertical="top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4" borderId="2" xfId="2" applyFont="1" applyFill="1" applyBorder="1" applyAlignment="1">
      <alignment horizontal="left" vertical="center" wrapText="1"/>
    </xf>
    <xf numFmtId="0" fontId="12" fillId="4" borderId="18" xfId="2" applyFont="1" applyFill="1" applyBorder="1" applyAlignment="1">
      <alignment horizontal="left" vertical="center" wrapText="1"/>
    </xf>
    <xf numFmtId="0" fontId="12" fillId="4" borderId="21" xfId="2" applyFont="1" applyFill="1" applyBorder="1" applyAlignment="1">
      <alignment horizontal="left" vertical="center" wrapText="1"/>
    </xf>
    <xf numFmtId="0" fontId="12" fillId="4" borderId="16" xfId="2" applyFont="1" applyFill="1" applyBorder="1" applyAlignment="1">
      <alignment horizontal="left" vertical="center" wrapText="1"/>
    </xf>
    <xf numFmtId="0" fontId="12" fillId="4" borderId="22" xfId="2" applyFont="1" applyFill="1" applyBorder="1" applyAlignment="1">
      <alignment horizontal="left" vertical="center" wrapText="1"/>
    </xf>
    <xf numFmtId="0" fontId="12" fillId="4" borderId="23" xfId="2" applyFont="1" applyFill="1" applyBorder="1" applyAlignment="1">
      <alignment horizontal="center" vertical="center"/>
    </xf>
    <xf numFmtId="0" fontId="12" fillId="4" borderId="24" xfId="2" applyFont="1" applyFill="1" applyBorder="1" applyAlignment="1">
      <alignment horizontal="center" vertical="center"/>
    </xf>
    <xf numFmtId="0" fontId="12" fillId="4" borderId="25" xfId="2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top" wrapText="1"/>
    </xf>
    <xf numFmtId="0" fontId="15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 vertical="top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6">
    <cellStyle name="Normal" xfId="0" builtinId="0"/>
    <cellStyle name="常规 11" xfId="1" xr:uid="{00000000-0005-0000-0000-000031000000}"/>
    <cellStyle name="常规 2" xfId="2" xr:uid="{00000000-0005-0000-0000-000032000000}"/>
    <cellStyle name="常规 4" xfId="3" xr:uid="{00000000-0005-0000-0000-000033000000}"/>
    <cellStyle name="常规_０８版Ｂ系列电机部件外协受入检查规格" xfId="4" xr:uid="{00000000-0005-0000-0000-000034000000}"/>
    <cellStyle name="常规_受入（模板）" xfId="5" xr:uid="{00000000-0005-0000-0000-000035000000}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4.jpeg"/><Relationship Id="rId2" Type="http://schemas.openxmlformats.org/officeDocument/2006/relationships/image" Target="media/image3.jpeg"/><Relationship Id="rId1" Type="http://schemas.openxmlformats.org/officeDocument/2006/relationships/image" Target="media/image2.jpeg"/><Relationship Id="rId4" Type="http://schemas.openxmlformats.org/officeDocument/2006/relationships/image" Target="media/image5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www.wps.cn/officeDocument/2020/cellImage" Target="cellimag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150495</xdr:colOff>
      <xdr:row>22</xdr:row>
      <xdr:rowOff>37465</xdr:rowOff>
    </xdr:from>
    <xdr:to>
      <xdr:col>14</xdr:col>
      <xdr:colOff>289287</xdr:colOff>
      <xdr:row>24</xdr:row>
      <xdr:rowOff>32133</xdr:rowOff>
    </xdr:to>
    <xdr:sp macro="" textlink="">
      <xdr:nvSpPr>
        <xdr:cNvPr id="4" name="圆角矩形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642860" y="4333240"/>
          <a:ext cx="1496060" cy="35623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zh-CN" altLang="en-US">
              <a:effectLst/>
            </a:rPr>
            <a:t>出纳（</a:t>
          </a:r>
          <a:r>
            <a:rPr lang="en-US" altLang="zh-CN">
              <a:effectLst/>
            </a:rPr>
            <a:t>1</a:t>
          </a:r>
          <a:r>
            <a:rPr lang="zh-CN" altLang="en-US">
              <a:effectLst/>
            </a:rPr>
            <a:t>人）</a:t>
          </a:r>
          <a:endParaRPr lang="zh-CN" altLang="zh-CN">
            <a:effectLst/>
          </a:endParaRPr>
        </a:p>
      </xdr:txBody>
    </xdr:sp>
    <xdr:clientData/>
  </xdr:twoCellAnchor>
  <xdr:twoCellAnchor>
    <xdr:from>
      <xdr:col>12</xdr:col>
      <xdr:colOff>51435</xdr:colOff>
      <xdr:row>29</xdr:row>
      <xdr:rowOff>17145</xdr:rowOff>
    </xdr:from>
    <xdr:to>
      <xdr:col>14</xdr:col>
      <xdr:colOff>400050</xdr:colOff>
      <xdr:row>43</xdr:row>
      <xdr:rowOff>148590</xdr:rowOff>
    </xdr:to>
    <xdr:sp macro="" textlink="">
      <xdr:nvSpPr>
        <xdr:cNvPr id="5" name="圆角矩形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543800" y="5579745"/>
          <a:ext cx="1706245" cy="2665095"/>
        </a:xfrm>
        <a:prstGeom prst="roundRect">
          <a:avLst/>
        </a:prstGeom>
        <a:ln w="12700"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lIns="0" tIns="0" rIns="0" bIns="0" rtlCol="0" anchor="t"/>
        <a:lstStyle/>
        <a:p>
          <a:pPr marL="0" indent="0" algn="l"/>
          <a:r>
            <a:rPr lang="zh-CN" altLang="en-US" sz="105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主要职责：</a:t>
          </a:r>
          <a:endParaRPr lang="en-US" altLang="zh-CN" sz="105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  <a:p>
          <a:pPr rtl="0"/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、资金日常收付款管理；</a:t>
          </a:r>
        </a:p>
        <a:p>
          <a:pPr rtl="0"/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、资金报表的整理与填报；</a:t>
          </a:r>
        </a:p>
        <a:p>
          <a:pPr rtl="0"/>
          <a:r>
            <a:rPr lang="en-US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3</a:t>
          </a:r>
          <a:r>
            <a:rPr lang="zh-CN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、凭证整理与移交；</a:t>
          </a:r>
        </a:p>
        <a:p>
          <a:pPr rtl="0"/>
          <a:r>
            <a:rPr lang="en-US" altLang="en-US" sz="105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4</a:t>
          </a:r>
          <a:r>
            <a:rPr lang="zh-CN" altLang="en-US" sz="105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、款项跟踪汇报。</a:t>
          </a:r>
        </a:p>
        <a:p>
          <a:pPr rtl="0"/>
          <a:endParaRPr lang="zh-CN" altLang="en-US" sz="105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  <a:p>
          <a:pPr rtl="0"/>
          <a:endParaRPr lang="en-US" altLang="en-US" sz="105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395468</xdr:colOff>
      <xdr:row>26</xdr:row>
      <xdr:rowOff>18679</xdr:rowOff>
    </xdr:from>
    <xdr:to>
      <xdr:col>14</xdr:col>
      <xdr:colOff>53519</xdr:colOff>
      <xdr:row>27</xdr:row>
      <xdr:rowOff>171449</xdr:rowOff>
    </xdr:to>
    <xdr:sp macro="" textlink="">
      <xdr:nvSpPr>
        <xdr:cNvPr id="15" name="圆角矩形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7887335" y="5038090"/>
          <a:ext cx="1016000" cy="333375"/>
        </a:xfrm>
        <a:prstGeom prst="round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>
              <a:effectLst/>
            </a:rPr>
            <a:t>杨婷</a:t>
          </a:r>
        </a:p>
      </xdr:txBody>
    </xdr:sp>
    <xdr:clientData/>
  </xdr:twoCellAnchor>
  <xdr:twoCellAnchor>
    <xdr:from>
      <xdr:col>2</xdr:col>
      <xdr:colOff>44450</xdr:colOff>
      <xdr:row>28</xdr:row>
      <xdr:rowOff>26670</xdr:rowOff>
    </xdr:from>
    <xdr:to>
      <xdr:col>2</xdr:col>
      <xdr:colOff>45085</xdr:colOff>
      <xdr:row>29</xdr:row>
      <xdr:rowOff>19050</xdr:rowOff>
    </xdr:to>
    <xdr:cxnSp macro="">
      <xdr:nvCxnSpPr>
        <xdr:cNvPr id="21" name="直接连接符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>
          <a:stCxn id="11" idx="2"/>
          <a:endCxn id="9" idx="0"/>
        </xdr:cNvCxnSpPr>
      </xdr:nvCxnSpPr>
      <xdr:spPr>
        <a:xfrm>
          <a:off x="1402080" y="5408295"/>
          <a:ext cx="635" cy="1733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224155</xdr:colOff>
      <xdr:row>27</xdr:row>
      <xdr:rowOff>170815</xdr:rowOff>
    </xdr:from>
    <xdr:to>
      <xdr:col>13</xdr:col>
      <xdr:colOff>226060</xdr:colOff>
      <xdr:row>29</xdr:row>
      <xdr:rowOff>17145</xdr:rowOff>
    </xdr:to>
    <xdr:cxnSp macro="">
      <xdr:nvCxnSpPr>
        <xdr:cNvPr id="23" name="直接连接符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>
          <a:stCxn id="15" idx="2"/>
          <a:endCxn id="5" idx="0"/>
        </xdr:cNvCxnSpPr>
      </xdr:nvCxnSpPr>
      <xdr:spPr>
        <a:xfrm>
          <a:off x="8395335" y="5371465"/>
          <a:ext cx="1905" cy="2082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120650</xdr:colOff>
      <xdr:row>22</xdr:row>
      <xdr:rowOff>69850</xdr:rowOff>
    </xdr:from>
    <xdr:to>
      <xdr:col>6</xdr:col>
      <xdr:colOff>550544</xdr:colOff>
      <xdr:row>24</xdr:row>
      <xdr:rowOff>104299</xdr:rowOff>
    </xdr:to>
    <xdr:sp macro="" textlink="">
      <xdr:nvSpPr>
        <xdr:cNvPr id="35" name="圆角矩形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2835910" y="4365625"/>
          <a:ext cx="1590675" cy="39624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往来会计（</a:t>
          </a: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2</a:t>
          </a:r>
          <a:r>
            <a:rPr kumimoji="0" lang="zh-CN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人）</a:t>
          </a:r>
          <a:endParaRPr kumimoji="0" lang="en-US" altLang="zh-CN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宋体" panose="02010600030101010101" pitchFamily="7" charset="-122"/>
            <a:ea typeface="宋体" panose="02010600030101010101" pitchFamily="7" charset="-122"/>
            <a:cs typeface="+mn-cs"/>
          </a:endParaRPr>
        </a:p>
      </xdr:txBody>
    </xdr:sp>
    <xdr:clientData/>
  </xdr:twoCellAnchor>
  <xdr:twoCellAnchor>
    <xdr:from>
      <xdr:col>2</xdr:col>
      <xdr:colOff>95250</xdr:colOff>
      <xdr:row>20</xdr:row>
      <xdr:rowOff>165100</xdr:rowOff>
    </xdr:from>
    <xdr:to>
      <xdr:col>2</xdr:col>
      <xdr:colOff>95250</xdr:colOff>
      <xdr:row>22</xdr:row>
      <xdr:rowOff>38100</xdr:rowOff>
    </xdr:to>
    <xdr:cxnSp macro="">
      <xdr:nvCxnSpPr>
        <xdr:cNvPr id="126" name="直接连接符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CxnSpPr/>
      </xdr:nvCxnSpPr>
      <xdr:spPr>
        <a:xfrm>
          <a:off x="1452880" y="4098925"/>
          <a:ext cx="0" cy="234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88900</xdr:colOff>
      <xdr:row>21</xdr:row>
      <xdr:rowOff>6350</xdr:rowOff>
    </xdr:from>
    <xdr:to>
      <xdr:col>13</xdr:col>
      <xdr:colOff>222250</xdr:colOff>
      <xdr:row>21</xdr:row>
      <xdr:rowOff>6350</xdr:rowOff>
    </xdr:to>
    <xdr:cxnSp macro="">
      <xdr:nvCxnSpPr>
        <xdr:cNvPr id="130" name="直接连接符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CxnSpPr/>
      </xdr:nvCxnSpPr>
      <xdr:spPr>
        <a:xfrm>
          <a:off x="1446530" y="4121150"/>
          <a:ext cx="6946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219710</xdr:colOff>
      <xdr:row>20</xdr:row>
      <xdr:rowOff>161925</xdr:rowOff>
    </xdr:from>
    <xdr:to>
      <xdr:col>13</xdr:col>
      <xdr:colOff>220345</xdr:colOff>
      <xdr:row>22</xdr:row>
      <xdr:rowOff>37465</xdr:rowOff>
    </xdr:to>
    <xdr:cxnSp macro="">
      <xdr:nvCxnSpPr>
        <xdr:cNvPr id="132" name="直接连接符 13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CxnSpPr>
          <a:endCxn id="4" idx="0"/>
        </xdr:cNvCxnSpPr>
      </xdr:nvCxnSpPr>
      <xdr:spPr>
        <a:xfrm flipH="1">
          <a:off x="8390890" y="4095750"/>
          <a:ext cx="635" cy="2374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219710</xdr:colOff>
      <xdr:row>24</xdr:row>
      <xdr:rowOff>31750</xdr:rowOff>
    </xdr:from>
    <xdr:to>
      <xdr:col>13</xdr:col>
      <xdr:colOff>224155</xdr:colOff>
      <xdr:row>26</xdr:row>
      <xdr:rowOff>18415</xdr:rowOff>
    </xdr:to>
    <xdr:cxnSp macro="">
      <xdr:nvCxnSpPr>
        <xdr:cNvPr id="151" name="直接连接符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CxnSpPr>
          <a:stCxn id="4" idx="2"/>
          <a:endCxn id="15" idx="0"/>
        </xdr:cNvCxnSpPr>
      </xdr:nvCxnSpPr>
      <xdr:spPr>
        <a:xfrm>
          <a:off x="8390890" y="4689475"/>
          <a:ext cx="4445" cy="3486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</xdr:colOff>
      <xdr:row>25</xdr:row>
      <xdr:rowOff>11430</xdr:rowOff>
    </xdr:from>
    <xdr:to>
      <xdr:col>3</xdr:col>
      <xdr:colOff>191135</xdr:colOff>
      <xdr:row>26</xdr:row>
      <xdr:rowOff>175895</xdr:rowOff>
    </xdr:to>
    <xdr:cxnSp macro="">
      <xdr:nvCxnSpPr>
        <xdr:cNvPr id="157" name="直接连接符 156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CxnSpPr>
          <a:stCxn id="14" idx="2"/>
          <a:endCxn id="11" idx="0"/>
        </xdr:cNvCxnSpPr>
      </xdr:nvCxnSpPr>
      <xdr:spPr>
        <a:xfrm>
          <a:off x="2211705" y="4850130"/>
          <a:ext cx="15875" cy="3454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339725</xdr:colOff>
      <xdr:row>5</xdr:row>
      <xdr:rowOff>53975</xdr:rowOff>
    </xdr:from>
    <xdr:to>
      <xdr:col>15</xdr:col>
      <xdr:colOff>570230</xdr:colOff>
      <xdr:row>17</xdr:row>
      <xdr:rowOff>109855</xdr:rowOff>
    </xdr:to>
    <xdr:grpSp>
      <xdr:nvGrpSpPr>
        <xdr:cNvPr id="34" name="组合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7282392" y="1168753"/>
          <a:ext cx="2699949" cy="2539435"/>
          <a:chOff x="1677" y="1824"/>
          <a:chExt cx="4023" cy="3626"/>
        </a:xfrm>
      </xdr:grpSpPr>
      <xdr:sp macro="" textlink="">
        <xdr:nvSpPr>
          <xdr:cNvPr id="2" name="圆角矩形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SpPr/>
        </xdr:nvSpPr>
        <xdr:spPr>
          <a:xfrm>
            <a:off x="1915" y="4075"/>
            <a:ext cx="3094" cy="1375"/>
          </a:xfrm>
          <a:prstGeom prst="round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zh-CN" altLang="en-US" sz="1400" b="1">
                <a:latin typeface="+mn-ea"/>
                <a:ea typeface="+mn-ea"/>
              </a:rPr>
              <a:t>财务顾问</a:t>
            </a:r>
            <a:endParaRPr lang="en-US" altLang="zh-CN" sz="1400" b="1">
              <a:latin typeface="+mn-ea"/>
              <a:ea typeface="+mn-ea"/>
            </a:endParaRPr>
          </a:p>
          <a:p>
            <a:pPr algn="ctr"/>
            <a:endParaRPr lang="en-US" altLang="zh-CN" sz="1050" b="0">
              <a:solidFill>
                <a:schemeClr val="dk1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" name="圆角矩形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1677" y="1824"/>
            <a:ext cx="4023" cy="1871"/>
          </a:xfrm>
          <a:prstGeom prst="roundRect">
            <a:avLst>
              <a:gd name="adj" fmla="val 9831"/>
            </a:avLst>
          </a:prstGeom>
          <a:ln w="12700">
            <a:solidFill>
              <a:schemeClr val="tx2">
                <a:lumMod val="60000"/>
                <a:lumOff val="40000"/>
              </a:schemeClr>
            </a:solidFill>
          </a:ln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t"/>
          <a:lstStyle/>
          <a:p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主要职责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：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                                                 </a:t>
            </a:r>
            <a:endParaRPr lang="zh-CN" altLang="zh-CN">
              <a:effectLst/>
            </a:endParaRP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、企业规划；</a:t>
            </a:r>
            <a:endParaRPr lang="zh-CN" altLang="zh-CN">
              <a:effectLst/>
            </a:endParaRP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、财务工作的指导；</a:t>
            </a:r>
            <a:endParaRPr lang="zh-CN" altLang="zh-CN">
              <a:effectLst/>
            </a:endParaRP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、公司经营过程咨询</a:t>
            </a:r>
            <a:endParaRPr lang="zh-CN" altLang="zh-CN">
              <a:effectLst/>
            </a:endParaRPr>
          </a:p>
        </xdr:txBody>
      </xdr:sp>
      <xdr:cxnSp macro="">
        <xdr:nvCxnSpPr>
          <xdr:cNvPr id="171" name="直接连接符 170">
            <a:extLst>
              <a:ext uri="{FF2B5EF4-FFF2-40B4-BE49-F238E27FC236}">
                <a16:creationId xmlns:a16="http://schemas.microsoft.com/office/drawing/2014/main" id="{00000000-0008-0000-0100-0000AB000000}"/>
              </a:ext>
            </a:extLst>
          </xdr:cNvPr>
          <xdr:cNvCxnSpPr>
            <a:stCxn id="3" idx="2"/>
          </xdr:cNvCxnSpPr>
        </xdr:nvCxnSpPr>
        <xdr:spPr>
          <a:xfrm>
            <a:off x="3689" y="3695"/>
            <a:ext cx="0" cy="3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214630</xdr:colOff>
      <xdr:row>21</xdr:row>
      <xdr:rowOff>38735</xdr:rowOff>
    </xdr:from>
    <xdr:to>
      <xdr:col>5</xdr:col>
      <xdr:colOff>229235</xdr:colOff>
      <xdr:row>22</xdr:row>
      <xdr:rowOff>95250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H="1">
          <a:off x="3608705" y="4153535"/>
          <a:ext cx="14605" cy="23749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20320</xdr:colOff>
      <xdr:row>22</xdr:row>
      <xdr:rowOff>74295</xdr:rowOff>
    </xdr:from>
    <xdr:to>
      <xdr:col>6</xdr:col>
      <xdr:colOff>574675</xdr:colOff>
      <xdr:row>43</xdr:row>
      <xdr:rowOff>99695</xdr:rowOff>
    </xdr:to>
    <xdr:grpSp>
      <xdr:nvGrpSpPr>
        <xdr:cNvPr id="16" name="组合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pSpPr/>
      </xdr:nvGrpSpPr>
      <xdr:grpSpPr>
        <a:xfrm>
          <a:off x="2729653" y="4660406"/>
          <a:ext cx="1711466" cy="4174067"/>
          <a:chOff x="4014" y="4602"/>
          <a:chExt cx="2589" cy="5710"/>
        </a:xfrm>
      </xdr:grpSpPr>
      <xdr:sp macro="" textlink="">
        <xdr:nvSpPr>
          <xdr:cNvPr id="66" name="圆角矩形 65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/>
        </xdr:nvSpPr>
        <xdr:spPr>
          <a:xfrm>
            <a:off x="4542" y="5626"/>
            <a:ext cx="1460" cy="486"/>
          </a:xfrm>
          <a:prstGeom prst="round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zh-CN" altLang="zh-CN">
                <a:effectLst/>
              </a:rPr>
              <a:t>潘会计</a:t>
            </a:r>
          </a:p>
        </xdr:txBody>
      </xdr:sp>
      <xdr:sp macro="" textlink="">
        <xdr:nvSpPr>
          <xdr:cNvPr id="69" name="圆角矩形 68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SpPr/>
        </xdr:nvSpPr>
        <xdr:spPr>
          <a:xfrm>
            <a:off x="4014" y="6514"/>
            <a:ext cx="2556" cy="3798"/>
          </a:xfrm>
          <a:prstGeom prst="roundRect">
            <a:avLst/>
          </a:prstGeom>
          <a:solidFill>
            <a:sysClr val="window" lastClr="FFFFFF"/>
          </a:solidFill>
          <a:ln w="12700" cap="flat" cmpd="sng" algn="ctr">
            <a:solidFill>
              <a:srgbClr val="1F497D">
                <a:lumMod val="60000"/>
                <a:lumOff val="40000"/>
              </a:srgbClr>
            </a:solidFill>
            <a:prstDash val="solid"/>
          </a:ln>
          <a:effectLst/>
        </xdr:spPr>
        <xdr:txBody>
          <a:bodyPr vertOverflow="clip" horzOverflow="clip" lIns="0" tIns="0" rIns="0" bIns="0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zh-CN" altLang="en-US" sz="105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 主要职责：</a:t>
            </a:r>
            <a:endParaRPr kumimoji="0" lang="en-US" altLang="zh-CN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  <a:cs typeface="+mn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1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、应收账款的动态跟踪；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2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、往年呆滞应收账款催缴；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3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、月度销售部所有销售费用报销审核及统计；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4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、销售简单数据统计并分析。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5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、日常费用、付款</a:t>
            </a: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财务初审</a:t>
            </a: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 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及统计。</a:t>
            </a:r>
            <a:endParaRPr lang="zh-CN" altLang="zh-CN">
              <a:effectLst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endParaRPr lang="zh-CN" altLang="zh-CN">
              <a:effectLst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endParaRPr lang="zh-CN" altLang="zh-CN">
              <a:effectLst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endPara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endParaRPr lang="zh-CN" altLang="zh-CN">
              <a:effectLst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endPara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82" name="直接连接符 81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CxnSpPr>
            <a:stCxn id="66" idx="2"/>
            <a:endCxn id="69" idx="0"/>
          </xdr:cNvCxnSpPr>
        </xdr:nvCxnSpPr>
        <xdr:spPr>
          <a:xfrm>
            <a:off x="5263" y="6120"/>
            <a:ext cx="4" cy="282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直接连接符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CxnSpPr/>
        </xdr:nvCxnSpPr>
        <xdr:spPr>
          <a:xfrm>
            <a:off x="5310" y="5200"/>
            <a:ext cx="7" cy="342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sp macro="" textlink="">
        <xdr:nvSpPr>
          <xdr:cNvPr id="12" name="圆角矩形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4209" y="4602"/>
            <a:ext cx="2394" cy="577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往来会计（</a:t>
            </a: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1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人）</a:t>
            </a:r>
            <a:endPara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  <a:cs typeface="+mn-cs"/>
            </a:endParaRPr>
          </a:p>
        </xdr:txBody>
      </xdr:sp>
    </xdr:grpSp>
    <xdr:clientData/>
  </xdr:twoCellAnchor>
  <xdr:twoCellAnchor>
    <xdr:from>
      <xdr:col>7</xdr:col>
      <xdr:colOff>577215</xdr:colOff>
      <xdr:row>21</xdr:row>
      <xdr:rowOff>52705</xdr:rowOff>
    </xdr:from>
    <xdr:to>
      <xdr:col>10</xdr:col>
      <xdr:colOff>450850</xdr:colOff>
      <xdr:row>43</xdr:row>
      <xdr:rowOff>136525</xdr:rowOff>
    </xdr:to>
    <xdr:grpSp>
      <xdr:nvGrpSpPr>
        <xdr:cNvPr id="27" name="组合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GrpSpPr/>
      </xdr:nvGrpSpPr>
      <xdr:grpSpPr>
        <a:xfrm>
          <a:off x="5120993" y="4441261"/>
          <a:ext cx="1750413" cy="4430042"/>
          <a:chOff x="4014" y="4246"/>
          <a:chExt cx="2589" cy="6066"/>
        </a:xfrm>
      </xdr:grpSpPr>
      <xdr:sp macro="" textlink="">
        <xdr:nvSpPr>
          <xdr:cNvPr id="28" name="圆角矩形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/>
        </xdr:nvSpPr>
        <xdr:spPr>
          <a:xfrm>
            <a:off x="4542" y="5626"/>
            <a:ext cx="1460" cy="486"/>
          </a:xfrm>
          <a:prstGeom prst="round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zh-CN" altLang="zh-CN">
                <a:effectLst/>
              </a:rPr>
              <a:t>王金平</a:t>
            </a:r>
          </a:p>
        </xdr:txBody>
      </xdr:sp>
      <xdr:sp macro="" textlink="">
        <xdr:nvSpPr>
          <xdr:cNvPr id="29" name="圆角矩形 28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/>
        </xdr:nvSpPr>
        <xdr:spPr>
          <a:xfrm>
            <a:off x="4014" y="6514"/>
            <a:ext cx="2556" cy="3798"/>
          </a:xfrm>
          <a:prstGeom prst="roundRect">
            <a:avLst/>
          </a:prstGeom>
          <a:solidFill>
            <a:sysClr val="window" lastClr="FFFFFF"/>
          </a:solidFill>
          <a:ln w="12700" cap="flat" cmpd="sng" algn="ctr">
            <a:solidFill>
              <a:srgbClr val="1F497D">
                <a:lumMod val="60000"/>
                <a:lumOff val="40000"/>
              </a:srgbClr>
            </a:solidFill>
            <a:prstDash val="solid"/>
          </a:ln>
          <a:effectLst/>
        </xdr:spPr>
        <xdr:txBody>
          <a:bodyPr vertOverflow="clip" horzOverflow="clip" lIns="0" tIns="0" rIns="0" bIns="0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zh-CN" altLang="en-US" sz="105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 主要职责：</a:t>
            </a:r>
            <a:endParaRPr kumimoji="0" lang="en-US" altLang="zh-CN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  <a:cs typeface="+mn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1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、负责公司的会计核算工作；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2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、编制财务报表并申报网上各个平台；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3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、公司纳税申报及税务关系维护；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4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、财务凭证及资料的档案整理；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altLang="zh-CN">
                <a:effectLst/>
              </a:rPr>
              <a:t>5</a:t>
            </a:r>
            <a:r>
              <a:rPr lang="zh-CN" altLang="en-US">
                <a:effectLst/>
              </a:rPr>
              <a:t>、</a:t>
            </a:r>
            <a:r>
              <a:rPr lang="zh-CN" altLang="en-US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sym typeface="+mn-ea"/>
              </a:rPr>
              <a:t>发票的开具，登记及税负平衡；</a:t>
            </a:r>
            <a:endParaRPr kumimoji="0" lang="zh-CN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  <a:sym typeface="+mn-ea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  <a:sym typeface="+mn-ea"/>
              </a:rPr>
              <a:t>6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  <a:sym typeface="+mn-ea"/>
              </a:rPr>
              <a:t>、</a:t>
            </a:r>
            <a:r>
              <a:rPr lang="zh-CN" altLang="zh-CN">
                <a:effectLst/>
              </a:rPr>
              <a:t>高企项目申报的财务数据归集和资料整理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endPara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endParaRPr lang="zh-CN" altLang="zh-CN">
              <a:effectLst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endPara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30" name="直接连接符 2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CxnSpPr>
            <a:stCxn id="28" idx="2"/>
            <a:endCxn id="29" idx="0"/>
          </xdr:cNvCxnSpPr>
        </xdr:nvCxnSpPr>
        <xdr:spPr>
          <a:xfrm>
            <a:off x="5263" y="6120"/>
            <a:ext cx="4" cy="282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直接连接符 30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CxnSpPr/>
        </xdr:nvCxnSpPr>
        <xdr:spPr>
          <a:xfrm>
            <a:off x="5310" y="5200"/>
            <a:ext cx="7" cy="342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sp macro="" textlink="">
        <xdr:nvSpPr>
          <xdr:cNvPr id="32" name="圆角矩形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/>
        </xdr:nvSpPr>
        <xdr:spPr>
          <a:xfrm>
            <a:off x="4209" y="4602"/>
            <a:ext cx="2394" cy="577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总账会计（</a:t>
            </a: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1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人）</a:t>
            </a:r>
            <a:endPara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  <a:cs typeface="+mn-cs"/>
            </a:endParaRPr>
          </a:p>
        </xdr:txBody>
      </xdr:sp>
      <xdr:cxnSp macro="">
        <xdr:nvCxnSpPr>
          <xdr:cNvPr id="33" name="直接连接符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CxnSpPr/>
        </xdr:nvCxnSpPr>
        <xdr:spPr>
          <a:xfrm flipH="1">
            <a:off x="5339" y="4246"/>
            <a:ext cx="7" cy="368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26035</xdr:colOff>
      <xdr:row>9</xdr:row>
      <xdr:rowOff>59055</xdr:rowOff>
    </xdr:from>
    <xdr:to>
      <xdr:col>10</xdr:col>
      <xdr:colOff>139065</xdr:colOff>
      <xdr:row>21</xdr:row>
      <xdr:rowOff>107950</xdr:rowOff>
    </xdr:to>
    <xdr:grpSp>
      <xdr:nvGrpSpPr>
        <xdr:cNvPr id="43" name="组合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pSpPr/>
      </xdr:nvGrpSpPr>
      <xdr:grpSpPr>
        <a:xfrm>
          <a:off x="26035" y="2076944"/>
          <a:ext cx="6533586" cy="2419562"/>
          <a:chOff x="35" y="961"/>
          <a:chExt cx="9716" cy="3357"/>
        </a:xfrm>
      </xdr:grpSpPr>
      <xdr:sp macro="" textlink="">
        <xdr:nvSpPr>
          <xdr:cNvPr id="44" name="圆角矩形 43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/>
        </xdr:nvSpPr>
        <xdr:spPr>
          <a:xfrm>
            <a:off x="6657" y="1889"/>
            <a:ext cx="3094" cy="1375"/>
          </a:xfrm>
          <a:prstGeom prst="round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400" b="1">
                <a:latin typeface="+mn-ea"/>
                <a:ea typeface="+mn-ea"/>
              </a:rPr>
              <a:t>财务经理</a:t>
            </a:r>
          </a:p>
          <a:p>
            <a:pPr algn="ctr"/>
            <a:r>
              <a:rPr lang="zh-CN" altLang="en-US" sz="1050" b="0">
                <a:solidFill>
                  <a:schemeClr val="dk1"/>
                </a:solidFill>
                <a:latin typeface="+mn-ea"/>
                <a:ea typeface="+mn-ea"/>
              </a:rPr>
              <a:t>余丽（</a:t>
            </a:r>
            <a:r>
              <a:rPr lang="en-US" altLang="zh-CN" sz="1050" b="0">
                <a:solidFill>
                  <a:schemeClr val="dk1"/>
                </a:solidFill>
                <a:latin typeface="+mn-ea"/>
                <a:ea typeface="+mn-ea"/>
              </a:rPr>
              <a:t>1</a:t>
            </a:r>
            <a:r>
              <a:rPr lang="zh-CN" altLang="en-US" sz="1050" b="0">
                <a:solidFill>
                  <a:schemeClr val="dk1"/>
                </a:solidFill>
                <a:latin typeface="+mn-ea"/>
                <a:ea typeface="+mn-ea"/>
              </a:rPr>
              <a:t>人）</a:t>
            </a:r>
            <a:endParaRPr lang="en-US" altLang="zh-CN" sz="1050" b="0">
              <a:solidFill>
                <a:schemeClr val="dk1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5" name="圆角矩形 44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/>
        </xdr:nvSpPr>
        <xdr:spPr>
          <a:xfrm>
            <a:off x="35" y="961"/>
            <a:ext cx="4442" cy="3357"/>
          </a:xfrm>
          <a:prstGeom prst="roundRect">
            <a:avLst>
              <a:gd name="adj" fmla="val 9831"/>
            </a:avLst>
          </a:prstGeom>
          <a:ln w="12700">
            <a:solidFill>
              <a:schemeClr val="tx2">
                <a:lumMod val="60000"/>
                <a:lumOff val="40000"/>
              </a:schemeClr>
            </a:solidFill>
          </a:ln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主要职责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：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                                                 </a:t>
            </a:r>
            <a:endParaRPr lang="zh-CN" altLang="zh-CN">
              <a:effectLst/>
            </a:endParaRP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、财务体系建立并及时更新；</a:t>
            </a:r>
            <a:endParaRPr lang="zh-CN" altLang="zh-CN">
              <a:effectLst/>
            </a:endParaRP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、内部工作的协调与财务人员的培训和培养；</a:t>
            </a:r>
            <a:endParaRPr lang="zh-CN" altLang="zh-CN">
              <a:effectLst/>
            </a:endParaRP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、销售、费用、经营分析；</a:t>
            </a: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4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资金计划管理及筹划；</a:t>
            </a: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5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参与合同的审核、绩效政策的制定；</a:t>
            </a: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6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</a:t>
            </a:r>
            <a:r>
              <a:rPr lang="en-US" altLang="zh-CN">
                <a:effectLst/>
              </a:rPr>
              <a:t>外部工作协同与衔接</a:t>
            </a:r>
            <a:r>
              <a:rPr lang="zh-CN" altLang="en-US">
                <a:effectLst/>
              </a:rPr>
              <a:t>。</a:t>
            </a:r>
          </a:p>
          <a:p>
            <a:r>
              <a:rPr lang="en-US" altLang="zh-CN">
                <a:effectLst/>
              </a:rPr>
              <a:t>7 </a:t>
            </a:r>
            <a:r>
              <a:rPr lang="zh-CN" altLang="en-US">
                <a:effectLst/>
              </a:rPr>
              <a:t>、银行及中介融资对接</a:t>
            </a:r>
            <a:r>
              <a:rPr lang="en-US" altLang="zh-CN">
                <a:effectLst/>
              </a:rPr>
              <a:t> </a:t>
            </a:r>
          </a:p>
          <a:p>
            <a:r>
              <a:rPr lang="en-US" altLang="zh-CN">
                <a:effectLst/>
              </a:rPr>
              <a:t>8</a:t>
            </a:r>
            <a:r>
              <a:rPr lang="zh-CN" altLang="en-US">
                <a:effectLst/>
              </a:rPr>
              <a:t>、日常费用，付款、</a:t>
            </a:r>
            <a:r>
              <a:rPr lang="zh-CN" altLang="en-US">
                <a:effectLst/>
                <a:sym typeface="+mn-ea"/>
              </a:rPr>
              <a:t>工资数据复审，核对</a:t>
            </a:r>
            <a:r>
              <a:rPr lang="zh-CN" altLang="en-US">
                <a:effectLst/>
              </a:rPr>
              <a:t>核复核。</a:t>
            </a:r>
          </a:p>
          <a:p>
            <a:endParaRPr lang="zh-CN" altLang="en-US">
              <a:effectLst/>
            </a:endParaRPr>
          </a:p>
          <a:p>
            <a:endParaRPr lang="en-US" altLang="zh-CN">
              <a:effectLst/>
            </a:endParaRPr>
          </a:p>
          <a:p>
            <a:endParaRPr lang="en-US" altLang="zh-CN">
              <a:effectLst/>
            </a:endParaRPr>
          </a:p>
          <a:p>
            <a:endParaRPr lang="en-US" altLang="zh-CN">
              <a:effectLst/>
            </a:endParaRPr>
          </a:p>
          <a:p>
            <a:endParaRPr lang="en-US" altLang="zh-CN">
              <a:effectLst/>
            </a:endParaRPr>
          </a:p>
          <a:p>
            <a:endParaRPr lang="en-US" altLang="zh-CN">
              <a:effectLst/>
            </a:endParaRPr>
          </a:p>
          <a:p>
            <a:endParaRPr lang="zh-CN" altLang="en-US">
              <a:effectLst/>
            </a:endParaRPr>
          </a:p>
          <a:p>
            <a:endParaRPr lang="zh-CN" altLang="en-US">
              <a:effectLst/>
            </a:endParaRPr>
          </a:p>
        </xdr:txBody>
      </xdr:sp>
      <xdr:cxnSp macro="">
        <xdr:nvCxnSpPr>
          <xdr:cNvPr id="46" name="直接连接符 45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CxnSpPr>
            <a:stCxn id="45" idx="3"/>
            <a:endCxn id="44" idx="1"/>
          </xdr:cNvCxnSpPr>
        </xdr:nvCxnSpPr>
        <xdr:spPr>
          <a:xfrm flipV="1">
            <a:off x="4477" y="2576"/>
            <a:ext cx="2180" cy="6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138430</xdr:colOff>
      <xdr:row>15</xdr:row>
      <xdr:rowOff>29210</xdr:rowOff>
    </xdr:from>
    <xdr:to>
      <xdr:col>11</xdr:col>
      <xdr:colOff>500380</xdr:colOff>
      <xdr:row>15</xdr:row>
      <xdr:rowOff>41275</xdr:rowOff>
    </xdr:to>
    <xdr:cxnSp macro="">
      <xdr:nvCxnSpPr>
        <xdr:cNvPr id="47" name="直接连接符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CxnSpPr>
          <a:stCxn id="2" idx="1"/>
          <a:endCxn id="44" idx="3"/>
        </xdr:cNvCxnSpPr>
      </xdr:nvCxnSpPr>
      <xdr:spPr>
        <a:xfrm flipH="1">
          <a:off x="6577965" y="3058160"/>
          <a:ext cx="888365" cy="12065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290830</xdr:colOff>
      <xdr:row>17</xdr:row>
      <xdr:rowOff>133985</xdr:rowOff>
    </xdr:from>
    <xdr:to>
      <xdr:col>8</xdr:col>
      <xdr:colOff>302895</xdr:colOff>
      <xdr:row>20</xdr:row>
      <xdr:rowOff>146685</xdr:rowOff>
    </xdr:to>
    <xdr:cxnSp macro="">
      <xdr:nvCxnSpPr>
        <xdr:cNvPr id="48" name="直接连接符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CxnSpPr>
          <a:stCxn id="44" idx="2"/>
        </xdr:cNvCxnSpPr>
      </xdr:nvCxnSpPr>
      <xdr:spPr>
        <a:xfrm flipH="1">
          <a:off x="5525135" y="3524885"/>
          <a:ext cx="12065" cy="555625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</xdr:row>
      <xdr:rowOff>19051</xdr:rowOff>
    </xdr:from>
    <xdr:to>
      <xdr:col>8</xdr:col>
      <xdr:colOff>615245</xdr:colOff>
      <xdr:row>28</xdr:row>
      <xdr:rowOff>1</xdr:rowOff>
    </xdr:to>
    <xdr:pic>
      <xdr:nvPicPr>
        <xdr:cNvPr id="2" name="Picture 1" descr="visio符号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731" t="16305" r="3593" b="7025"/>
        <a:stretch>
          <a:fillRect/>
        </a:stretch>
      </xdr:blipFill>
      <xdr:spPr>
        <a:xfrm>
          <a:off x="19050" y="381000"/>
          <a:ext cx="5624830" cy="4686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504825</xdr:colOff>
      <xdr:row>0</xdr:row>
      <xdr:rowOff>47625</xdr:rowOff>
    </xdr:from>
    <xdr:to>
      <xdr:col>6</xdr:col>
      <xdr:colOff>295275</xdr:colOff>
      <xdr:row>2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1762125" y="47625"/>
          <a:ext cx="23050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zh-CN" altLang="en-US" sz="1800" b="1"/>
            <a:t>附录</a:t>
          </a:r>
          <a:r>
            <a:rPr lang="en-US" altLang="zh-CN" sz="1800" b="1"/>
            <a:t>---</a:t>
          </a:r>
          <a:r>
            <a:rPr lang="zh-CN" altLang="en-US" sz="1800" b="1"/>
            <a:t>流程图符号说明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opLeftCell="A12" workbookViewId="0">
      <selection activeCell="I31" sqref="I31"/>
    </sheetView>
  </sheetViews>
  <sheetFormatPr baseColWidth="10" defaultColWidth="9" defaultRowHeight="15"/>
  <cols>
    <col min="2" max="2" width="6.33203125" customWidth="1"/>
    <col min="3" max="3" width="6.83203125" customWidth="1"/>
    <col min="4" max="4" width="11" customWidth="1"/>
    <col min="5" max="5" width="4.6640625" customWidth="1"/>
    <col min="6" max="6" width="4.5" customWidth="1"/>
    <col min="7" max="7" width="12.33203125" style="12" customWidth="1"/>
    <col min="8" max="8" width="4.1640625" customWidth="1"/>
    <col min="9" max="9" width="56.5" customWidth="1"/>
    <col min="10" max="10" width="18.83203125" customWidth="1"/>
  </cols>
  <sheetData>
    <row r="1" spans="1:10" ht="36" customHeight="1">
      <c r="A1" s="106" t="s">
        <v>0</v>
      </c>
      <c r="B1" s="106"/>
      <c r="C1" s="106"/>
      <c r="D1" s="106"/>
      <c r="E1" s="106"/>
      <c r="F1" s="106"/>
      <c r="G1" s="106"/>
      <c r="H1" s="106"/>
      <c r="I1" s="106"/>
    </row>
    <row r="2" spans="1:10" ht="20" customHeight="1">
      <c r="A2" s="107" t="s">
        <v>1</v>
      </c>
      <c r="B2" s="107"/>
      <c r="C2" s="107"/>
      <c r="D2" s="107"/>
      <c r="E2" s="107"/>
      <c r="F2" s="107"/>
      <c r="G2" s="107"/>
      <c r="H2" s="107"/>
      <c r="I2" s="107"/>
    </row>
    <row r="3" spans="1:10" ht="20" customHeight="1"/>
    <row r="4" spans="1:10" ht="20" customHeight="1">
      <c r="A4" s="16" t="s">
        <v>2</v>
      </c>
      <c r="D4" s="16" t="s">
        <v>3</v>
      </c>
      <c r="G4" s="13" t="s">
        <v>4</v>
      </c>
      <c r="I4" s="90" t="s">
        <v>5</v>
      </c>
    </row>
    <row r="5" spans="1:10" ht="20" customHeight="1">
      <c r="A5" s="18" t="s">
        <v>6</v>
      </c>
      <c r="B5" s="85"/>
      <c r="C5" s="86"/>
      <c r="D5" s="18" t="s">
        <v>7</v>
      </c>
      <c r="E5" s="85"/>
      <c r="F5" s="86"/>
      <c r="G5" s="13" t="s">
        <v>8</v>
      </c>
      <c r="I5" s="91" t="s">
        <v>9</v>
      </c>
    </row>
    <row r="6" spans="1:10" ht="20" customHeight="1">
      <c r="A6" s="54"/>
      <c r="C6" s="87"/>
      <c r="D6" s="54" t="s">
        <v>10</v>
      </c>
      <c r="F6" s="87"/>
      <c r="I6" s="91" t="s">
        <v>11</v>
      </c>
    </row>
    <row r="7" spans="1:10" ht="20" customHeight="1">
      <c r="A7" s="54"/>
      <c r="C7" s="87"/>
      <c r="D7" s="54"/>
      <c r="F7" s="87"/>
      <c r="I7" s="91" t="s">
        <v>12</v>
      </c>
    </row>
    <row r="8" spans="1:10" ht="20" customHeight="1">
      <c r="A8" s="54"/>
      <c r="C8" s="87"/>
      <c r="D8" s="54"/>
      <c r="F8" s="87"/>
      <c r="I8" s="92" t="s">
        <v>13</v>
      </c>
    </row>
    <row r="9" spans="1:10" ht="20" customHeight="1">
      <c r="C9" s="87"/>
      <c r="F9" s="87"/>
      <c r="I9" s="93"/>
    </row>
    <row r="10" spans="1:10" ht="20" customHeight="1">
      <c r="C10" s="87"/>
      <c r="F10" s="87"/>
      <c r="G10" s="13" t="s">
        <v>14</v>
      </c>
      <c r="I10" s="94" t="s">
        <v>15</v>
      </c>
      <c r="J10" s="93"/>
    </row>
    <row r="11" spans="1:10" ht="20" customHeight="1">
      <c r="C11" s="87"/>
      <c r="F11" s="86"/>
      <c r="G11" s="13" t="s">
        <v>16</v>
      </c>
      <c r="I11" s="95" t="s">
        <v>17</v>
      </c>
      <c r="J11" s="93"/>
    </row>
    <row r="12" spans="1:10" ht="20" customHeight="1">
      <c r="C12" s="87"/>
      <c r="F12" s="87"/>
      <c r="G12" s="12" t="s">
        <v>18</v>
      </c>
      <c r="I12" s="95" t="s">
        <v>19</v>
      </c>
      <c r="J12" s="93"/>
    </row>
    <row r="13" spans="1:10" ht="20" customHeight="1">
      <c r="C13" s="87"/>
      <c r="F13" s="87"/>
      <c r="I13" s="95" t="s">
        <v>20</v>
      </c>
      <c r="J13" s="93"/>
    </row>
    <row r="14" spans="1:10" ht="20" customHeight="1">
      <c r="C14" s="87"/>
      <c r="F14" s="87"/>
      <c r="I14" s="95" t="s">
        <v>21</v>
      </c>
      <c r="J14" s="93"/>
    </row>
    <row r="15" spans="1:10" ht="20" customHeight="1">
      <c r="C15" s="87"/>
      <c r="F15" s="87"/>
      <c r="I15" s="92" t="s">
        <v>22</v>
      </c>
    </row>
    <row r="16" spans="1:10" ht="20" customHeight="1">
      <c r="C16" s="87"/>
      <c r="F16" s="87"/>
      <c r="I16" s="93"/>
    </row>
    <row r="17" spans="3:9" ht="20" customHeight="1">
      <c r="C17" s="87"/>
      <c r="F17" s="87"/>
      <c r="G17" s="13" t="s">
        <v>23</v>
      </c>
      <c r="I17" s="94" t="s">
        <v>24</v>
      </c>
    </row>
    <row r="18" spans="3:9" ht="20" customHeight="1">
      <c r="C18" s="87"/>
      <c r="F18" s="85"/>
      <c r="G18" s="51" t="s">
        <v>25</v>
      </c>
      <c r="I18" s="95" t="s">
        <v>26</v>
      </c>
    </row>
    <row r="19" spans="3:9" ht="20" customHeight="1">
      <c r="C19" s="87"/>
      <c r="G19" s="12" t="s">
        <v>27</v>
      </c>
      <c r="I19" s="95" t="s">
        <v>28</v>
      </c>
    </row>
    <row r="20" spans="3:9" ht="20" customHeight="1">
      <c r="C20" s="87"/>
      <c r="I20" s="95" t="s">
        <v>29</v>
      </c>
    </row>
    <row r="21" spans="3:9" ht="20" customHeight="1">
      <c r="C21" s="87"/>
      <c r="I21" s="92" t="s">
        <v>30</v>
      </c>
    </row>
    <row r="22" spans="3:9" ht="20" customHeight="1">
      <c r="C22" s="87"/>
    </row>
    <row r="23" spans="3:9" ht="20" customHeight="1">
      <c r="C23" s="88"/>
      <c r="D23" s="13" t="s">
        <v>31</v>
      </c>
      <c r="I23" s="96"/>
    </row>
    <row r="24" spans="3:9" ht="20" customHeight="1">
      <c r="C24" s="87"/>
      <c r="D24" s="18" t="s">
        <v>32</v>
      </c>
      <c r="I24" s="96"/>
    </row>
    <row r="25" spans="3:9" ht="20" customHeight="1">
      <c r="C25" s="87"/>
      <c r="D25" s="108"/>
      <c r="E25" s="107"/>
      <c r="I25" s="96"/>
    </row>
    <row r="26" spans="3:9" ht="20" customHeight="1">
      <c r="C26" s="87"/>
      <c r="D26" s="108"/>
      <c r="E26" s="107"/>
      <c r="I26" s="96"/>
    </row>
    <row r="27" spans="3:9" ht="20" customHeight="1">
      <c r="C27" s="87"/>
      <c r="D27" s="85"/>
      <c r="E27" s="85"/>
      <c r="F27" s="87"/>
      <c r="I27" s="96"/>
    </row>
    <row r="28" spans="3:9" ht="20" customHeight="1">
      <c r="C28" s="87"/>
      <c r="F28" s="87"/>
      <c r="I28" s="96"/>
    </row>
    <row r="29" spans="3:9" ht="20" customHeight="1">
      <c r="C29" s="87"/>
      <c r="F29" s="87"/>
      <c r="G29" s="13" t="s">
        <v>33</v>
      </c>
      <c r="I29" s="94" t="s">
        <v>34</v>
      </c>
    </row>
    <row r="30" spans="3:9" ht="20" customHeight="1">
      <c r="C30" s="87"/>
      <c r="F30" s="86"/>
      <c r="G30" s="13" t="s">
        <v>35</v>
      </c>
      <c r="I30" s="95" t="s">
        <v>36</v>
      </c>
    </row>
    <row r="31" spans="3:9" ht="20" customHeight="1">
      <c r="C31" s="87"/>
      <c r="F31" s="87"/>
      <c r="G31" s="12" t="s">
        <v>18</v>
      </c>
      <c r="I31" s="95" t="s">
        <v>37</v>
      </c>
    </row>
    <row r="32" spans="3:9" ht="20" customHeight="1">
      <c r="C32" s="87"/>
      <c r="F32" s="87"/>
      <c r="I32" s="95" t="s">
        <v>38</v>
      </c>
    </row>
    <row r="33" spans="3:9" ht="20" customHeight="1">
      <c r="C33" s="87"/>
      <c r="F33" s="87"/>
      <c r="I33" s="97" t="s">
        <v>39</v>
      </c>
    </row>
    <row r="34" spans="3:9" ht="20" customHeight="1">
      <c r="C34" s="87"/>
      <c r="F34" s="87"/>
      <c r="I34" s="96"/>
    </row>
    <row r="35" spans="3:9" ht="20" customHeight="1">
      <c r="C35" s="87"/>
      <c r="F35" s="87"/>
      <c r="G35" s="13" t="s">
        <v>40</v>
      </c>
      <c r="I35" s="94" t="s">
        <v>41</v>
      </c>
    </row>
    <row r="36" spans="3:9" ht="20" customHeight="1">
      <c r="C36" s="87"/>
      <c r="F36" s="86"/>
      <c r="G36" s="13" t="s">
        <v>42</v>
      </c>
      <c r="I36" s="95" t="s">
        <v>43</v>
      </c>
    </row>
    <row r="37" spans="3:9" ht="20" customHeight="1">
      <c r="C37" s="87"/>
      <c r="F37" s="87"/>
      <c r="G37" s="12" t="s">
        <v>18</v>
      </c>
      <c r="I37" s="95" t="s">
        <v>44</v>
      </c>
    </row>
    <row r="38" spans="3:9" ht="20" customHeight="1">
      <c r="C38" s="87"/>
      <c r="F38" s="87"/>
      <c r="I38" s="95" t="s">
        <v>45</v>
      </c>
    </row>
    <row r="39" spans="3:9" ht="20" customHeight="1">
      <c r="C39" s="87"/>
      <c r="F39" s="87"/>
      <c r="I39" s="95" t="s">
        <v>46</v>
      </c>
    </row>
    <row r="40" spans="3:9" ht="20" customHeight="1">
      <c r="C40" s="87"/>
      <c r="F40" s="87"/>
      <c r="I40" s="98" t="s">
        <v>47</v>
      </c>
    </row>
    <row r="41" spans="3:9" ht="20" customHeight="1">
      <c r="C41" s="87"/>
      <c r="F41" s="87"/>
      <c r="I41" s="96"/>
    </row>
    <row r="42" spans="3:9" ht="20" customHeight="1">
      <c r="C42" s="87"/>
      <c r="F42" s="87"/>
      <c r="G42" s="13" t="s">
        <v>48</v>
      </c>
      <c r="I42" s="94" t="s">
        <v>49</v>
      </c>
    </row>
    <row r="43" spans="3:9" ht="20" customHeight="1">
      <c r="C43" s="87"/>
      <c r="F43" s="85"/>
      <c r="G43" s="13" t="s">
        <v>50</v>
      </c>
      <c r="I43" s="95" t="s">
        <v>51</v>
      </c>
    </row>
    <row r="44" spans="3:9" ht="20" customHeight="1">
      <c r="C44" s="87"/>
      <c r="G44" s="12" t="s">
        <v>18</v>
      </c>
      <c r="I44" s="95" t="s">
        <v>52</v>
      </c>
    </row>
    <row r="45" spans="3:9" ht="20" customHeight="1">
      <c r="C45" s="87"/>
      <c r="I45" s="97" t="s">
        <v>53</v>
      </c>
    </row>
    <row r="46" spans="3:9" ht="20" customHeight="1">
      <c r="C46" s="87"/>
      <c r="I46" s="96"/>
    </row>
    <row r="47" spans="3:9" ht="20" customHeight="1">
      <c r="C47" s="87"/>
    </row>
    <row r="48" spans="3:9" ht="20" customHeight="1">
      <c r="C48" s="88"/>
      <c r="D48" s="16" t="s">
        <v>54</v>
      </c>
      <c r="G48" s="13" t="s">
        <v>55</v>
      </c>
      <c r="I48" s="99" t="s">
        <v>56</v>
      </c>
    </row>
    <row r="49" spans="3:9" ht="20" customHeight="1">
      <c r="C49" s="87"/>
      <c r="D49" s="18" t="s">
        <v>57</v>
      </c>
      <c r="E49" s="85"/>
      <c r="F49" s="86"/>
      <c r="G49" s="13" t="s">
        <v>58</v>
      </c>
      <c r="I49" s="100" t="s">
        <v>59</v>
      </c>
    </row>
    <row r="50" spans="3:9" ht="20" customHeight="1">
      <c r="C50" s="87"/>
      <c r="D50" s="54"/>
      <c r="F50" s="87"/>
      <c r="G50" s="12" t="s">
        <v>60</v>
      </c>
      <c r="I50" s="100" t="s">
        <v>61</v>
      </c>
    </row>
    <row r="51" spans="3:9" ht="20" customHeight="1">
      <c r="C51" s="87"/>
      <c r="D51" s="54"/>
      <c r="F51" s="87"/>
      <c r="I51" s="101" t="s">
        <v>62</v>
      </c>
    </row>
    <row r="52" spans="3:9" ht="20" customHeight="1">
      <c r="C52" s="87"/>
      <c r="D52" s="54"/>
      <c r="F52" s="87"/>
    </row>
    <row r="53" spans="3:9" ht="20" customHeight="1">
      <c r="C53" s="87"/>
      <c r="F53" s="87"/>
    </row>
    <row r="54" spans="3:9" ht="20" customHeight="1">
      <c r="C54" s="87"/>
      <c r="F54" s="87"/>
      <c r="G54" s="13" t="s">
        <v>63</v>
      </c>
      <c r="I54" t="s">
        <v>64</v>
      </c>
    </row>
    <row r="55" spans="3:9" ht="20" customHeight="1">
      <c r="C55" s="87"/>
      <c r="F55" s="86"/>
      <c r="G55" s="13"/>
      <c r="I55" t="s">
        <v>65</v>
      </c>
    </row>
    <row r="56" spans="3:9" ht="20" customHeight="1">
      <c r="C56" s="87"/>
      <c r="F56" s="87"/>
      <c r="G56" s="12" t="s">
        <v>66</v>
      </c>
      <c r="I56" t="s">
        <v>67</v>
      </c>
    </row>
    <row r="57" spans="3:9" ht="20" customHeight="1">
      <c r="C57" s="87"/>
      <c r="F57" s="87"/>
    </row>
    <row r="58" spans="3:9" ht="20" customHeight="1">
      <c r="C58" s="87"/>
      <c r="F58" s="87"/>
      <c r="G58" s="13" t="s">
        <v>68</v>
      </c>
    </row>
    <row r="59" spans="3:9" ht="20" customHeight="1">
      <c r="C59" s="87"/>
      <c r="F59" s="86"/>
      <c r="G59" s="89"/>
    </row>
    <row r="60" spans="3:9" ht="20" customHeight="1">
      <c r="C60" s="87"/>
      <c r="F60" s="87"/>
    </row>
    <row r="61" spans="3:9" ht="20" customHeight="1">
      <c r="C61" s="87"/>
      <c r="F61" s="87"/>
    </row>
    <row r="62" spans="3:9" ht="20" customHeight="1">
      <c r="C62" s="87"/>
      <c r="F62" s="88"/>
      <c r="G62" s="13" t="s">
        <v>69</v>
      </c>
      <c r="I62" s="90" t="s">
        <v>70</v>
      </c>
    </row>
    <row r="63" spans="3:9" ht="20" customHeight="1">
      <c r="C63" s="87"/>
      <c r="F63" s="87"/>
      <c r="G63" s="13" t="s">
        <v>71</v>
      </c>
      <c r="I63" s="92" t="s">
        <v>72</v>
      </c>
    </row>
    <row r="64" spans="3:9" ht="20" customHeight="1">
      <c r="C64" s="87"/>
      <c r="F64" s="87"/>
      <c r="G64" s="12" t="s">
        <v>18</v>
      </c>
      <c r="I64" s="93"/>
    </row>
    <row r="65" spans="3:9" ht="20" customHeight="1">
      <c r="C65" s="87"/>
      <c r="F65" s="87"/>
      <c r="I65" s="93"/>
    </row>
    <row r="66" spans="3:9" ht="20" customHeight="1">
      <c r="C66" s="87"/>
      <c r="F66" s="88"/>
      <c r="G66" s="13" t="s">
        <v>73</v>
      </c>
      <c r="I66" s="103" t="s">
        <v>74</v>
      </c>
    </row>
    <row r="67" spans="3:9" ht="20" customHeight="1">
      <c r="C67" s="87"/>
      <c r="G67" s="13" t="s">
        <v>18</v>
      </c>
      <c r="I67" s="104" t="s">
        <v>75</v>
      </c>
    </row>
    <row r="68" spans="3:9" ht="20" customHeight="1">
      <c r="C68" s="87"/>
      <c r="I68" s="93"/>
    </row>
    <row r="69" spans="3:9" ht="20" customHeight="1">
      <c r="C69" s="88"/>
      <c r="D69" s="16" t="s">
        <v>76</v>
      </c>
      <c r="E69" s="102"/>
      <c r="G69" s="13" t="s">
        <v>77</v>
      </c>
      <c r="I69" s="99" t="s">
        <v>78</v>
      </c>
    </row>
    <row r="70" spans="3:9" ht="20" customHeight="1">
      <c r="D70" s="18" t="s">
        <v>79</v>
      </c>
      <c r="F70" s="85"/>
      <c r="G70" s="13"/>
      <c r="I70" s="100" t="s">
        <v>80</v>
      </c>
    </row>
    <row r="71" spans="3:9" ht="20" customHeight="1">
      <c r="D71" s="54"/>
      <c r="G71" s="12" t="s">
        <v>18</v>
      </c>
      <c r="I71" s="101" t="s">
        <v>81</v>
      </c>
    </row>
    <row r="72" spans="3:9" ht="20" customHeight="1">
      <c r="D72" s="54"/>
      <c r="I72" s="93"/>
    </row>
    <row r="73" spans="3:9" ht="20" customHeight="1">
      <c r="I73" s="93"/>
    </row>
    <row r="74" spans="3:9" ht="20" customHeight="1">
      <c r="I74" s="105"/>
    </row>
    <row r="75" spans="3:9" ht="20" customHeight="1">
      <c r="G75" s="54"/>
      <c r="I75" s="105"/>
    </row>
    <row r="76" spans="3:9" ht="20" customHeight="1">
      <c r="G76" s="54"/>
      <c r="I76" s="105"/>
    </row>
    <row r="77" spans="3:9" ht="20" customHeight="1">
      <c r="G77" s="54"/>
      <c r="I77" s="105"/>
    </row>
    <row r="78" spans="3:9" ht="20" customHeight="1">
      <c r="I78" s="105"/>
    </row>
  </sheetData>
  <mergeCells count="3">
    <mergeCell ref="A1:I1"/>
    <mergeCell ref="A2:I2"/>
    <mergeCell ref="D25:E26"/>
  </mergeCells>
  <conditionalFormatting sqref="A5:A8">
    <cfRule type="duplicateValues" dxfId="7" priority="99"/>
  </conditionalFormatting>
  <conditionalFormatting sqref="D5:D8">
    <cfRule type="duplicateValues" dxfId="6" priority="83"/>
  </conditionalFormatting>
  <conditionalFormatting sqref="D24">
    <cfRule type="duplicateValues" dxfId="5" priority="33"/>
  </conditionalFormatting>
  <conditionalFormatting sqref="D49:D52">
    <cfRule type="duplicateValues" dxfId="4" priority="65"/>
  </conditionalFormatting>
  <conditionalFormatting sqref="D70:D72">
    <cfRule type="duplicateValues" dxfId="3" priority="49"/>
  </conditionalFormatting>
  <conditionalFormatting sqref="G18">
    <cfRule type="duplicateValues" dxfId="2" priority="17"/>
  </conditionalFormatting>
  <conditionalFormatting sqref="G75:G77">
    <cfRule type="duplicateValues" dxfId="1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4"/>
  <sheetViews>
    <sheetView zoomScale="90" zoomScaleNormal="90" workbookViewId="0">
      <selection activeCell="R28" sqref="R28"/>
    </sheetView>
  </sheetViews>
  <sheetFormatPr baseColWidth="10" defaultColWidth="8.1640625" defaultRowHeight="15"/>
  <cols>
    <col min="1" max="5" width="8.83203125" style="68" customWidth="1"/>
    <col min="6" max="6" width="6.33203125" style="68" customWidth="1"/>
    <col min="7" max="9" width="8.83203125" style="68" customWidth="1"/>
    <col min="10" max="12" width="6.83203125" style="68" customWidth="1"/>
    <col min="13" max="14" width="8.83203125" style="68" customWidth="1"/>
    <col min="15" max="15" width="7.83203125" style="68" customWidth="1"/>
    <col min="16" max="16" width="8.83203125" style="68" customWidth="1"/>
    <col min="17" max="16384" width="8.1640625" style="68"/>
  </cols>
  <sheetData>
    <row r="1" spans="1:16" ht="16">
      <c r="A1" s="69"/>
      <c r="B1" s="69"/>
      <c r="C1" s="69"/>
      <c r="D1" s="69"/>
      <c r="E1" s="69"/>
      <c r="F1" s="70"/>
      <c r="G1" s="71"/>
      <c r="H1" s="71"/>
      <c r="I1" s="71"/>
      <c r="J1" s="71"/>
      <c r="K1" s="71"/>
      <c r="L1" s="71"/>
      <c r="M1" s="71"/>
      <c r="N1" s="71"/>
      <c r="O1" s="70" t="s">
        <v>82</v>
      </c>
    </row>
    <row r="2" spans="1:16" ht="16">
      <c r="A2" s="69"/>
      <c r="B2" s="69"/>
      <c r="C2" s="69"/>
      <c r="D2" s="69"/>
      <c r="E2" s="69"/>
      <c r="F2" s="70"/>
      <c r="G2" s="71"/>
      <c r="H2" s="71"/>
      <c r="I2" s="71"/>
      <c r="J2" s="71"/>
      <c r="K2" s="71"/>
      <c r="L2" s="71"/>
      <c r="M2" s="71"/>
      <c r="N2" s="71"/>
      <c r="O2" s="70" t="s">
        <v>83</v>
      </c>
      <c r="P2" s="78">
        <v>2025</v>
      </c>
    </row>
    <row r="3" spans="1:16" ht="24">
      <c r="A3" s="109" t="s">
        <v>84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79" t="s">
        <v>85</v>
      </c>
    </row>
    <row r="4" spans="1:16" ht="17">
      <c r="A4" s="111" t="s">
        <v>86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80" t="s">
        <v>87</v>
      </c>
    </row>
    <row r="5" spans="1:16" ht="16">
      <c r="A5" s="72"/>
      <c r="M5" s="81" t="s">
        <v>88</v>
      </c>
      <c r="O5" s="81" t="s">
        <v>89</v>
      </c>
      <c r="P5" s="82"/>
    </row>
    <row r="6" spans="1:16" ht="24">
      <c r="A6" s="73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N6" s="71"/>
      <c r="P6" s="83"/>
    </row>
    <row r="7" spans="1:16">
      <c r="A7" s="72"/>
      <c r="P7" s="82"/>
    </row>
    <row r="8" spans="1:16">
      <c r="A8" s="75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82"/>
    </row>
    <row r="9" spans="1:16">
      <c r="A9" s="75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82"/>
    </row>
    <row r="10" spans="1:16">
      <c r="A10" s="72"/>
      <c r="P10" s="82"/>
    </row>
    <row r="11" spans="1:16">
      <c r="A11" s="72"/>
      <c r="P11" s="82"/>
    </row>
    <row r="12" spans="1:16">
      <c r="A12" s="72"/>
      <c r="P12" s="82"/>
    </row>
    <row r="13" spans="1:16">
      <c r="A13" s="72"/>
      <c r="P13" s="82"/>
    </row>
    <row r="14" spans="1:16">
      <c r="A14" s="72"/>
      <c r="P14" s="82"/>
    </row>
    <row r="15" spans="1:16">
      <c r="A15" s="72"/>
      <c r="P15" s="82"/>
    </row>
    <row r="16" spans="1:16">
      <c r="A16" s="72"/>
      <c r="P16" s="82"/>
    </row>
    <row r="17" spans="1:16">
      <c r="A17" s="72"/>
      <c r="P17" s="82"/>
    </row>
    <row r="18" spans="1:16">
      <c r="A18" s="72"/>
      <c r="P18" s="82"/>
    </row>
    <row r="19" spans="1:16">
      <c r="A19" s="72"/>
      <c r="P19" s="82"/>
    </row>
    <row r="20" spans="1:16">
      <c r="A20" s="72"/>
      <c r="P20" s="82"/>
    </row>
    <row r="21" spans="1:16">
      <c r="A21" s="72"/>
      <c r="P21" s="82"/>
    </row>
    <row r="22" spans="1:16">
      <c r="A22" s="72"/>
      <c r="P22" s="82"/>
    </row>
    <row r="23" spans="1:16">
      <c r="A23" s="72"/>
      <c r="P23" s="82"/>
    </row>
    <row r="24" spans="1:16">
      <c r="A24" s="72"/>
      <c r="P24" s="82"/>
    </row>
    <row r="25" spans="1:16">
      <c r="A25" s="72"/>
      <c r="P25" s="82"/>
    </row>
    <row r="26" spans="1:16">
      <c r="A26" s="72"/>
      <c r="P26" s="82"/>
    </row>
    <row r="27" spans="1:16">
      <c r="A27" s="72"/>
      <c r="P27" s="82"/>
    </row>
    <row r="28" spans="1:16">
      <c r="A28" s="72"/>
      <c r="P28" s="82"/>
    </row>
    <row r="29" spans="1:16">
      <c r="A29" s="72"/>
      <c r="P29" s="82"/>
    </row>
    <row r="30" spans="1:16">
      <c r="A30" s="72"/>
      <c r="P30" s="82"/>
    </row>
    <row r="31" spans="1:16">
      <c r="A31" s="72"/>
      <c r="P31" s="82"/>
    </row>
    <row r="32" spans="1:16">
      <c r="A32" s="72"/>
      <c r="P32" s="82"/>
    </row>
    <row r="33" spans="1:16">
      <c r="A33" s="72"/>
      <c r="P33" s="82"/>
    </row>
    <row r="34" spans="1:16">
      <c r="A34" s="72"/>
      <c r="P34" s="82"/>
    </row>
    <row r="35" spans="1:16">
      <c r="A35" s="72"/>
      <c r="P35" s="82"/>
    </row>
    <row r="36" spans="1:16">
      <c r="A36" s="72"/>
      <c r="P36" s="82"/>
    </row>
    <row r="37" spans="1:16">
      <c r="A37" s="72"/>
      <c r="P37" s="82"/>
    </row>
    <row r="38" spans="1:16">
      <c r="A38" s="72"/>
      <c r="P38" s="82"/>
    </row>
    <row r="39" spans="1:16">
      <c r="A39" s="72"/>
      <c r="P39" s="82"/>
    </row>
    <row r="40" spans="1:16">
      <c r="A40" s="72"/>
      <c r="P40" s="82"/>
    </row>
    <row r="41" spans="1:16">
      <c r="A41" s="72"/>
      <c r="P41" s="82"/>
    </row>
    <row r="42" spans="1:16">
      <c r="A42" s="72"/>
      <c r="P42" s="82"/>
    </row>
    <row r="43" spans="1:16">
      <c r="A43" s="72"/>
      <c r="P43" s="82"/>
    </row>
    <row r="44" spans="1:16">
      <c r="A44" s="76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84"/>
    </row>
  </sheetData>
  <mergeCells count="2">
    <mergeCell ref="A3:O3"/>
    <mergeCell ref="A4:O4"/>
  </mergeCells>
  <pageMargins left="0.7" right="0.7" top="0.75" bottom="0.7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topLeftCell="A3" zoomScale="142" workbookViewId="0">
      <selection activeCell="G10" sqref="G10"/>
    </sheetView>
  </sheetViews>
  <sheetFormatPr baseColWidth="10" defaultColWidth="8.6640625" defaultRowHeight="15"/>
  <cols>
    <col min="1" max="1" width="6.83203125" style="57" customWidth="1"/>
    <col min="2" max="2" width="29.33203125" style="57" customWidth="1"/>
    <col min="3" max="3" width="6.83203125" style="57" hidden="1" customWidth="1"/>
    <col min="4" max="4" width="9.83203125" style="57" customWidth="1"/>
    <col min="5" max="5" width="13.83203125" style="57" customWidth="1"/>
    <col min="6" max="6" width="13" style="57" customWidth="1"/>
    <col min="7" max="7" width="11" style="57" customWidth="1"/>
    <col min="8" max="16384" width="8.6640625" style="57"/>
  </cols>
  <sheetData>
    <row r="1" spans="1:7" s="31" customFormat="1">
      <c r="G1" s="37"/>
    </row>
    <row r="2" spans="1:7" s="31" customFormat="1" ht="15" customHeight="1">
      <c r="A2" s="37" t="s">
        <v>90</v>
      </c>
      <c r="G2" s="37" t="s">
        <v>91</v>
      </c>
    </row>
    <row r="3" spans="1:7" s="32" customFormat="1" ht="24">
      <c r="A3" s="113" t="s">
        <v>92</v>
      </c>
      <c r="B3" s="114"/>
      <c r="C3" s="114"/>
      <c r="D3" s="114"/>
      <c r="E3" s="114"/>
      <c r="F3" s="114"/>
      <c r="G3" s="39" t="s">
        <v>93</v>
      </c>
    </row>
    <row r="4" spans="1:7" s="33" customFormat="1" ht="21">
      <c r="A4" s="115" t="s">
        <v>94</v>
      </c>
      <c r="B4" s="116"/>
      <c r="C4" s="116"/>
      <c r="D4" s="116"/>
      <c r="E4" s="116"/>
      <c r="F4" s="116"/>
      <c r="G4" s="58" t="s">
        <v>95</v>
      </c>
    </row>
    <row r="5" spans="1:7" s="32" customFormat="1" ht="20" customHeight="1">
      <c r="A5" s="121" t="s">
        <v>96</v>
      </c>
      <c r="B5" s="117" t="s">
        <v>31</v>
      </c>
      <c r="C5" s="117"/>
      <c r="D5" s="117"/>
      <c r="E5" s="50" t="s">
        <v>97</v>
      </c>
      <c r="F5" s="117" t="s">
        <v>98</v>
      </c>
      <c r="G5" s="118"/>
    </row>
    <row r="6" spans="1:7" s="32" customFormat="1" ht="20" customHeight="1">
      <c r="A6" s="121"/>
      <c r="B6" s="117"/>
      <c r="C6" s="117"/>
      <c r="D6" s="117"/>
      <c r="E6" s="50" t="s">
        <v>99</v>
      </c>
      <c r="F6" s="117"/>
      <c r="G6" s="118"/>
    </row>
    <row r="7" spans="1:7" s="54" customFormat="1" ht="20" customHeight="1">
      <c r="A7" s="59" t="s">
        <v>100</v>
      </c>
      <c r="B7" s="60" t="s">
        <v>101</v>
      </c>
      <c r="C7" s="60" t="s">
        <v>102</v>
      </c>
      <c r="D7" s="60" t="s">
        <v>103</v>
      </c>
      <c r="E7" s="60" t="s">
        <v>104</v>
      </c>
      <c r="F7" s="60" t="s">
        <v>105</v>
      </c>
      <c r="G7" s="61" t="s">
        <v>106</v>
      </c>
    </row>
    <row r="8" spans="1:7" s="55" customFormat="1" ht="20" customHeight="1">
      <c r="A8" s="62">
        <v>1</v>
      </c>
      <c r="B8" s="63" t="s">
        <v>107</v>
      </c>
      <c r="C8" s="63">
        <v>1</v>
      </c>
      <c r="D8" s="63">
        <v>1</v>
      </c>
      <c r="E8" s="63" t="s">
        <v>32</v>
      </c>
      <c r="F8" s="63"/>
      <c r="G8" s="64"/>
    </row>
    <row r="9" spans="1:7" s="55" customFormat="1" ht="20" customHeight="1">
      <c r="A9" s="62">
        <v>2</v>
      </c>
      <c r="B9" s="63" t="s">
        <v>33</v>
      </c>
      <c r="C9" s="63">
        <v>1</v>
      </c>
      <c r="D9" s="63">
        <v>1</v>
      </c>
      <c r="E9" s="63" t="s">
        <v>35</v>
      </c>
      <c r="F9" s="63"/>
      <c r="G9" s="64"/>
    </row>
    <row r="10" spans="1:7" s="55" customFormat="1" ht="20" customHeight="1">
      <c r="A10" s="62">
        <v>3</v>
      </c>
      <c r="B10" s="65" t="s">
        <v>40</v>
      </c>
      <c r="C10" s="63">
        <v>1</v>
      </c>
      <c r="D10" s="63">
        <v>1</v>
      </c>
      <c r="E10" s="65" t="s">
        <v>42</v>
      </c>
      <c r="F10" s="63"/>
      <c r="G10" s="64"/>
    </row>
    <row r="11" spans="1:7" s="55" customFormat="1" ht="20" customHeight="1">
      <c r="A11" s="62">
        <v>4</v>
      </c>
      <c r="B11" s="63" t="s">
        <v>48</v>
      </c>
      <c r="C11" s="63">
        <v>2</v>
      </c>
      <c r="D11" s="63">
        <v>1</v>
      </c>
      <c r="E11" s="63" t="s">
        <v>50</v>
      </c>
      <c r="F11" s="63"/>
      <c r="G11" s="64"/>
    </row>
    <row r="12" spans="1:7" s="55" customFormat="1" ht="20" customHeight="1">
      <c r="A12" s="62">
        <v>5</v>
      </c>
      <c r="F12" s="63"/>
      <c r="G12" s="64"/>
    </row>
    <row r="13" spans="1:7" s="55" customFormat="1" ht="20" customHeight="1">
      <c r="A13" s="62">
        <v>6</v>
      </c>
      <c r="B13" s="65"/>
      <c r="C13" s="63"/>
      <c r="D13" s="63"/>
      <c r="E13" s="65"/>
      <c r="F13" s="63"/>
      <c r="G13" s="64"/>
    </row>
    <row r="14" spans="1:7" s="55" customFormat="1" ht="20" customHeight="1">
      <c r="A14" s="62"/>
      <c r="B14" s="65"/>
      <c r="C14" s="63"/>
      <c r="D14" s="63"/>
      <c r="E14" s="65"/>
      <c r="F14" s="63"/>
      <c r="G14" s="64"/>
    </row>
    <row r="15" spans="1:7" s="55" customFormat="1" ht="20" customHeight="1">
      <c r="A15" s="62"/>
      <c r="B15" s="63"/>
      <c r="C15" s="63"/>
      <c r="D15" s="63"/>
      <c r="E15" s="63"/>
      <c r="F15" s="63"/>
      <c r="G15" s="64"/>
    </row>
    <row r="16" spans="1:7" s="55" customFormat="1" ht="20" customHeight="1">
      <c r="A16" s="62"/>
      <c r="B16" s="63"/>
      <c r="C16" s="63"/>
      <c r="D16" s="63"/>
      <c r="E16" s="63"/>
      <c r="F16" s="63"/>
      <c r="G16" s="64"/>
    </row>
    <row r="17" spans="1:7" s="55" customFormat="1" ht="20" customHeight="1">
      <c r="A17" s="62"/>
      <c r="B17" s="63"/>
      <c r="C17" s="63"/>
      <c r="D17" s="63"/>
      <c r="E17" s="63"/>
      <c r="F17" s="63"/>
      <c r="G17" s="64"/>
    </row>
    <row r="18" spans="1:7" s="55" customFormat="1" ht="20" customHeight="1">
      <c r="A18" s="62"/>
      <c r="B18" s="63"/>
      <c r="C18" s="63"/>
      <c r="D18" s="63"/>
      <c r="E18" s="63"/>
      <c r="F18" s="63"/>
      <c r="G18" s="64"/>
    </row>
    <row r="19" spans="1:7" s="55" customFormat="1" ht="20" customHeight="1">
      <c r="A19" s="62"/>
      <c r="B19" s="63"/>
      <c r="C19" s="63"/>
      <c r="D19" s="63"/>
      <c r="E19" s="63"/>
      <c r="F19" s="63"/>
      <c r="G19" s="64"/>
    </row>
    <row r="20" spans="1:7" s="55" customFormat="1" ht="20" customHeight="1">
      <c r="A20" s="62"/>
      <c r="B20" s="63"/>
      <c r="C20" s="63"/>
      <c r="D20" s="63"/>
      <c r="E20" s="63"/>
      <c r="F20" s="63"/>
      <c r="G20" s="64"/>
    </row>
    <row r="21" spans="1:7" s="56" customFormat="1" ht="20" customHeight="1">
      <c r="A21" s="119" t="s">
        <v>108</v>
      </c>
      <c r="B21" s="120"/>
      <c r="C21" s="66">
        <f>SUM(C8:C19)</f>
        <v>5</v>
      </c>
      <c r="D21" s="66">
        <f>SUM(D8:D19)</f>
        <v>4</v>
      </c>
      <c r="E21" s="66"/>
      <c r="F21" s="66"/>
      <c r="G21" s="67"/>
    </row>
    <row r="22" spans="1:7" s="56" customFormat="1" ht="20" customHeight="1">
      <c r="A22" s="56" t="s">
        <v>109</v>
      </c>
    </row>
    <row r="23" spans="1:7" customFormat="1"/>
  </sheetData>
  <mergeCells count="7">
    <mergeCell ref="A3:F3"/>
    <mergeCell ref="A4:F4"/>
    <mergeCell ref="F5:G5"/>
    <mergeCell ref="F6:G6"/>
    <mergeCell ref="A21:B21"/>
    <mergeCell ref="A5:A6"/>
    <mergeCell ref="B5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4"/>
  <sheetViews>
    <sheetView topLeftCell="A12" zoomScale="139" zoomScaleNormal="99" workbookViewId="0">
      <selection activeCell="A71" sqref="A71:E71"/>
    </sheetView>
  </sheetViews>
  <sheetFormatPr baseColWidth="10" defaultColWidth="9" defaultRowHeight="16"/>
  <cols>
    <col min="1" max="1" width="11" style="32" customWidth="1"/>
    <col min="2" max="2" width="7" style="32" customWidth="1"/>
    <col min="3" max="3" width="13.5" style="32" customWidth="1"/>
    <col min="4" max="4" width="28.83203125" style="32" customWidth="1"/>
    <col min="5" max="5" width="28" style="32" customWidth="1"/>
    <col min="6" max="6" width="15" style="32" customWidth="1"/>
    <col min="7" max="16384" width="9" style="32"/>
  </cols>
  <sheetData>
    <row r="1" spans="1:5" s="31" customFormat="1" ht="15" customHeight="1">
      <c r="E1" s="37"/>
    </row>
    <row r="2" spans="1:5" s="31" customFormat="1" ht="15" customHeight="1">
      <c r="A2" s="37" t="s">
        <v>90</v>
      </c>
      <c r="E2" s="38" t="s">
        <v>91</v>
      </c>
    </row>
    <row r="3" spans="1:5" ht="24" customHeight="1">
      <c r="A3" s="122" t="s">
        <v>92</v>
      </c>
      <c r="B3" s="123"/>
      <c r="C3" s="123"/>
      <c r="D3" s="124"/>
      <c r="E3" s="39" t="s">
        <v>110</v>
      </c>
    </row>
    <row r="4" spans="1:5" s="33" customFormat="1" ht="24" customHeight="1">
      <c r="A4" s="125" t="s">
        <v>111</v>
      </c>
      <c r="B4" s="126"/>
      <c r="C4" s="126"/>
      <c r="D4" s="127"/>
      <c r="E4" s="40" t="s">
        <v>112</v>
      </c>
    </row>
    <row r="5" spans="1:5" s="34" customFormat="1" ht="22" customHeight="1">
      <c r="A5" s="128" t="s">
        <v>113</v>
      </c>
      <c r="B5" s="129"/>
      <c r="C5" s="130"/>
      <c r="D5" s="41" t="s">
        <v>114</v>
      </c>
      <c r="E5" s="42" t="s">
        <v>115</v>
      </c>
    </row>
    <row r="6" spans="1:5" s="34" customFormat="1" ht="22" customHeight="1">
      <c r="A6" s="131" t="s">
        <v>116</v>
      </c>
      <c r="B6" s="132"/>
      <c r="C6" s="133"/>
      <c r="D6" s="43" t="s">
        <v>117</v>
      </c>
      <c r="E6" s="44" t="s">
        <v>118</v>
      </c>
    </row>
    <row r="7" spans="1:5" s="34" customFormat="1" ht="22" customHeight="1">
      <c r="A7" s="131" t="s">
        <v>119</v>
      </c>
      <c r="B7" s="132"/>
      <c r="C7" s="133"/>
      <c r="D7" s="45" t="s">
        <v>120</v>
      </c>
      <c r="E7" s="46" t="s">
        <v>121</v>
      </c>
    </row>
    <row r="8" spans="1:5" s="34" customFormat="1" ht="23" customHeight="1">
      <c r="A8" s="121" t="s">
        <v>122</v>
      </c>
      <c r="B8" s="134" t="s">
        <v>123</v>
      </c>
      <c r="C8" s="134"/>
      <c r="D8" s="134"/>
      <c r="E8" s="135"/>
    </row>
    <row r="9" spans="1:5" s="34" customFormat="1" ht="24.5" customHeight="1">
      <c r="A9" s="121"/>
      <c r="B9" s="134" t="s">
        <v>124</v>
      </c>
      <c r="C9" s="134"/>
      <c r="D9" s="134"/>
      <c r="E9" s="135"/>
    </row>
    <row r="10" spans="1:5" s="34" customFormat="1" ht="24" customHeight="1">
      <c r="A10" s="121"/>
      <c r="B10" s="134" t="s">
        <v>125</v>
      </c>
      <c r="C10" s="134"/>
      <c r="D10" s="134"/>
      <c r="E10" s="135"/>
    </row>
    <row r="11" spans="1:5" s="34" customFormat="1" ht="28" customHeight="1">
      <c r="A11" s="121"/>
      <c r="B11" s="134" t="s">
        <v>126</v>
      </c>
      <c r="C11" s="134"/>
      <c r="D11" s="134"/>
      <c r="E11" s="135"/>
    </row>
    <row r="12" spans="1:5" s="34" customFormat="1" ht="28.5" customHeight="1">
      <c r="A12" s="121"/>
      <c r="B12" s="134" t="s">
        <v>127</v>
      </c>
      <c r="C12" s="134"/>
      <c r="D12" s="134"/>
      <c r="E12" s="135"/>
    </row>
    <row r="13" spans="1:5" s="34" customFormat="1" ht="20" customHeight="1">
      <c r="A13" s="158" t="s">
        <v>128</v>
      </c>
      <c r="B13" s="159"/>
      <c r="C13" s="159"/>
      <c r="D13" s="159"/>
      <c r="E13" s="160"/>
    </row>
    <row r="14" spans="1:5" s="34" customFormat="1" ht="21" customHeight="1">
      <c r="A14" s="158"/>
      <c r="B14" s="159"/>
      <c r="C14" s="159"/>
      <c r="D14" s="159"/>
      <c r="E14" s="160"/>
    </row>
    <row r="15" spans="1:5" ht="20" customHeight="1">
      <c r="A15" s="136" t="s">
        <v>129</v>
      </c>
      <c r="B15" s="137"/>
      <c r="C15" s="137"/>
      <c r="D15" s="137"/>
      <c r="E15" s="138"/>
    </row>
    <row r="16" spans="1:5" s="34" customFormat="1" ht="20" customHeight="1">
      <c r="A16" s="136" t="s">
        <v>130</v>
      </c>
      <c r="B16" s="137"/>
      <c r="C16" s="137"/>
      <c r="D16" s="137"/>
      <c r="E16" s="138"/>
    </row>
    <row r="17" spans="1:5" s="34" customFormat="1" ht="32" customHeight="1">
      <c r="A17" s="121" t="s">
        <v>131</v>
      </c>
      <c r="B17" s="137" t="s">
        <v>132</v>
      </c>
      <c r="C17" s="137"/>
      <c r="D17" s="137"/>
      <c r="E17" s="138"/>
    </row>
    <row r="18" spans="1:5" s="34" customFormat="1" ht="22" customHeight="1">
      <c r="A18" s="121"/>
      <c r="B18" s="137" t="s">
        <v>133</v>
      </c>
      <c r="C18" s="137"/>
      <c r="D18" s="137"/>
      <c r="E18" s="138"/>
    </row>
    <row r="19" spans="1:5" s="34" customFormat="1" ht="22" customHeight="1">
      <c r="A19" s="121"/>
      <c r="B19" s="139" t="s">
        <v>134</v>
      </c>
      <c r="C19" s="132"/>
      <c r="D19" s="132"/>
      <c r="E19" s="140"/>
    </row>
    <row r="20" spans="1:5" s="34" customFormat="1" ht="22" customHeight="1">
      <c r="A20" s="121"/>
      <c r="B20" s="137"/>
      <c r="C20" s="137"/>
      <c r="D20" s="137"/>
      <c r="E20" s="138"/>
    </row>
    <row r="21" spans="1:5" s="34" customFormat="1" ht="22" customHeight="1">
      <c r="A21" s="47" t="s">
        <v>135</v>
      </c>
      <c r="B21" s="137" t="s">
        <v>136</v>
      </c>
      <c r="C21" s="137"/>
      <c r="D21" s="137"/>
      <c r="E21" s="138"/>
    </row>
    <row r="22" spans="1:5" s="34" customFormat="1" ht="20" customHeight="1">
      <c r="A22" s="136" t="s">
        <v>137</v>
      </c>
      <c r="B22" s="137"/>
      <c r="C22" s="137"/>
      <c r="D22" s="137"/>
      <c r="E22" s="138"/>
    </row>
    <row r="23" spans="1:5" s="35" customFormat="1" ht="22" customHeight="1">
      <c r="A23" s="155" t="s">
        <v>138</v>
      </c>
      <c r="B23" s="141" t="s">
        <v>139</v>
      </c>
      <c r="C23" s="141"/>
      <c r="D23" s="141"/>
      <c r="E23" s="142"/>
    </row>
    <row r="24" spans="1:5" s="35" customFormat="1" ht="22" customHeight="1">
      <c r="A24" s="156"/>
      <c r="B24" s="143" t="s">
        <v>140</v>
      </c>
      <c r="C24" s="144"/>
      <c r="D24" s="144"/>
      <c r="E24" s="145"/>
    </row>
    <row r="25" spans="1:5" s="35" customFormat="1" ht="22" customHeight="1">
      <c r="A25" s="156"/>
      <c r="B25" s="143" t="s">
        <v>141</v>
      </c>
      <c r="C25" s="144"/>
      <c r="D25" s="144"/>
      <c r="E25" s="145"/>
    </row>
    <row r="26" spans="1:5" s="35" customFormat="1" ht="22" customHeight="1">
      <c r="A26" s="157"/>
      <c r="B26" s="143" t="s">
        <v>142</v>
      </c>
      <c r="C26" s="144"/>
      <c r="D26" s="144"/>
      <c r="E26" s="145"/>
    </row>
    <row r="27" spans="1:5" s="35" customFormat="1" ht="22" customHeight="1">
      <c r="A27" s="48" t="s">
        <v>143</v>
      </c>
      <c r="B27" s="141" t="s">
        <v>144</v>
      </c>
      <c r="C27" s="141"/>
      <c r="D27" s="141"/>
      <c r="E27" s="142"/>
    </row>
    <row r="28" spans="1:5" s="34" customFormat="1" ht="20" customHeight="1">
      <c r="A28" s="136" t="s">
        <v>145</v>
      </c>
      <c r="B28" s="137"/>
      <c r="C28" s="137"/>
      <c r="D28" s="137"/>
      <c r="E28" s="138"/>
    </row>
    <row r="29" spans="1:5" s="35" customFormat="1" ht="22" customHeight="1">
      <c r="A29" s="155" t="s">
        <v>138</v>
      </c>
      <c r="B29" s="141" t="s">
        <v>146</v>
      </c>
      <c r="C29" s="141"/>
      <c r="D29" s="141"/>
      <c r="E29" s="142"/>
    </row>
    <row r="30" spans="1:5" s="35" customFormat="1" ht="22" customHeight="1">
      <c r="A30" s="156"/>
      <c r="B30" s="143" t="s">
        <v>147</v>
      </c>
      <c r="C30" s="144"/>
      <c r="D30" s="144"/>
      <c r="E30" s="145"/>
    </row>
    <row r="31" spans="1:5" s="35" customFormat="1" ht="22" customHeight="1">
      <c r="A31" s="156"/>
      <c r="B31" s="143" t="s">
        <v>148</v>
      </c>
      <c r="C31" s="144"/>
      <c r="D31" s="144"/>
      <c r="E31" s="145"/>
    </row>
    <row r="32" spans="1:5" s="35" customFormat="1" ht="22" customHeight="1">
      <c r="A32" s="157"/>
      <c r="B32" s="143"/>
      <c r="C32" s="144"/>
      <c r="D32" s="144"/>
      <c r="E32" s="145"/>
    </row>
    <row r="33" spans="1:5" s="35" customFormat="1" ht="22" customHeight="1">
      <c r="A33" s="48" t="s">
        <v>143</v>
      </c>
      <c r="B33" s="141" t="s">
        <v>149</v>
      </c>
      <c r="C33" s="141"/>
      <c r="D33" s="141"/>
      <c r="E33" s="142"/>
    </row>
    <row r="34" spans="1:5" s="34" customFormat="1" ht="20" customHeight="1">
      <c r="A34" s="136" t="s">
        <v>150</v>
      </c>
      <c r="B34" s="137"/>
      <c r="C34" s="137"/>
      <c r="D34" s="137"/>
      <c r="E34" s="138"/>
    </row>
    <row r="35" spans="1:5" s="35" customFormat="1" ht="22" customHeight="1">
      <c r="A35" s="155" t="s">
        <v>138</v>
      </c>
      <c r="B35" s="141" t="s">
        <v>151</v>
      </c>
      <c r="C35" s="141"/>
      <c r="D35" s="141"/>
      <c r="E35" s="142"/>
    </row>
    <row r="36" spans="1:5" s="35" customFormat="1" ht="22" customHeight="1">
      <c r="A36" s="156"/>
      <c r="B36" s="143" t="s">
        <v>152</v>
      </c>
      <c r="C36" s="144"/>
      <c r="D36" s="144"/>
      <c r="E36" s="145"/>
    </row>
    <row r="37" spans="1:5" s="35" customFormat="1" ht="22" customHeight="1">
      <c r="A37" s="157"/>
      <c r="B37" s="143" t="s">
        <v>153</v>
      </c>
      <c r="C37" s="144"/>
      <c r="D37" s="144"/>
      <c r="E37" s="145"/>
    </row>
    <row r="38" spans="1:5" s="35" customFormat="1" ht="28.5" customHeight="1">
      <c r="A38" s="48" t="s">
        <v>143</v>
      </c>
      <c r="B38" s="143" t="s">
        <v>154</v>
      </c>
      <c r="C38" s="144"/>
      <c r="D38" s="144"/>
      <c r="E38" s="145"/>
    </row>
    <row r="39" spans="1:5" s="34" customFormat="1" ht="20" customHeight="1">
      <c r="A39" s="131" t="s">
        <v>155</v>
      </c>
      <c r="B39" s="132"/>
      <c r="C39" s="132"/>
      <c r="D39" s="132"/>
      <c r="E39" s="140"/>
    </row>
    <row r="40" spans="1:5" s="35" customFormat="1" ht="22" customHeight="1">
      <c r="A40" s="155" t="s">
        <v>138</v>
      </c>
      <c r="B40" s="141" t="s">
        <v>156</v>
      </c>
      <c r="C40" s="141"/>
      <c r="D40" s="141"/>
      <c r="E40" s="142"/>
    </row>
    <row r="41" spans="1:5" s="35" customFormat="1" ht="22" customHeight="1">
      <c r="A41" s="156"/>
      <c r="B41" s="141" t="s">
        <v>157</v>
      </c>
      <c r="C41" s="141"/>
      <c r="D41" s="141"/>
      <c r="E41" s="142"/>
    </row>
    <row r="42" spans="1:5" s="35" customFormat="1" ht="22" customHeight="1">
      <c r="A42" s="157"/>
      <c r="B42" s="141"/>
      <c r="C42" s="141"/>
      <c r="D42" s="141"/>
      <c r="E42" s="142"/>
    </row>
    <row r="43" spans="1:5" s="35" customFormat="1" ht="22" customHeight="1">
      <c r="A43" s="48" t="s">
        <v>143</v>
      </c>
      <c r="B43" s="141" t="s">
        <v>158</v>
      </c>
      <c r="C43" s="141"/>
      <c r="D43" s="141"/>
      <c r="E43" s="142"/>
    </row>
    <row r="44" spans="1:5" s="35" customFormat="1" ht="28.5" customHeight="1">
      <c r="A44" s="136" t="s">
        <v>159</v>
      </c>
      <c r="B44" s="137"/>
      <c r="C44" s="137"/>
      <c r="D44" s="137"/>
      <c r="E44" s="138"/>
    </row>
    <row r="45" spans="1:5" s="35" customFormat="1" ht="28.5" customHeight="1">
      <c r="A45" s="155" t="s">
        <v>138</v>
      </c>
      <c r="B45" s="141" t="s">
        <v>160</v>
      </c>
      <c r="C45" s="141"/>
      <c r="D45" s="141"/>
      <c r="E45" s="142"/>
    </row>
    <row r="46" spans="1:5" s="35" customFormat="1" ht="28.5" customHeight="1">
      <c r="A46" s="156"/>
      <c r="B46" s="143" t="s">
        <v>161</v>
      </c>
      <c r="C46" s="144"/>
      <c r="D46" s="144"/>
      <c r="E46" s="145"/>
    </row>
    <row r="47" spans="1:5" s="35" customFormat="1" ht="28.5" customHeight="1">
      <c r="A47" s="156"/>
      <c r="B47" s="143" t="s">
        <v>162</v>
      </c>
      <c r="C47" s="144"/>
      <c r="D47" s="144"/>
      <c r="E47" s="145"/>
    </row>
    <row r="48" spans="1:5" s="35" customFormat="1" ht="28.5" customHeight="1">
      <c r="A48" s="157"/>
      <c r="B48" s="143"/>
      <c r="C48" s="144"/>
      <c r="D48" s="144"/>
      <c r="E48" s="145"/>
    </row>
    <row r="49" spans="1:5" s="35" customFormat="1" ht="28.5" customHeight="1">
      <c r="A49" s="48" t="s">
        <v>143</v>
      </c>
      <c r="B49" s="143" t="s">
        <v>163</v>
      </c>
      <c r="C49" s="144"/>
      <c r="D49" s="144"/>
      <c r="E49" s="145"/>
    </row>
    <row r="50" spans="1:5" s="35" customFormat="1" ht="28.5" customHeight="1">
      <c r="A50" s="136" t="s">
        <v>164</v>
      </c>
      <c r="B50" s="137"/>
      <c r="C50" s="137"/>
      <c r="D50" s="137"/>
      <c r="E50" s="138"/>
    </row>
    <row r="51" spans="1:5" s="35" customFormat="1" ht="28.5" customHeight="1">
      <c r="A51" s="155" t="s">
        <v>138</v>
      </c>
      <c r="B51" s="141" t="s">
        <v>160</v>
      </c>
      <c r="C51" s="141"/>
      <c r="D51" s="141"/>
      <c r="E51" s="142"/>
    </row>
    <row r="52" spans="1:5" s="35" customFormat="1" ht="28.5" customHeight="1">
      <c r="A52" s="156"/>
      <c r="B52" s="143" t="s">
        <v>161</v>
      </c>
      <c r="C52" s="144"/>
      <c r="D52" s="144"/>
      <c r="E52" s="145"/>
    </row>
    <row r="53" spans="1:5" s="35" customFormat="1" ht="28.5" customHeight="1">
      <c r="A53" s="156"/>
      <c r="B53" s="143"/>
      <c r="C53" s="144"/>
      <c r="D53" s="144"/>
      <c r="E53" s="145"/>
    </row>
    <row r="54" spans="1:5" s="35" customFormat="1" ht="28.5" customHeight="1">
      <c r="A54" s="157"/>
      <c r="B54" s="143"/>
      <c r="C54" s="144"/>
      <c r="D54" s="144"/>
      <c r="E54" s="145"/>
    </row>
    <row r="55" spans="1:5" s="35" customFormat="1" ht="28.5" customHeight="1">
      <c r="A55" s="48" t="s">
        <v>143</v>
      </c>
      <c r="B55" s="143" t="s">
        <v>165</v>
      </c>
      <c r="C55" s="144"/>
      <c r="D55" s="144"/>
      <c r="E55" s="145"/>
    </row>
    <row r="56" spans="1:5" s="35" customFormat="1" ht="28.5" customHeight="1">
      <c r="A56" s="136" t="s">
        <v>166</v>
      </c>
      <c r="B56" s="137"/>
      <c r="C56" s="137"/>
      <c r="D56" s="137"/>
      <c r="E56" s="138"/>
    </row>
    <row r="57" spans="1:5" s="35" customFormat="1" ht="28.5" customHeight="1">
      <c r="A57" s="155" t="s">
        <v>138</v>
      </c>
      <c r="B57" s="141" t="s">
        <v>167</v>
      </c>
      <c r="C57" s="141"/>
      <c r="D57" s="141"/>
      <c r="E57" s="142"/>
    </row>
    <row r="58" spans="1:5" s="35" customFormat="1" ht="28.5" customHeight="1">
      <c r="A58" s="156"/>
      <c r="B58" s="143" t="s">
        <v>168</v>
      </c>
      <c r="C58" s="144"/>
      <c r="D58" s="144"/>
      <c r="E58" s="145"/>
    </row>
    <row r="59" spans="1:5" s="35" customFormat="1" ht="28.5" customHeight="1">
      <c r="A59" s="156"/>
      <c r="B59" s="143" t="s">
        <v>169</v>
      </c>
      <c r="C59" s="144"/>
      <c r="D59" s="144"/>
      <c r="E59" s="145"/>
    </row>
    <row r="60" spans="1:5" s="35" customFormat="1" ht="28.5" customHeight="1">
      <c r="A60" s="157"/>
      <c r="B60" s="143" t="s">
        <v>170</v>
      </c>
      <c r="C60" s="144"/>
      <c r="D60" s="144"/>
      <c r="E60" s="145"/>
    </row>
    <row r="61" spans="1:5" s="35" customFormat="1" ht="28.5" customHeight="1">
      <c r="A61" s="48" t="s">
        <v>143</v>
      </c>
      <c r="B61" s="143" t="s">
        <v>171</v>
      </c>
      <c r="C61" s="144"/>
      <c r="D61" s="144"/>
      <c r="E61" s="145"/>
    </row>
    <row r="62" spans="1:5" ht="20" customHeight="1">
      <c r="A62" s="136" t="s">
        <v>172</v>
      </c>
      <c r="B62" s="137"/>
      <c r="C62" s="137"/>
      <c r="D62" s="137"/>
      <c r="E62" s="138"/>
    </row>
    <row r="63" spans="1:5" s="34" customFormat="1" ht="19.5" customHeight="1">
      <c r="A63" s="121" t="s">
        <v>173</v>
      </c>
      <c r="B63" s="49" t="s">
        <v>174</v>
      </c>
      <c r="C63" s="139" t="s">
        <v>175</v>
      </c>
      <c r="D63" s="132"/>
      <c r="E63" s="140"/>
    </row>
    <row r="64" spans="1:5" s="34" customFormat="1" ht="19.5" customHeight="1">
      <c r="A64" s="121"/>
      <c r="B64" s="50" t="s">
        <v>176</v>
      </c>
      <c r="C64" s="139" t="s">
        <v>177</v>
      </c>
      <c r="D64" s="132"/>
      <c r="E64" s="140"/>
    </row>
    <row r="65" spans="1:5" s="34" customFormat="1" ht="19.5" customHeight="1">
      <c r="A65" s="121"/>
      <c r="B65" s="51" t="s">
        <v>178</v>
      </c>
      <c r="C65" s="139" t="s">
        <v>179</v>
      </c>
      <c r="D65" s="132"/>
      <c r="E65" s="140"/>
    </row>
    <row r="66" spans="1:5" s="34" customFormat="1" ht="25" customHeight="1">
      <c r="A66" s="47" t="s">
        <v>180</v>
      </c>
      <c r="B66" s="137" t="s">
        <v>181</v>
      </c>
      <c r="C66" s="137"/>
      <c r="D66" s="137"/>
      <c r="E66" s="138"/>
    </row>
    <row r="67" spans="1:5" s="36" customFormat="1" ht="20" customHeight="1">
      <c r="A67" s="136" t="s">
        <v>182</v>
      </c>
      <c r="B67" s="137"/>
      <c r="C67" s="137"/>
      <c r="D67" s="137"/>
      <c r="E67" s="138"/>
    </row>
    <row r="68" spans="1:5" s="34" customFormat="1" ht="20" customHeight="1">
      <c r="A68" s="52" t="s">
        <v>183</v>
      </c>
      <c r="B68" s="146" t="s">
        <v>184</v>
      </c>
      <c r="C68" s="146"/>
      <c r="D68" s="146"/>
      <c r="E68" s="147"/>
    </row>
    <row r="69" spans="1:5" s="34" customFormat="1" ht="20" customHeight="1">
      <c r="A69" s="52" t="s">
        <v>185</v>
      </c>
      <c r="B69" s="146" t="s">
        <v>186</v>
      </c>
      <c r="C69" s="146"/>
      <c r="D69" s="146"/>
      <c r="E69" s="147"/>
    </row>
    <row r="70" spans="1:5" s="36" customFormat="1" ht="20" customHeight="1">
      <c r="A70" s="136" t="s">
        <v>187</v>
      </c>
      <c r="B70" s="137"/>
      <c r="C70" s="137"/>
      <c r="D70" s="137"/>
      <c r="E70" s="138"/>
    </row>
    <row r="71" spans="1:5" s="36" customFormat="1" ht="59" customHeight="1">
      <c r="A71" s="131" t="s">
        <v>188</v>
      </c>
      <c r="B71" s="132"/>
      <c r="C71" s="132"/>
      <c r="D71" s="132"/>
      <c r="E71" s="140"/>
    </row>
    <row r="72" spans="1:5" s="34" customFormat="1" ht="20" customHeight="1">
      <c r="A72" s="148"/>
      <c r="B72" s="149"/>
      <c r="C72" s="149"/>
      <c r="D72" s="149"/>
      <c r="E72" s="150"/>
    </row>
    <row r="73" spans="1:5" s="34" customFormat="1" ht="20" customHeight="1">
      <c r="A73" s="151" t="s">
        <v>189</v>
      </c>
      <c r="B73" s="146"/>
      <c r="C73" s="146"/>
      <c r="D73" s="146"/>
      <c r="E73" s="147"/>
    </row>
    <row r="74" spans="1:5" ht="49" customHeight="1">
      <c r="A74" s="152"/>
      <c r="B74" s="153"/>
      <c r="C74" s="153"/>
      <c r="D74" s="153"/>
      <c r="E74" s="154"/>
    </row>
  </sheetData>
  <mergeCells count="81">
    <mergeCell ref="A45:A48"/>
    <mergeCell ref="A51:A54"/>
    <mergeCell ref="A57:A60"/>
    <mergeCell ref="A63:A65"/>
    <mergeCell ref="A13:E14"/>
    <mergeCell ref="A8:A12"/>
    <mergeCell ref="A17:A20"/>
    <mergeCell ref="A23:A26"/>
    <mergeCell ref="A29:A32"/>
    <mergeCell ref="A35:A37"/>
    <mergeCell ref="A70:E70"/>
    <mergeCell ref="A71:E71"/>
    <mergeCell ref="A72:E72"/>
    <mergeCell ref="A73:E73"/>
    <mergeCell ref="A74:E74"/>
    <mergeCell ref="C65:E65"/>
    <mergeCell ref="B66:E66"/>
    <mergeCell ref="A67:E67"/>
    <mergeCell ref="B68:E68"/>
    <mergeCell ref="B69:E69"/>
    <mergeCell ref="B60:E60"/>
    <mergeCell ref="B61:E61"/>
    <mergeCell ref="A62:E62"/>
    <mergeCell ref="C63:E63"/>
    <mergeCell ref="C64:E64"/>
    <mergeCell ref="B55:E55"/>
    <mergeCell ref="A56:E56"/>
    <mergeCell ref="B57:E57"/>
    <mergeCell ref="B58:E58"/>
    <mergeCell ref="B59:E59"/>
    <mergeCell ref="A50:E50"/>
    <mergeCell ref="B51:E51"/>
    <mergeCell ref="B52:E52"/>
    <mergeCell ref="B53:E53"/>
    <mergeCell ref="B54:E54"/>
    <mergeCell ref="B45:E45"/>
    <mergeCell ref="B46:E46"/>
    <mergeCell ref="B47:E47"/>
    <mergeCell ref="B48:E48"/>
    <mergeCell ref="B49:E49"/>
    <mergeCell ref="B40:E40"/>
    <mergeCell ref="B41:E41"/>
    <mergeCell ref="B42:E42"/>
    <mergeCell ref="B43:E43"/>
    <mergeCell ref="A44:E44"/>
    <mergeCell ref="A40:A42"/>
    <mergeCell ref="B35:E35"/>
    <mergeCell ref="B36:E36"/>
    <mergeCell ref="B37:E37"/>
    <mergeCell ref="B38:E38"/>
    <mergeCell ref="A39:E39"/>
    <mergeCell ref="B30:E30"/>
    <mergeCell ref="B31:E31"/>
    <mergeCell ref="B32:E32"/>
    <mergeCell ref="B33:E33"/>
    <mergeCell ref="A34:E34"/>
    <mergeCell ref="B25:E25"/>
    <mergeCell ref="B26:E26"/>
    <mergeCell ref="B27:E27"/>
    <mergeCell ref="A28:E28"/>
    <mergeCell ref="B29:E29"/>
    <mergeCell ref="B20:E20"/>
    <mergeCell ref="B21:E21"/>
    <mergeCell ref="A22:E22"/>
    <mergeCell ref="B23:E23"/>
    <mergeCell ref="B24:E24"/>
    <mergeCell ref="A15:E15"/>
    <mergeCell ref="A16:E16"/>
    <mergeCell ref="B17:E17"/>
    <mergeCell ref="B18:E18"/>
    <mergeCell ref="B19:E19"/>
    <mergeCell ref="B8:E8"/>
    <mergeCell ref="B9:E9"/>
    <mergeCell ref="B10:E10"/>
    <mergeCell ref="B11:E11"/>
    <mergeCell ref="B12:E12"/>
    <mergeCell ref="A3:D3"/>
    <mergeCell ref="A4:D4"/>
    <mergeCell ref="A5:C5"/>
    <mergeCell ref="A6:C6"/>
    <mergeCell ref="A7:C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8"/>
  <sheetViews>
    <sheetView topLeftCell="A34" zoomScale="131" workbookViewId="0">
      <selection activeCell="B22" sqref="B22:E22"/>
    </sheetView>
  </sheetViews>
  <sheetFormatPr baseColWidth="10" defaultColWidth="9" defaultRowHeight="16"/>
  <cols>
    <col min="1" max="1" width="11" style="32" customWidth="1"/>
    <col min="2" max="2" width="7.1640625" style="32" customWidth="1"/>
    <col min="3" max="3" width="13.6640625" style="32" customWidth="1"/>
    <col min="4" max="4" width="28.83203125" style="32" customWidth="1"/>
    <col min="5" max="5" width="28.1640625" style="32" customWidth="1"/>
    <col min="6" max="6" width="15.1640625" style="32" customWidth="1"/>
    <col min="7" max="16384" width="9" style="32"/>
  </cols>
  <sheetData>
    <row r="1" spans="1:5" s="31" customFormat="1" ht="15" customHeight="1">
      <c r="E1" s="37"/>
    </row>
    <row r="2" spans="1:5" s="31" customFormat="1" ht="15" customHeight="1">
      <c r="A2" s="37" t="s">
        <v>90</v>
      </c>
      <c r="E2" s="38" t="s">
        <v>91</v>
      </c>
    </row>
    <row r="3" spans="1:5" ht="24" customHeight="1">
      <c r="A3" s="122" t="s">
        <v>92</v>
      </c>
      <c r="B3" s="123"/>
      <c r="C3" s="123"/>
      <c r="D3" s="124"/>
      <c r="E3" s="39" t="s">
        <v>110</v>
      </c>
    </row>
    <row r="4" spans="1:5" s="33" customFormat="1" ht="24" customHeight="1">
      <c r="A4" s="125" t="s">
        <v>111</v>
      </c>
      <c r="B4" s="126"/>
      <c r="C4" s="126"/>
      <c r="D4" s="127"/>
      <c r="E4" s="40" t="s">
        <v>112</v>
      </c>
    </row>
    <row r="5" spans="1:5" s="34" customFormat="1" ht="22" customHeight="1">
      <c r="A5" s="128" t="s">
        <v>190</v>
      </c>
      <c r="B5" s="129"/>
      <c r="C5" s="130"/>
      <c r="D5" s="41" t="s">
        <v>114</v>
      </c>
      <c r="E5" s="42" t="s">
        <v>115</v>
      </c>
    </row>
    <row r="6" spans="1:5" s="34" customFormat="1" ht="22" customHeight="1">
      <c r="A6" s="131" t="s">
        <v>116</v>
      </c>
      <c r="B6" s="132"/>
      <c r="C6" s="133"/>
      <c r="D6" s="43" t="s">
        <v>191</v>
      </c>
      <c r="E6" s="44" t="s">
        <v>118</v>
      </c>
    </row>
    <row r="7" spans="1:5" s="34" customFormat="1" ht="22" customHeight="1">
      <c r="A7" s="131" t="s">
        <v>192</v>
      </c>
      <c r="B7" s="132"/>
      <c r="C7" s="133"/>
      <c r="D7" s="45" t="s">
        <v>193</v>
      </c>
      <c r="E7" s="46" t="s">
        <v>121</v>
      </c>
    </row>
    <row r="8" spans="1:5" s="34" customFormat="1" ht="23" customHeight="1">
      <c r="A8" s="121" t="s">
        <v>122</v>
      </c>
      <c r="B8" s="134" t="s">
        <v>194</v>
      </c>
      <c r="C8" s="134"/>
      <c r="D8" s="134"/>
      <c r="E8" s="135"/>
    </row>
    <row r="9" spans="1:5" s="34" customFormat="1" ht="24.5" customHeight="1">
      <c r="A9" s="121"/>
      <c r="B9" s="134" t="s">
        <v>195</v>
      </c>
      <c r="C9" s="134"/>
      <c r="D9" s="134"/>
      <c r="E9" s="135"/>
    </row>
    <row r="10" spans="1:5" s="34" customFormat="1" ht="24" customHeight="1">
      <c r="A10" s="121"/>
      <c r="B10" s="134" t="s">
        <v>196</v>
      </c>
      <c r="C10" s="134"/>
      <c r="D10" s="134"/>
      <c r="E10" s="135"/>
    </row>
    <row r="11" spans="1:5" s="34" customFormat="1" ht="28" customHeight="1">
      <c r="A11" s="121"/>
      <c r="B11" s="134" t="s">
        <v>197</v>
      </c>
      <c r="C11" s="134"/>
      <c r="D11" s="134"/>
      <c r="E11" s="135"/>
    </row>
    <row r="12" spans="1:5" s="34" customFormat="1" ht="28.5" customHeight="1">
      <c r="A12" s="121"/>
      <c r="B12" s="134" t="s">
        <v>198</v>
      </c>
      <c r="C12" s="134"/>
      <c r="D12" s="134"/>
      <c r="E12" s="135"/>
    </row>
    <row r="13" spans="1:5" s="34" customFormat="1" ht="20" customHeight="1">
      <c r="A13" s="158" t="s">
        <v>199</v>
      </c>
      <c r="B13" s="159"/>
      <c r="C13" s="159"/>
      <c r="D13" s="159"/>
      <c r="E13" s="160"/>
    </row>
    <row r="14" spans="1:5" s="34" customFormat="1" ht="21" customHeight="1">
      <c r="A14" s="158"/>
      <c r="B14" s="159"/>
      <c r="C14" s="159"/>
      <c r="D14" s="159"/>
      <c r="E14" s="160"/>
    </row>
    <row r="15" spans="1:5" ht="20" customHeight="1">
      <c r="A15" s="136" t="s">
        <v>129</v>
      </c>
      <c r="B15" s="137"/>
      <c r="C15" s="137"/>
      <c r="D15" s="137"/>
      <c r="E15" s="138"/>
    </row>
    <row r="16" spans="1:5" s="34" customFormat="1" ht="20" customHeight="1">
      <c r="A16" s="136" t="s">
        <v>200</v>
      </c>
      <c r="B16" s="137"/>
      <c r="C16" s="137"/>
      <c r="D16" s="137"/>
      <c r="E16" s="138"/>
    </row>
    <row r="17" spans="1:5" s="34" customFormat="1" ht="22" customHeight="1">
      <c r="A17" s="161" t="s">
        <v>131</v>
      </c>
      <c r="B17" s="137" t="s">
        <v>201</v>
      </c>
      <c r="C17" s="137"/>
      <c r="D17" s="137"/>
      <c r="E17" s="138"/>
    </row>
    <row r="18" spans="1:5" s="34" customFormat="1" ht="22" customHeight="1">
      <c r="A18" s="162"/>
      <c r="B18" s="137" t="s">
        <v>202</v>
      </c>
      <c r="C18" s="137"/>
      <c r="D18" s="137"/>
      <c r="E18" s="138"/>
    </row>
    <row r="19" spans="1:5" s="34" customFormat="1" ht="28" customHeight="1">
      <c r="A19" s="162"/>
      <c r="B19" s="139" t="s">
        <v>203</v>
      </c>
      <c r="C19" s="132"/>
      <c r="D19" s="132"/>
      <c r="E19" s="140"/>
    </row>
    <row r="20" spans="1:5" s="34" customFormat="1" ht="22" customHeight="1">
      <c r="A20" s="162"/>
      <c r="B20" s="137" t="s">
        <v>204</v>
      </c>
      <c r="C20" s="137"/>
      <c r="D20" s="137"/>
      <c r="E20" s="138"/>
    </row>
    <row r="21" spans="1:5" s="34" customFormat="1" ht="22" customHeight="1">
      <c r="A21" s="162"/>
      <c r="B21" s="137" t="s">
        <v>205</v>
      </c>
      <c r="C21" s="137"/>
      <c r="D21" s="137"/>
      <c r="E21" s="138"/>
    </row>
    <row r="22" spans="1:5" s="34" customFormat="1" ht="22" customHeight="1">
      <c r="A22" s="163"/>
      <c r="B22" s="139"/>
      <c r="C22" s="132"/>
      <c r="D22" s="132"/>
      <c r="E22" s="140"/>
    </row>
    <row r="23" spans="1:5" s="34" customFormat="1" ht="22" customHeight="1">
      <c r="A23" s="47" t="s">
        <v>135</v>
      </c>
      <c r="B23" s="137" t="s">
        <v>206</v>
      </c>
      <c r="C23" s="137"/>
      <c r="D23" s="137"/>
      <c r="E23" s="138"/>
    </row>
    <row r="24" spans="1:5" s="34" customFormat="1" ht="20" customHeight="1">
      <c r="A24" s="136" t="s">
        <v>207</v>
      </c>
      <c r="B24" s="137"/>
      <c r="C24" s="137"/>
      <c r="D24" s="137"/>
      <c r="E24" s="138"/>
    </row>
    <row r="25" spans="1:5" s="35" customFormat="1" ht="22" customHeight="1">
      <c r="A25" s="155" t="s">
        <v>138</v>
      </c>
      <c r="B25" s="141" t="s">
        <v>208</v>
      </c>
      <c r="C25" s="141"/>
      <c r="D25" s="141"/>
      <c r="E25" s="142"/>
    </row>
    <row r="26" spans="1:5" s="35" customFormat="1" ht="22" customHeight="1">
      <c r="A26" s="156"/>
      <c r="B26" s="143" t="s">
        <v>209</v>
      </c>
      <c r="C26" s="144"/>
      <c r="D26" s="144"/>
      <c r="E26" s="145"/>
    </row>
    <row r="27" spans="1:5" s="35" customFormat="1" ht="22" customHeight="1">
      <c r="A27" s="156"/>
      <c r="B27" s="143" t="s">
        <v>210</v>
      </c>
      <c r="C27" s="144"/>
      <c r="D27" s="144"/>
      <c r="E27" s="145"/>
    </row>
    <row r="28" spans="1:5" s="35" customFormat="1" ht="22" customHeight="1">
      <c r="A28" s="157"/>
      <c r="B28" s="143"/>
      <c r="C28" s="144"/>
      <c r="D28" s="144"/>
      <c r="E28" s="145"/>
    </row>
    <row r="29" spans="1:5" s="35" customFormat="1" ht="22" customHeight="1">
      <c r="A29" s="48" t="s">
        <v>143</v>
      </c>
      <c r="B29" s="141" t="s">
        <v>211</v>
      </c>
      <c r="C29" s="141"/>
      <c r="D29" s="141"/>
      <c r="E29" s="142"/>
    </row>
    <row r="30" spans="1:5" s="34" customFormat="1" ht="20" customHeight="1">
      <c r="A30" s="131" t="s">
        <v>212</v>
      </c>
      <c r="B30" s="132"/>
      <c r="C30" s="132"/>
      <c r="D30" s="132"/>
      <c r="E30" s="140"/>
    </row>
    <row r="31" spans="1:5" s="35" customFormat="1" ht="22" customHeight="1">
      <c r="A31" s="155" t="s">
        <v>138</v>
      </c>
      <c r="B31" s="141" t="s">
        <v>213</v>
      </c>
      <c r="C31" s="141"/>
      <c r="D31" s="141"/>
      <c r="E31" s="142"/>
    </row>
    <row r="32" spans="1:5" s="35" customFormat="1" ht="22" customHeight="1">
      <c r="A32" s="156"/>
      <c r="B32" s="143" t="s">
        <v>214</v>
      </c>
      <c r="C32" s="144"/>
      <c r="D32" s="144"/>
      <c r="E32" s="145"/>
    </row>
    <row r="33" spans="1:6" s="35" customFormat="1" ht="22" customHeight="1">
      <c r="A33" s="157"/>
      <c r="B33" s="143"/>
      <c r="C33" s="144"/>
      <c r="D33" s="144"/>
      <c r="E33" s="145"/>
    </row>
    <row r="34" spans="1:6" s="35" customFormat="1" ht="28.5" customHeight="1">
      <c r="A34" s="48" t="s">
        <v>143</v>
      </c>
      <c r="B34" s="143" t="s">
        <v>215</v>
      </c>
      <c r="C34" s="144"/>
      <c r="D34" s="144"/>
      <c r="E34" s="145"/>
    </row>
    <row r="35" spans="1:6" s="34" customFormat="1" ht="20" customHeight="1">
      <c r="A35" s="131" t="s">
        <v>216</v>
      </c>
      <c r="B35" s="132"/>
      <c r="C35" s="132"/>
      <c r="D35" s="132"/>
      <c r="E35" s="140"/>
    </row>
    <row r="36" spans="1:6" s="35" customFormat="1" ht="22" customHeight="1">
      <c r="A36" s="155" t="s">
        <v>138</v>
      </c>
      <c r="B36" s="141" t="s">
        <v>217</v>
      </c>
      <c r="C36" s="141"/>
      <c r="D36" s="141"/>
      <c r="E36" s="142"/>
    </row>
    <row r="37" spans="1:6" s="35" customFormat="1" ht="22" customHeight="1">
      <c r="A37" s="156"/>
      <c r="B37" s="143" t="s">
        <v>218</v>
      </c>
      <c r="C37" s="144"/>
      <c r="D37" s="144"/>
      <c r="E37" s="145"/>
    </row>
    <row r="38" spans="1:6" s="35" customFormat="1" ht="22" customHeight="1">
      <c r="A38" s="157"/>
      <c r="B38" s="143"/>
      <c r="C38" s="144"/>
      <c r="D38" s="144"/>
      <c r="E38" s="145"/>
    </row>
    <row r="39" spans="1:6" s="35" customFormat="1" ht="28.5" customHeight="1">
      <c r="A39" s="48" t="s">
        <v>143</v>
      </c>
      <c r="B39" s="143" t="s">
        <v>219</v>
      </c>
      <c r="C39" s="144"/>
      <c r="D39" s="144"/>
      <c r="E39" s="145"/>
    </row>
    <row r="40" spans="1:6" s="35" customFormat="1" ht="28.5" customHeight="1">
      <c r="A40" s="136" t="s">
        <v>220</v>
      </c>
      <c r="B40" s="137"/>
      <c r="C40" s="137"/>
      <c r="D40" s="137"/>
      <c r="E40" s="138"/>
    </row>
    <row r="41" spans="1:6" s="35" customFormat="1" ht="28.5" customHeight="1">
      <c r="A41" s="155" t="s">
        <v>138</v>
      </c>
      <c r="B41" s="141" t="s">
        <v>221</v>
      </c>
      <c r="C41" s="141"/>
      <c r="D41" s="141"/>
      <c r="E41" s="142"/>
    </row>
    <row r="42" spans="1:6" s="35" customFormat="1" ht="28.5" customHeight="1">
      <c r="A42" s="156"/>
      <c r="B42" s="143" t="s">
        <v>222</v>
      </c>
      <c r="C42" s="144"/>
      <c r="D42" s="144"/>
      <c r="E42" s="145"/>
    </row>
    <row r="43" spans="1:6" s="35" customFormat="1" ht="28.5" customHeight="1">
      <c r="A43" s="157"/>
      <c r="B43" s="143"/>
      <c r="C43" s="144"/>
      <c r="D43" s="144"/>
      <c r="E43" s="145"/>
    </row>
    <row r="44" spans="1:6" s="35" customFormat="1" ht="28.5" customHeight="1">
      <c r="A44" s="48" t="s">
        <v>143</v>
      </c>
      <c r="B44" s="143" t="s">
        <v>223</v>
      </c>
      <c r="C44" s="144"/>
      <c r="D44" s="144"/>
      <c r="E44" s="145"/>
    </row>
    <row r="45" spans="1:6" s="34" customFormat="1" ht="20" customHeight="1">
      <c r="A45" s="136" t="s">
        <v>172</v>
      </c>
      <c r="B45" s="137"/>
      <c r="C45" s="137"/>
      <c r="D45" s="137"/>
      <c r="E45" s="138"/>
      <c r="F45" s="32"/>
    </row>
    <row r="46" spans="1:6" s="34" customFormat="1" ht="19.5" customHeight="1">
      <c r="A46" s="121" t="s">
        <v>173</v>
      </c>
      <c r="B46" s="49" t="s">
        <v>174</v>
      </c>
      <c r="C46" s="139" t="s">
        <v>107</v>
      </c>
      <c r="D46" s="132"/>
      <c r="E46" s="140"/>
    </row>
    <row r="47" spans="1:6" s="34" customFormat="1" ht="19.5" customHeight="1">
      <c r="A47" s="121"/>
      <c r="B47" s="50" t="s">
        <v>176</v>
      </c>
      <c r="C47" s="139" t="s">
        <v>224</v>
      </c>
      <c r="D47" s="132"/>
      <c r="E47" s="140"/>
    </row>
    <row r="48" spans="1:6" s="34" customFormat="1" ht="19.5" customHeight="1">
      <c r="A48" s="121"/>
      <c r="B48" s="51" t="s">
        <v>178</v>
      </c>
      <c r="C48" s="139" t="s">
        <v>225</v>
      </c>
      <c r="D48" s="132"/>
      <c r="E48" s="140"/>
    </row>
    <row r="49" spans="1:5" s="34" customFormat="1" ht="25" customHeight="1">
      <c r="A49" s="47" t="s">
        <v>180</v>
      </c>
      <c r="B49" s="137" t="s">
        <v>226</v>
      </c>
      <c r="C49" s="137"/>
      <c r="D49" s="137"/>
      <c r="E49" s="138"/>
    </row>
    <row r="50" spans="1:5" s="36" customFormat="1" ht="20" customHeight="1">
      <c r="A50" s="136" t="s">
        <v>182</v>
      </c>
      <c r="B50" s="137"/>
      <c r="C50" s="137"/>
      <c r="D50" s="137"/>
      <c r="E50" s="138"/>
    </row>
    <row r="51" spans="1:5" s="34" customFormat="1" ht="20" customHeight="1">
      <c r="A51" s="52" t="s">
        <v>183</v>
      </c>
      <c r="B51" s="146" t="s">
        <v>184</v>
      </c>
      <c r="C51" s="146"/>
      <c r="D51" s="146"/>
      <c r="E51" s="147"/>
    </row>
    <row r="52" spans="1:5" s="34" customFormat="1" ht="20" customHeight="1">
      <c r="A52" s="52" t="s">
        <v>185</v>
      </c>
      <c r="B52" s="146" t="s">
        <v>186</v>
      </c>
      <c r="C52" s="146"/>
      <c r="D52" s="146"/>
      <c r="E52" s="147"/>
    </row>
    <row r="53" spans="1:5" s="36" customFormat="1" ht="20" customHeight="1">
      <c r="A53" s="136" t="s">
        <v>227</v>
      </c>
      <c r="B53" s="137"/>
      <c r="C53" s="137"/>
      <c r="D53" s="137"/>
      <c r="E53" s="138"/>
    </row>
    <row r="54" spans="1:5" s="36" customFormat="1" ht="20" customHeight="1">
      <c r="A54" s="131" t="s">
        <v>228</v>
      </c>
      <c r="B54" s="132"/>
      <c r="C54" s="132"/>
      <c r="D54" s="132"/>
      <c r="E54" s="140"/>
    </row>
    <row r="55" spans="1:5" s="34" customFormat="1" ht="20" customHeight="1">
      <c r="A55" s="131" t="s">
        <v>229</v>
      </c>
      <c r="B55" s="132"/>
      <c r="C55" s="132"/>
      <c r="D55" s="132"/>
      <c r="E55" s="140"/>
    </row>
    <row r="56" spans="1:5" s="34" customFormat="1" ht="20" customHeight="1">
      <c r="A56" s="131" t="s">
        <v>230</v>
      </c>
      <c r="B56" s="132"/>
      <c r="C56" s="132"/>
      <c r="D56" s="132"/>
      <c r="E56" s="140"/>
    </row>
    <row r="57" spans="1:5" s="34" customFormat="1" ht="20" customHeight="1">
      <c r="A57" s="151" t="s">
        <v>189</v>
      </c>
      <c r="B57" s="146"/>
      <c r="C57" s="146"/>
      <c r="D57" s="146"/>
      <c r="E57" s="147"/>
    </row>
    <row r="58" spans="1:5" ht="49" customHeight="1">
      <c r="A58" s="152"/>
      <c r="B58" s="153"/>
      <c r="C58" s="153"/>
      <c r="D58" s="153"/>
      <c r="E58" s="154"/>
    </row>
  </sheetData>
  <mergeCells count="62">
    <mergeCell ref="A55:E55"/>
    <mergeCell ref="A56:E56"/>
    <mergeCell ref="A57:E57"/>
    <mergeCell ref="A58:E58"/>
    <mergeCell ref="A8:A12"/>
    <mergeCell ref="A17:A22"/>
    <mergeCell ref="A25:A28"/>
    <mergeCell ref="A31:A33"/>
    <mergeCell ref="A36:A38"/>
    <mergeCell ref="A41:A43"/>
    <mergeCell ref="A46:A48"/>
    <mergeCell ref="A13:E14"/>
    <mergeCell ref="A50:E50"/>
    <mergeCell ref="B51:E51"/>
    <mergeCell ref="B52:E52"/>
    <mergeCell ref="A53:E53"/>
    <mergeCell ref="A54:E54"/>
    <mergeCell ref="A45:E45"/>
    <mergeCell ref="C46:E46"/>
    <mergeCell ref="C47:E47"/>
    <mergeCell ref="C48:E48"/>
    <mergeCell ref="B49:E49"/>
    <mergeCell ref="A40:E40"/>
    <mergeCell ref="B41:E41"/>
    <mergeCell ref="B42:E42"/>
    <mergeCell ref="B43:E43"/>
    <mergeCell ref="B44:E44"/>
    <mergeCell ref="A35:E35"/>
    <mergeCell ref="B36:E36"/>
    <mergeCell ref="B37:E37"/>
    <mergeCell ref="B38:E38"/>
    <mergeCell ref="B39:E39"/>
    <mergeCell ref="A30:E30"/>
    <mergeCell ref="B31:E31"/>
    <mergeCell ref="B32:E32"/>
    <mergeCell ref="B33:E33"/>
    <mergeCell ref="B34:E34"/>
    <mergeCell ref="B25:E25"/>
    <mergeCell ref="B26:E26"/>
    <mergeCell ref="B27:E27"/>
    <mergeCell ref="B28:E28"/>
    <mergeCell ref="B29:E29"/>
    <mergeCell ref="B20:E20"/>
    <mergeCell ref="B21:E21"/>
    <mergeCell ref="B22:E22"/>
    <mergeCell ref="B23:E23"/>
    <mergeCell ref="A24:E24"/>
    <mergeCell ref="A15:E15"/>
    <mergeCell ref="A16:E16"/>
    <mergeCell ref="B17:E17"/>
    <mergeCell ref="B18:E18"/>
    <mergeCell ref="B19:E19"/>
    <mergeCell ref="B8:E8"/>
    <mergeCell ref="B9:E9"/>
    <mergeCell ref="B10:E10"/>
    <mergeCell ref="B11:E11"/>
    <mergeCell ref="B12:E12"/>
    <mergeCell ref="A3:D3"/>
    <mergeCell ref="A4:D4"/>
    <mergeCell ref="A5:C5"/>
    <mergeCell ref="A6:C6"/>
    <mergeCell ref="A7:C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2"/>
  <sheetViews>
    <sheetView tabSelected="1" topLeftCell="A2" zoomScale="138" workbookViewId="0">
      <selection activeCell="B24" sqref="B24:E24"/>
    </sheetView>
  </sheetViews>
  <sheetFormatPr baseColWidth="10" defaultColWidth="9" defaultRowHeight="16"/>
  <cols>
    <col min="1" max="1" width="11" style="32" customWidth="1"/>
    <col min="2" max="2" width="7" style="32" customWidth="1"/>
    <col min="3" max="3" width="13.5" style="32" customWidth="1"/>
    <col min="4" max="4" width="28.83203125" style="32" customWidth="1"/>
    <col min="5" max="5" width="28" style="32" customWidth="1"/>
    <col min="6" max="6" width="15" style="32" customWidth="1"/>
    <col min="7" max="16384" width="9" style="32"/>
  </cols>
  <sheetData>
    <row r="1" spans="1:5" s="31" customFormat="1" ht="15" customHeight="1">
      <c r="E1" s="37"/>
    </row>
    <row r="2" spans="1:5" s="31" customFormat="1" ht="15" customHeight="1">
      <c r="A2" s="37" t="s">
        <v>90</v>
      </c>
      <c r="E2" s="38" t="s">
        <v>91</v>
      </c>
    </row>
    <row r="3" spans="1:5" ht="24" customHeight="1">
      <c r="A3" s="122" t="s">
        <v>92</v>
      </c>
      <c r="B3" s="123"/>
      <c r="C3" s="123"/>
      <c r="D3" s="124"/>
      <c r="E3" s="39" t="s">
        <v>110</v>
      </c>
    </row>
    <row r="4" spans="1:5" s="33" customFormat="1" ht="24" customHeight="1">
      <c r="A4" s="125" t="s">
        <v>111</v>
      </c>
      <c r="B4" s="126"/>
      <c r="C4" s="126"/>
      <c r="D4" s="127"/>
      <c r="E4" s="40" t="s">
        <v>112</v>
      </c>
    </row>
    <row r="5" spans="1:5" s="34" customFormat="1" ht="22" customHeight="1">
      <c r="A5" s="128" t="s">
        <v>231</v>
      </c>
      <c r="B5" s="129"/>
      <c r="C5" s="130"/>
      <c r="D5" s="41" t="s">
        <v>114</v>
      </c>
      <c r="E5" s="42" t="s">
        <v>115</v>
      </c>
    </row>
    <row r="6" spans="1:5" s="34" customFormat="1" ht="22" customHeight="1">
      <c r="A6" s="131" t="s">
        <v>116</v>
      </c>
      <c r="B6" s="132"/>
      <c r="C6" s="133"/>
      <c r="D6" s="43" t="s">
        <v>232</v>
      </c>
      <c r="E6" s="44" t="s">
        <v>118</v>
      </c>
    </row>
    <row r="7" spans="1:5" s="34" customFormat="1" ht="22" customHeight="1">
      <c r="A7" s="131" t="s">
        <v>192</v>
      </c>
      <c r="B7" s="132"/>
      <c r="C7" s="133"/>
      <c r="D7" s="45" t="s">
        <v>193</v>
      </c>
      <c r="E7" s="46" t="s">
        <v>121</v>
      </c>
    </row>
    <row r="8" spans="1:5" s="34" customFormat="1" ht="23" customHeight="1">
      <c r="A8" s="121" t="s">
        <v>122</v>
      </c>
      <c r="B8" s="134" t="s">
        <v>194</v>
      </c>
      <c r="C8" s="134"/>
      <c r="D8" s="134"/>
      <c r="E8" s="135"/>
    </row>
    <row r="9" spans="1:5" s="34" customFormat="1" ht="24.5" customHeight="1">
      <c r="A9" s="121"/>
      <c r="B9" s="134" t="s">
        <v>233</v>
      </c>
      <c r="C9" s="134"/>
      <c r="D9" s="134"/>
      <c r="E9" s="135"/>
    </row>
    <row r="10" spans="1:5" s="34" customFormat="1" ht="24" customHeight="1">
      <c r="A10" s="121"/>
      <c r="B10" s="134" t="s">
        <v>196</v>
      </c>
      <c r="C10" s="134"/>
      <c r="D10" s="134"/>
      <c r="E10" s="135"/>
    </row>
    <row r="11" spans="1:5" s="34" customFormat="1" ht="28" customHeight="1">
      <c r="A11" s="121"/>
      <c r="B11" s="134" t="s">
        <v>234</v>
      </c>
      <c r="C11" s="134"/>
      <c r="D11" s="134"/>
      <c r="E11" s="135"/>
    </row>
    <row r="12" spans="1:5" s="34" customFormat="1" ht="28.5" customHeight="1">
      <c r="A12" s="121"/>
      <c r="B12" s="134" t="s">
        <v>198</v>
      </c>
      <c r="C12" s="134"/>
      <c r="D12" s="134"/>
      <c r="E12" s="135"/>
    </row>
    <row r="13" spans="1:5" s="34" customFormat="1" ht="20" customHeight="1">
      <c r="A13" s="158" t="s">
        <v>235</v>
      </c>
      <c r="B13" s="159"/>
      <c r="C13" s="159"/>
      <c r="D13" s="159"/>
      <c r="E13" s="160"/>
    </row>
    <row r="14" spans="1:5" s="34" customFormat="1" ht="21" customHeight="1">
      <c r="A14" s="158"/>
      <c r="B14" s="159"/>
      <c r="C14" s="159"/>
      <c r="D14" s="159"/>
      <c r="E14" s="160"/>
    </row>
    <row r="15" spans="1:5" ht="20" customHeight="1">
      <c r="A15" s="136" t="s">
        <v>129</v>
      </c>
      <c r="B15" s="137"/>
      <c r="C15" s="137"/>
      <c r="D15" s="137"/>
      <c r="E15" s="138"/>
    </row>
    <row r="16" spans="1:5" s="34" customFormat="1" ht="20" customHeight="1">
      <c r="A16" s="136" t="s">
        <v>236</v>
      </c>
      <c r="B16" s="137"/>
      <c r="C16" s="137"/>
      <c r="D16" s="137"/>
      <c r="E16" s="138"/>
    </row>
    <row r="17" spans="1:5" s="34" customFormat="1" ht="22" customHeight="1">
      <c r="A17" s="161" t="s">
        <v>131</v>
      </c>
      <c r="B17" s="137" t="s">
        <v>237</v>
      </c>
      <c r="C17" s="137"/>
      <c r="D17" s="137"/>
      <c r="E17" s="138"/>
    </row>
    <row r="18" spans="1:5" s="34" customFormat="1" ht="22" customHeight="1">
      <c r="A18" s="162"/>
      <c r="B18" s="137" t="s">
        <v>238</v>
      </c>
      <c r="C18" s="137"/>
      <c r="D18" s="137"/>
      <c r="E18" s="138"/>
    </row>
    <row r="19" spans="1:5" s="34" customFormat="1" ht="22" customHeight="1">
      <c r="A19" s="162"/>
      <c r="B19" s="139" t="s">
        <v>239</v>
      </c>
      <c r="C19" s="132"/>
      <c r="D19" s="132"/>
      <c r="E19" s="140"/>
    </row>
    <row r="20" spans="1:5" s="34" customFormat="1" ht="22" customHeight="1">
      <c r="A20" s="162"/>
      <c r="B20" s="137" t="s">
        <v>240</v>
      </c>
      <c r="C20" s="137"/>
      <c r="D20" s="137"/>
      <c r="E20" s="138"/>
    </row>
    <row r="21" spans="1:5" s="34" customFormat="1" ht="22" customHeight="1">
      <c r="A21" s="162"/>
      <c r="B21" s="137" t="s">
        <v>241</v>
      </c>
      <c r="C21" s="137"/>
      <c r="D21" s="137"/>
      <c r="E21" s="138"/>
    </row>
    <row r="22" spans="1:5" s="34" customFormat="1" ht="22" customHeight="1">
      <c r="A22" s="162"/>
      <c r="B22" s="137" t="s">
        <v>242</v>
      </c>
      <c r="C22" s="137"/>
      <c r="D22" s="137"/>
      <c r="E22" s="138"/>
    </row>
    <row r="23" spans="1:5" s="34" customFormat="1" ht="22" customHeight="1">
      <c r="A23" s="162"/>
      <c r="B23" s="137" t="s">
        <v>243</v>
      </c>
      <c r="C23" s="137"/>
      <c r="D23" s="137"/>
      <c r="E23" s="138"/>
    </row>
    <row r="24" spans="1:5" s="34" customFormat="1" ht="22" customHeight="1">
      <c r="A24" s="163"/>
      <c r="B24" s="137" t="s">
        <v>244</v>
      </c>
      <c r="C24" s="137"/>
      <c r="D24" s="137"/>
      <c r="E24" s="138"/>
    </row>
    <row r="25" spans="1:5" s="34" customFormat="1" ht="22" customHeight="1">
      <c r="A25" s="47" t="s">
        <v>135</v>
      </c>
      <c r="B25" s="137" t="s">
        <v>245</v>
      </c>
      <c r="C25" s="137"/>
      <c r="D25" s="137"/>
      <c r="E25" s="138"/>
    </row>
    <row r="26" spans="1:5" s="34" customFormat="1" ht="20" customHeight="1">
      <c r="A26" s="136" t="s">
        <v>246</v>
      </c>
      <c r="B26" s="137"/>
      <c r="C26" s="137"/>
      <c r="D26" s="137"/>
      <c r="E26" s="138"/>
    </row>
    <row r="27" spans="1:5" s="35" customFormat="1" ht="22" customHeight="1">
      <c r="A27" s="169" t="s">
        <v>138</v>
      </c>
      <c r="B27" s="164" t="s">
        <v>247</v>
      </c>
      <c r="C27" s="164"/>
      <c r="D27" s="164"/>
      <c r="E27" s="165"/>
    </row>
    <row r="28" spans="1:5" s="35" customFormat="1" ht="22" customHeight="1">
      <c r="A28" s="170"/>
      <c r="B28" s="164" t="s">
        <v>248</v>
      </c>
      <c r="C28" s="164"/>
      <c r="D28" s="164"/>
      <c r="E28" s="165"/>
    </row>
    <row r="29" spans="1:5" s="35" customFormat="1" ht="22" customHeight="1">
      <c r="A29" s="170"/>
      <c r="B29" s="166" t="s">
        <v>249</v>
      </c>
      <c r="C29" s="167"/>
      <c r="D29" s="167"/>
      <c r="E29" s="168"/>
    </row>
    <row r="30" spans="1:5" s="35" customFormat="1" ht="22" customHeight="1">
      <c r="A30" s="170"/>
      <c r="B30" s="166" t="s">
        <v>250</v>
      </c>
      <c r="C30" s="167"/>
      <c r="D30" s="167"/>
      <c r="E30" s="168"/>
    </row>
    <row r="31" spans="1:5" s="35" customFormat="1" ht="24" customHeight="1">
      <c r="A31" s="171"/>
      <c r="B31" s="166" t="s">
        <v>251</v>
      </c>
      <c r="C31" s="167"/>
      <c r="D31" s="167"/>
      <c r="E31" s="168"/>
    </row>
    <row r="32" spans="1:5" s="35" customFormat="1" ht="22" customHeight="1">
      <c r="A32" s="53" t="s">
        <v>143</v>
      </c>
      <c r="B32" s="164" t="s">
        <v>252</v>
      </c>
      <c r="C32" s="164"/>
      <c r="D32" s="164"/>
      <c r="E32" s="165"/>
    </row>
    <row r="33" spans="1:12" s="34" customFormat="1" ht="20" customHeight="1">
      <c r="A33" s="136" t="s">
        <v>253</v>
      </c>
      <c r="B33" s="137"/>
      <c r="C33" s="137"/>
      <c r="D33" s="137"/>
      <c r="E33" s="138"/>
    </row>
    <row r="34" spans="1:12" s="35" customFormat="1" ht="25" customHeight="1">
      <c r="A34" s="169" t="s">
        <v>138</v>
      </c>
      <c r="B34" s="164" t="s">
        <v>254</v>
      </c>
      <c r="C34" s="164"/>
      <c r="D34" s="164"/>
      <c r="E34" s="165"/>
    </row>
    <row r="35" spans="1:12" s="35" customFormat="1" ht="22" customHeight="1">
      <c r="A35" s="170"/>
      <c r="B35" s="166" t="s">
        <v>255</v>
      </c>
      <c r="C35" s="167"/>
      <c r="D35" s="167"/>
      <c r="E35" s="168"/>
    </row>
    <row r="36" spans="1:12" s="35" customFormat="1" ht="22" customHeight="1">
      <c r="A36" s="171"/>
      <c r="B36" s="166" t="s">
        <v>256</v>
      </c>
      <c r="C36" s="167"/>
      <c r="D36" s="167"/>
      <c r="E36" s="168"/>
    </row>
    <row r="37" spans="1:12" s="35" customFormat="1" ht="28.5" customHeight="1">
      <c r="A37" s="53" t="s">
        <v>143</v>
      </c>
      <c r="B37" s="166" t="s">
        <v>257</v>
      </c>
      <c r="C37" s="167"/>
      <c r="D37" s="167"/>
      <c r="E37" s="168"/>
    </row>
    <row r="38" spans="1:12" s="35" customFormat="1" ht="28.5" customHeight="1">
      <c r="A38" s="136" t="s">
        <v>258</v>
      </c>
      <c r="B38" s="137"/>
      <c r="C38" s="137"/>
      <c r="D38" s="137"/>
      <c r="E38" s="138"/>
    </row>
    <row r="39" spans="1:12" s="35" customFormat="1" ht="28.5" customHeight="1">
      <c r="A39" s="53" t="s">
        <v>138</v>
      </c>
      <c r="B39" s="164" t="s">
        <v>259</v>
      </c>
      <c r="C39" s="164"/>
      <c r="D39" s="164"/>
      <c r="E39" s="165"/>
    </row>
    <row r="40" spans="1:12" s="35" customFormat="1" ht="28.5" customHeight="1">
      <c r="A40" s="53" t="s">
        <v>143</v>
      </c>
      <c r="B40" s="164" t="s">
        <v>260</v>
      </c>
      <c r="C40" s="164"/>
      <c r="D40" s="164"/>
      <c r="E40" s="165"/>
    </row>
    <row r="41" spans="1:12" s="35" customFormat="1" ht="28.5" customHeight="1">
      <c r="A41" s="53" t="s">
        <v>143</v>
      </c>
      <c r="B41" s="166" t="s">
        <v>261</v>
      </c>
      <c r="C41" s="167"/>
      <c r="D41" s="167"/>
      <c r="E41" s="168"/>
    </row>
    <row r="42" spans="1:12" s="35" customFormat="1" ht="28.5" customHeight="1">
      <c r="A42" s="131" t="s">
        <v>262</v>
      </c>
      <c r="B42" s="132"/>
      <c r="C42" s="132"/>
      <c r="D42" s="132"/>
      <c r="E42" s="140"/>
    </row>
    <row r="43" spans="1:12" s="34" customFormat="1" ht="20" customHeight="1">
      <c r="A43" s="53" t="s">
        <v>138</v>
      </c>
      <c r="B43" s="164" t="s">
        <v>263</v>
      </c>
      <c r="C43" s="164"/>
      <c r="D43" s="164"/>
      <c r="E43" s="165"/>
      <c r="F43" s="35"/>
      <c r="G43" s="35"/>
      <c r="H43" s="35"/>
      <c r="I43" s="35"/>
      <c r="J43" s="35"/>
      <c r="K43" s="35"/>
      <c r="L43" s="35"/>
    </row>
    <row r="44" spans="1:12" s="35" customFormat="1" ht="22" customHeight="1">
      <c r="A44" s="53" t="s">
        <v>143</v>
      </c>
      <c r="B44" s="164" t="s">
        <v>264</v>
      </c>
      <c r="C44" s="164"/>
      <c r="D44" s="164"/>
      <c r="E44" s="165"/>
    </row>
    <row r="45" spans="1:12" s="35" customFormat="1" ht="22" customHeight="1">
      <c r="A45" s="136" t="s">
        <v>265</v>
      </c>
      <c r="B45" s="137"/>
      <c r="C45" s="137"/>
      <c r="D45" s="137"/>
      <c r="E45" s="138"/>
    </row>
    <row r="46" spans="1:12" s="34" customFormat="1" ht="20" customHeight="1">
      <c r="A46" s="169" t="s">
        <v>138</v>
      </c>
      <c r="B46" s="167" t="s">
        <v>266</v>
      </c>
      <c r="C46" s="167"/>
      <c r="D46" s="167"/>
      <c r="E46" s="168"/>
    </row>
    <row r="47" spans="1:12" s="35" customFormat="1" ht="25" customHeight="1">
      <c r="A47" s="170"/>
      <c r="B47" s="167" t="s">
        <v>267</v>
      </c>
      <c r="C47" s="167"/>
      <c r="D47" s="167"/>
      <c r="E47" s="168"/>
    </row>
    <row r="48" spans="1:12" s="35" customFormat="1" ht="22" customHeight="1">
      <c r="A48" s="171"/>
      <c r="B48" s="166" t="s">
        <v>268</v>
      </c>
      <c r="C48" s="167"/>
      <c r="D48" s="167"/>
      <c r="E48" s="168"/>
    </row>
    <row r="49" spans="1:5" s="35" customFormat="1" ht="22" customHeight="1">
      <c r="A49" s="53" t="s">
        <v>143</v>
      </c>
      <c r="B49" s="166" t="s">
        <v>261</v>
      </c>
      <c r="C49" s="167"/>
      <c r="D49" s="167"/>
      <c r="E49" s="168"/>
    </row>
    <row r="50" spans="1:5" ht="20" customHeight="1">
      <c r="A50" s="136" t="s">
        <v>172</v>
      </c>
      <c r="B50" s="137"/>
      <c r="C50" s="137"/>
      <c r="D50" s="137"/>
      <c r="E50" s="138"/>
    </row>
    <row r="51" spans="1:5" s="34" customFormat="1" ht="19.5" customHeight="1">
      <c r="A51" s="121" t="s">
        <v>173</v>
      </c>
      <c r="B51" s="49" t="s">
        <v>174</v>
      </c>
      <c r="C51" s="139" t="s">
        <v>107</v>
      </c>
      <c r="D51" s="132"/>
      <c r="E51" s="140"/>
    </row>
    <row r="52" spans="1:5" s="34" customFormat="1" ht="19.5" customHeight="1">
      <c r="A52" s="121"/>
      <c r="B52" s="50" t="s">
        <v>176</v>
      </c>
      <c r="C52" s="139" t="s">
        <v>269</v>
      </c>
      <c r="D52" s="132"/>
      <c r="E52" s="140"/>
    </row>
    <row r="53" spans="1:5" s="34" customFormat="1" ht="19.5" customHeight="1">
      <c r="A53" s="121"/>
      <c r="B53" s="51" t="s">
        <v>178</v>
      </c>
      <c r="C53" s="139"/>
      <c r="D53" s="132"/>
      <c r="E53" s="140"/>
    </row>
    <row r="54" spans="1:5" s="34" customFormat="1" ht="25" customHeight="1">
      <c r="A54" s="47" t="s">
        <v>180</v>
      </c>
      <c r="B54" s="137" t="s">
        <v>270</v>
      </c>
      <c r="C54" s="137"/>
      <c r="D54" s="137"/>
      <c r="E54" s="138"/>
    </row>
    <row r="55" spans="1:5" s="36" customFormat="1" ht="20" customHeight="1">
      <c r="A55" s="136" t="s">
        <v>182</v>
      </c>
      <c r="B55" s="137"/>
      <c r="C55" s="137"/>
      <c r="D55" s="137"/>
      <c r="E55" s="138"/>
    </row>
    <row r="56" spans="1:5" s="34" customFormat="1" ht="20" customHeight="1">
      <c r="A56" s="52" t="s">
        <v>183</v>
      </c>
      <c r="B56" s="146" t="s">
        <v>184</v>
      </c>
      <c r="C56" s="146"/>
      <c r="D56" s="146"/>
      <c r="E56" s="147"/>
    </row>
    <row r="57" spans="1:5" s="34" customFormat="1" ht="20" customHeight="1">
      <c r="A57" s="52" t="s">
        <v>185</v>
      </c>
      <c r="B57" s="146" t="s">
        <v>186</v>
      </c>
      <c r="C57" s="146"/>
      <c r="D57" s="146"/>
      <c r="E57" s="147"/>
    </row>
    <row r="58" spans="1:5" s="36" customFormat="1" ht="20" customHeight="1">
      <c r="A58" s="136" t="s">
        <v>271</v>
      </c>
      <c r="B58" s="137"/>
      <c r="C58" s="137"/>
      <c r="D58" s="137"/>
      <c r="E58" s="138"/>
    </row>
    <row r="59" spans="1:5" s="36" customFormat="1" ht="38" customHeight="1">
      <c r="A59" s="131" t="s">
        <v>272</v>
      </c>
      <c r="B59" s="132"/>
      <c r="C59" s="132"/>
      <c r="D59" s="132"/>
      <c r="E59" s="140"/>
    </row>
    <row r="60" spans="1:5" s="34" customFormat="1" ht="20" customHeight="1">
      <c r="A60" s="148"/>
      <c r="B60" s="149"/>
      <c r="C60" s="149"/>
      <c r="D60" s="149"/>
      <c r="E60" s="150"/>
    </row>
    <row r="61" spans="1:5" s="34" customFormat="1" ht="20" customHeight="1">
      <c r="A61" s="151" t="s">
        <v>189</v>
      </c>
      <c r="B61" s="146"/>
      <c r="C61" s="146"/>
      <c r="D61" s="146"/>
      <c r="E61" s="147"/>
    </row>
    <row r="62" spans="1:5" ht="49" customHeight="1">
      <c r="A62" s="152"/>
      <c r="B62" s="153"/>
      <c r="C62" s="153"/>
      <c r="D62" s="153"/>
      <c r="E62" s="154"/>
    </row>
  </sheetData>
  <mergeCells count="65">
    <mergeCell ref="A60:E60"/>
    <mergeCell ref="A61:E61"/>
    <mergeCell ref="A62:E62"/>
    <mergeCell ref="A8:A12"/>
    <mergeCell ref="A17:A24"/>
    <mergeCell ref="A27:A31"/>
    <mergeCell ref="A34:A36"/>
    <mergeCell ref="A46:A48"/>
    <mergeCell ref="A51:A53"/>
    <mergeCell ref="A13:E14"/>
    <mergeCell ref="A55:E55"/>
    <mergeCell ref="B56:E56"/>
    <mergeCell ref="B57:E57"/>
    <mergeCell ref="A58:E58"/>
    <mergeCell ref="A59:E59"/>
    <mergeCell ref="A50:E50"/>
    <mergeCell ref="C51:E51"/>
    <mergeCell ref="C52:E52"/>
    <mergeCell ref="C53:E53"/>
    <mergeCell ref="B54:E54"/>
    <mergeCell ref="A45:E45"/>
    <mergeCell ref="B46:E46"/>
    <mergeCell ref="B47:E47"/>
    <mergeCell ref="B48:E48"/>
    <mergeCell ref="B49:E49"/>
    <mergeCell ref="B40:E40"/>
    <mergeCell ref="B41:E41"/>
    <mergeCell ref="A42:E42"/>
    <mergeCell ref="B43:E43"/>
    <mergeCell ref="B44:E44"/>
    <mergeCell ref="B35:E35"/>
    <mergeCell ref="B36:E36"/>
    <mergeCell ref="B37:E37"/>
    <mergeCell ref="A38:E38"/>
    <mergeCell ref="B39:E39"/>
    <mergeCell ref="B30:E30"/>
    <mergeCell ref="B31:E31"/>
    <mergeCell ref="B32:E32"/>
    <mergeCell ref="A33:E33"/>
    <mergeCell ref="B34:E34"/>
    <mergeCell ref="B25:E25"/>
    <mergeCell ref="A26:E26"/>
    <mergeCell ref="B27:E27"/>
    <mergeCell ref="B28:E28"/>
    <mergeCell ref="B29:E29"/>
    <mergeCell ref="B20:E20"/>
    <mergeCell ref="B21:E21"/>
    <mergeCell ref="B22:E22"/>
    <mergeCell ref="B23:E23"/>
    <mergeCell ref="B24:E24"/>
    <mergeCell ref="A15:E15"/>
    <mergeCell ref="A16:E16"/>
    <mergeCell ref="B17:E17"/>
    <mergeCell ref="B18:E18"/>
    <mergeCell ref="B19:E19"/>
    <mergeCell ref="B8:E8"/>
    <mergeCell ref="B9:E9"/>
    <mergeCell ref="B10:E10"/>
    <mergeCell ref="B11:E11"/>
    <mergeCell ref="B12:E12"/>
    <mergeCell ref="A3:D3"/>
    <mergeCell ref="A4:D4"/>
    <mergeCell ref="A5:C5"/>
    <mergeCell ref="A6:C6"/>
    <mergeCell ref="A7:C7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"/>
  <sheetViews>
    <sheetView workbookViewId="0">
      <selection activeCell="B8" sqref="B8:E8"/>
    </sheetView>
  </sheetViews>
  <sheetFormatPr baseColWidth="10" defaultColWidth="9" defaultRowHeight="16"/>
  <cols>
    <col min="1" max="1" width="11" style="32" customWidth="1"/>
    <col min="2" max="2" width="7" style="32" customWidth="1"/>
    <col min="3" max="3" width="13.5" style="32" customWidth="1"/>
    <col min="4" max="4" width="28.83203125" style="32" customWidth="1"/>
    <col min="5" max="5" width="28" style="32" customWidth="1"/>
    <col min="6" max="16384" width="9" style="32"/>
  </cols>
  <sheetData>
    <row r="1" spans="1:5" s="31" customFormat="1" ht="15" customHeight="1">
      <c r="E1" s="37"/>
    </row>
    <row r="2" spans="1:5" s="31" customFormat="1" ht="15" customHeight="1">
      <c r="A2" s="37" t="s">
        <v>90</v>
      </c>
      <c r="E2" s="38" t="s">
        <v>91</v>
      </c>
    </row>
    <row r="3" spans="1:5" ht="24" customHeight="1">
      <c r="A3" s="122" t="s">
        <v>92</v>
      </c>
      <c r="B3" s="123"/>
      <c r="C3" s="123"/>
      <c r="D3" s="124"/>
      <c r="E3" s="39" t="s">
        <v>110</v>
      </c>
    </row>
    <row r="4" spans="1:5" s="33" customFormat="1" ht="24" customHeight="1">
      <c r="A4" s="125" t="s">
        <v>111</v>
      </c>
      <c r="B4" s="126"/>
      <c r="C4" s="126"/>
      <c r="D4" s="127"/>
      <c r="E4" s="40" t="s">
        <v>112</v>
      </c>
    </row>
    <row r="5" spans="1:5" s="34" customFormat="1" ht="22" customHeight="1">
      <c r="A5" s="128" t="s">
        <v>273</v>
      </c>
      <c r="B5" s="129"/>
      <c r="C5" s="130"/>
      <c r="D5" s="41" t="s">
        <v>114</v>
      </c>
      <c r="E5" s="42" t="s">
        <v>115</v>
      </c>
    </row>
    <row r="6" spans="1:5" s="34" customFormat="1" ht="22" customHeight="1">
      <c r="A6" s="131" t="s">
        <v>116</v>
      </c>
      <c r="B6" s="132"/>
      <c r="C6" s="133"/>
      <c r="D6" s="43" t="s">
        <v>274</v>
      </c>
      <c r="E6" s="44" t="s">
        <v>118</v>
      </c>
    </row>
    <row r="7" spans="1:5" s="34" customFormat="1" ht="22" customHeight="1">
      <c r="A7" s="131" t="s">
        <v>192</v>
      </c>
      <c r="B7" s="132"/>
      <c r="C7" s="133"/>
      <c r="D7" s="45" t="s">
        <v>193</v>
      </c>
      <c r="E7" s="46" t="s">
        <v>121</v>
      </c>
    </row>
    <row r="8" spans="1:5" s="34" customFormat="1" ht="23" customHeight="1">
      <c r="A8" s="121" t="s">
        <v>122</v>
      </c>
      <c r="B8" s="134" t="s">
        <v>194</v>
      </c>
      <c r="C8" s="134"/>
      <c r="D8" s="134"/>
      <c r="E8" s="135"/>
    </row>
    <row r="9" spans="1:5" s="34" customFormat="1" ht="24.5" customHeight="1">
      <c r="A9" s="121"/>
      <c r="B9" s="134" t="s">
        <v>275</v>
      </c>
      <c r="C9" s="134"/>
      <c r="D9" s="134"/>
      <c r="E9" s="135"/>
    </row>
    <row r="10" spans="1:5" s="34" customFormat="1" ht="24" customHeight="1">
      <c r="A10" s="121"/>
      <c r="B10" s="134" t="s">
        <v>196</v>
      </c>
      <c r="C10" s="134"/>
      <c r="D10" s="134"/>
      <c r="E10" s="135"/>
    </row>
    <row r="11" spans="1:5" s="34" customFormat="1" ht="28" customHeight="1">
      <c r="A11" s="121"/>
      <c r="B11" s="134" t="s">
        <v>276</v>
      </c>
      <c r="C11" s="134"/>
      <c r="D11" s="134"/>
      <c r="E11" s="135"/>
    </row>
    <row r="12" spans="1:5" s="34" customFormat="1" ht="28.5" customHeight="1">
      <c r="A12" s="121"/>
      <c r="B12" s="134" t="s">
        <v>198</v>
      </c>
      <c r="C12" s="134"/>
      <c r="D12" s="134"/>
      <c r="E12" s="135"/>
    </row>
    <row r="13" spans="1:5" s="34" customFormat="1" ht="20" customHeight="1">
      <c r="A13" s="158" t="s">
        <v>277</v>
      </c>
      <c r="B13" s="159"/>
      <c r="C13" s="159"/>
      <c r="D13" s="159"/>
      <c r="E13" s="160"/>
    </row>
    <row r="14" spans="1:5" s="34" customFormat="1" ht="21" customHeight="1">
      <c r="A14" s="158"/>
      <c r="B14" s="159"/>
      <c r="C14" s="159"/>
      <c r="D14" s="159"/>
      <c r="E14" s="160"/>
    </row>
    <row r="15" spans="1:5" ht="20" customHeight="1">
      <c r="A15" s="136" t="s">
        <v>129</v>
      </c>
      <c r="B15" s="137"/>
      <c r="C15" s="137"/>
      <c r="D15" s="137"/>
      <c r="E15" s="138"/>
    </row>
    <row r="16" spans="1:5" s="34" customFormat="1" ht="20" customHeight="1">
      <c r="A16" s="136" t="s">
        <v>278</v>
      </c>
      <c r="B16" s="137"/>
      <c r="C16" s="137"/>
      <c r="D16" s="137"/>
      <c r="E16" s="138"/>
    </row>
    <row r="17" spans="1:5" s="34" customFormat="1" ht="22" customHeight="1">
      <c r="A17" s="121" t="s">
        <v>131</v>
      </c>
      <c r="B17" s="141" t="s">
        <v>279</v>
      </c>
      <c r="C17" s="141"/>
      <c r="D17" s="141"/>
      <c r="E17" s="142"/>
    </row>
    <row r="18" spans="1:5" s="34" customFormat="1" ht="22" customHeight="1">
      <c r="A18" s="121"/>
      <c r="B18" s="143" t="s">
        <v>280</v>
      </c>
      <c r="C18" s="144"/>
      <c r="D18" s="144"/>
      <c r="E18" s="145"/>
    </row>
    <row r="19" spans="1:5" s="34" customFormat="1" ht="22" customHeight="1">
      <c r="A19" s="121"/>
      <c r="B19" s="139" t="s">
        <v>281</v>
      </c>
      <c r="C19" s="132"/>
      <c r="D19" s="132"/>
      <c r="E19" s="140"/>
    </row>
    <row r="20" spans="1:5" s="34" customFormat="1" ht="22" customHeight="1">
      <c r="A20" s="121"/>
      <c r="B20" s="137" t="s">
        <v>282</v>
      </c>
      <c r="C20" s="137"/>
      <c r="D20" s="137"/>
      <c r="E20" s="138"/>
    </row>
    <row r="21" spans="1:5" s="34" customFormat="1" ht="22" customHeight="1">
      <c r="A21" s="47" t="s">
        <v>135</v>
      </c>
      <c r="B21" s="137" t="s">
        <v>283</v>
      </c>
      <c r="C21" s="137"/>
      <c r="D21" s="137"/>
      <c r="E21" s="138"/>
    </row>
    <row r="22" spans="1:5" s="34" customFormat="1" ht="20" customHeight="1">
      <c r="A22" s="136" t="s">
        <v>284</v>
      </c>
      <c r="B22" s="137"/>
      <c r="C22" s="137"/>
      <c r="D22" s="137"/>
      <c r="E22" s="138"/>
    </row>
    <row r="23" spans="1:5" s="35" customFormat="1" ht="22" customHeight="1">
      <c r="A23" s="155" t="s">
        <v>138</v>
      </c>
      <c r="B23" s="137" t="s">
        <v>285</v>
      </c>
      <c r="C23" s="137"/>
      <c r="D23" s="137"/>
      <c r="E23" s="138"/>
    </row>
    <row r="24" spans="1:5" s="35" customFormat="1" ht="22" customHeight="1">
      <c r="A24" s="156"/>
      <c r="B24" s="137" t="s">
        <v>286</v>
      </c>
      <c r="C24" s="137"/>
      <c r="D24" s="137"/>
      <c r="E24" s="138"/>
    </row>
    <row r="25" spans="1:5" s="35" customFormat="1" ht="22" customHeight="1">
      <c r="A25" s="156"/>
      <c r="B25" s="137" t="s">
        <v>287</v>
      </c>
      <c r="C25" s="137"/>
      <c r="D25" s="137"/>
      <c r="E25" s="138"/>
    </row>
    <row r="26" spans="1:5" s="35" customFormat="1" ht="22" customHeight="1">
      <c r="A26" s="157"/>
      <c r="B26" s="143"/>
      <c r="C26" s="144"/>
      <c r="D26" s="144"/>
      <c r="E26" s="145"/>
    </row>
    <row r="27" spans="1:5" s="35" customFormat="1" ht="22" customHeight="1">
      <c r="A27" s="48" t="s">
        <v>143</v>
      </c>
      <c r="B27" s="141" t="s">
        <v>288</v>
      </c>
      <c r="C27" s="141"/>
      <c r="D27" s="141"/>
      <c r="E27" s="142"/>
    </row>
    <row r="28" spans="1:5" s="34" customFormat="1" ht="20" customHeight="1">
      <c r="A28" s="136" t="s">
        <v>289</v>
      </c>
      <c r="B28" s="137"/>
      <c r="C28" s="137"/>
      <c r="D28" s="137"/>
      <c r="E28" s="138"/>
    </row>
    <row r="29" spans="1:5" s="35" customFormat="1" ht="22" customHeight="1">
      <c r="A29" s="155" t="s">
        <v>138</v>
      </c>
      <c r="B29" s="141" t="s">
        <v>290</v>
      </c>
      <c r="C29" s="141"/>
      <c r="D29" s="141"/>
      <c r="E29" s="142"/>
    </row>
    <row r="30" spans="1:5" s="35" customFormat="1" ht="22" customHeight="1">
      <c r="A30" s="156"/>
      <c r="B30" s="143" t="s">
        <v>291</v>
      </c>
      <c r="C30" s="144"/>
      <c r="D30" s="144"/>
      <c r="E30" s="145"/>
    </row>
    <row r="31" spans="1:5" s="35" customFormat="1" ht="22" customHeight="1">
      <c r="A31" s="157"/>
      <c r="B31" s="143"/>
      <c r="C31" s="144"/>
      <c r="D31" s="144"/>
      <c r="E31" s="145"/>
    </row>
    <row r="32" spans="1:5" s="35" customFormat="1" ht="28.5" customHeight="1">
      <c r="A32" s="48" t="s">
        <v>143</v>
      </c>
      <c r="B32" s="143" t="s">
        <v>292</v>
      </c>
      <c r="C32" s="144"/>
      <c r="D32" s="144"/>
      <c r="E32" s="145"/>
    </row>
    <row r="33" spans="1:5" s="34" customFormat="1" ht="20" customHeight="1">
      <c r="A33" s="131" t="s">
        <v>293</v>
      </c>
      <c r="B33" s="132"/>
      <c r="C33" s="132"/>
      <c r="D33" s="132"/>
      <c r="E33" s="140"/>
    </row>
    <row r="34" spans="1:5" s="35" customFormat="1" ht="22" customHeight="1">
      <c r="A34" s="155" t="s">
        <v>138</v>
      </c>
      <c r="B34" s="141" t="s">
        <v>294</v>
      </c>
      <c r="C34" s="141"/>
      <c r="D34" s="141"/>
      <c r="E34" s="142"/>
    </row>
    <row r="35" spans="1:5" s="35" customFormat="1" ht="22" customHeight="1">
      <c r="A35" s="156"/>
      <c r="B35" s="143" t="s">
        <v>295</v>
      </c>
      <c r="C35" s="144"/>
      <c r="D35" s="144"/>
      <c r="E35" s="145"/>
    </row>
    <row r="36" spans="1:5" s="35" customFormat="1" ht="22" customHeight="1">
      <c r="A36" s="157"/>
      <c r="B36" s="143" t="s">
        <v>296</v>
      </c>
      <c r="C36" s="144"/>
      <c r="D36" s="144"/>
      <c r="E36" s="145"/>
    </row>
    <row r="37" spans="1:5" s="35" customFormat="1" ht="22" customHeight="1">
      <c r="A37" s="48" t="s">
        <v>143</v>
      </c>
      <c r="B37" s="141" t="s">
        <v>297</v>
      </c>
      <c r="C37" s="141"/>
      <c r="D37" s="141"/>
      <c r="E37" s="142"/>
    </row>
    <row r="38" spans="1:5" ht="20" customHeight="1">
      <c r="A38" s="136" t="s">
        <v>172</v>
      </c>
      <c r="B38" s="137"/>
      <c r="C38" s="137"/>
      <c r="D38" s="137"/>
      <c r="E38" s="138"/>
    </row>
    <row r="39" spans="1:5" s="34" customFormat="1" ht="19.5" customHeight="1">
      <c r="A39" s="121" t="s">
        <v>173</v>
      </c>
      <c r="B39" s="49" t="s">
        <v>174</v>
      </c>
      <c r="C39" s="139" t="s">
        <v>298</v>
      </c>
      <c r="D39" s="132"/>
      <c r="E39" s="140"/>
    </row>
    <row r="40" spans="1:5" s="34" customFormat="1" ht="19.5" customHeight="1">
      <c r="A40" s="121"/>
      <c r="B40" s="50" t="s">
        <v>176</v>
      </c>
      <c r="C40" s="139" t="s">
        <v>299</v>
      </c>
      <c r="D40" s="132"/>
      <c r="E40" s="140"/>
    </row>
    <row r="41" spans="1:5" s="34" customFormat="1" ht="19.5" customHeight="1">
      <c r="A41" s="121"/>
      <c r="B41" s="51" t="s">
        <v>178</v>
      </c>
      <c r="C41" s="139" t="s">
        <v>31</v>
      </c>
      <c r="D41" s="132"/>
      <c r="E41" s="140"/>
    </row>
    <row r="42" spans="1:5" s="34" customFormat="1" ht="25" customHeight="1">
      <c r="A42" s="47" t="s">
        <v>180</v>
      </c>
      <c r="B42" s="137"/>
      <c r="C42" s="137"/>
      <c r="D42" s="137"/>
      <c r="E42" s="138"/>
    </row>
    <row r="43" spans="1:5" s="36" customFormat="1" ht="20" customHeight="1">
      <c r="A43" s="136" t="s">
        <v>182</v>
      </c>
      <c r="B43" s="137"/>
      <c r="C43" s="137"/>
      <c r="D43" s="137"/>
      <c r="E43" s="138"/>
    </row>
    <row r="44" spans="1:5" s="34" customFormat="1" ht="20" customHeight="1">
      <c r="A44" s="52" t="s">
        <v>183</v>
      </c>
      <c r="B44" s="146" t="s">
        <v>184</v>
      </c>
      <c r="C44" s="146"/>
      <c r="D44" s="146"/>
      <c r="E44" s="147"/>
    </row>
    <row r="45" spans="1:5" s="34" customFormat="1" ht="20" customHeight="1">
      <c r="A45" s="52" t="s">
        <v>185</v>
      </c>
      <c r="B45" s="146" t="s">
        <v>186</v>
      </c>
      <c r="C45" s="146"/>
      <c r="D45" s="146"/>
      <c r="E45" s="147"/>
    </row>
    <row r="46" spans="1:5" s="36" customFormat="1" ht="20" customHeight="1">
      <c r="A46" s="136" t="s">
        <v>187</v>
      </c>
      <c r="B46" s="137"/>
      <c r="C46" s="137"/>
      <c r="D46" s="137"/>
      <c r="E46" s="138"/>
    </row>
    <row r="47" spans="1:5" s="36" customFormat="1" ht="20" customHeight="1">
      <c r="A47" s="172" t="s">
        <v>300</v>
      </c>
      <c r="B47" s="173"/>
      <c r="C47" s="173"/>
      <c r="D47" s="173"/>
      <c r="E47" s="174"/>
    </row>
    <row r="48" spans="1:5" s="34" customFormat="1" ht="20" customHeight="1">
      <c r="A48" s="148"/>
      <c r="B48" s="149"/>
      <c r="C48" s="149"/>
      <c r="D48" s="149"/>
      <c r="E48" s="150"/>
    </row>
    <row r="49" spans="1:5" s="34" customFormat="1" ht="20" customHeight="1">
      <c r="A49" s="151" t="s">
        <v>189</v>
      </c>
      <c r="B49" s="146"/>
      <c r="C49" s="146"/>
      <c r="D49" s="146"/>
      <c r="E49" s="147"/>
    </row>
    <row r="50" spans="1:5" ht="49" customHeight="1">
      <c r="A50" s="152"/>
      <c r="B50" s="153"/>
      <c r="C50" s="153"/>
      <c r="D50" s="153"/>
      <c r="E50" s="154"/>
    </row>
  </sheetData>
  <mergeCells count="53">
    <mergeCell ref="A50:E50"/>
    <mergeCell ref="A8:A12"/>
    <mergeCell ref="A17:A20"/>
    <mergeCell ref="A23:A26"/>
    <mergeCell ref="A29:A31"/>
    <mergeCell ref="A34:A36"/>
    <mergeCell ref="A39:A41"/>
    <mergeCell ref="A13:E14"/>
    <mergeCell ref="B45:E45"/>
    <mergeCell ref="A46:E46"/>
    <mergeCell ref="A47:E47"/>
    <mergeCell ref="A48:E48"/>
    <mergeCell ref="A49:E49"/>
    <mergeCell ref="C40:E40"/>
    <mergeCell ref="C41:E41"/>
    <mergeCell ref="B42:E42"/>
    <mergeCell ref="A43:E43"/>
    <mergeCell ref="B44:E44"/>
    <mergeCell ref="B35:E35"/>
    <mergeCell ref="B36:E36"/>
    <mergeCell ref="B37:E37"/>
    <mergeCell ref="A38:E38"/>
    <mergeCell ref="C39:E39"/>
    <mergeCell ref="B30:E30"/>
    <mergeCell ref="B31:E31"/>
    <mergeCell ref="B32:E32"/>
    <mergeCell ref="A33:E33"/>
    <mergeCell ref="B34:E34"/>
    <mergeCell ref="B25:E25"/>
    <mergeCell ref="B26:E26"/>
    <mergeCell ref="B27:E27"/>
    <mergeCell ref="A28:E28"/>
    <mergeCell ref="B29:E29"/>
    <mergeCell ref="B20:E20"/>
    <mergeCell ref="B21:E21"/>
    <mergeCell ref="A22:E22"/>
    <mergeCell ref="B23:E23"/>
    <mergeCell ref="B24:E24"/>
    <mergeCell ref="A15:E15"/>
    <mergeCell ref="A16:E16"/>
    <mergeCell ref="B17:E17"/>
    <mergeCell ref="B18:E18"/>
    <mergeCell ref="B19:E19"/>
    <mergeCell ref="B8:E8"/>
    <mergeCell ref="B9:E9"/>
    <mergeCell ref="B10:E10"/>
    <mergeCell ref="B11:E11"/>
    <mergeCell ref="B12:E12"/>
    <mergeCell ref="A3:D3"/>
    <mergeCell ref="A4:D4"/>
    <mergeCell ref="A5:C5"/>
    <mergeCell ref="A6:C6"/>
    <mergeCell ref="A7:C7"/>
  </mergeCell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A67"/>
  <sheetViews>
    <sheetView zoomScaleNormal="71" workbookViewId="0">
      <selection activeCell="Q31" sqref="Q31"/>
    </sheetView>
  </sheetViews>
  <sheetFormatPr baseColWidth="10" defaultColWidth="8.1640625" defaultRowHeight="15"/>
  <cols>
    <col min="1" max="1" width="1.5" customWidth="1"/>
    <col min="2" max="2" width="22.83203125" style="12" customWidth="1"/>
    <col min="3" max="3" width="32.1640625" style="12" customWidth="1"/>
    <col min="4" max="5" width="19.6640625" style="12" customWidth="1"/>
    <col min="6" max="6" width="6.6640625" style="12" customWidth="1"/>
    <col min="7" max="7" width="10.33203125" style="12" customWidth="1"/>
    <col min="8" max="8" width="39" style="21" customWidth="1"/>
    <col min="9" max="9" width="7.83203125" style="12" customWidth="1"/>
    <col min="10" max="11" width="9.1640625" style="12" customWidth="1"/>
    <col min="14" max="14" width="13.6640625" style="22" customWidth="1"/>
    <col min="15" max="15" width="8.33203125" style="22" customWidth="1"/>
    <col min="16" max="16" width="2" style="22" customWidth="1"/>
    <col min="17" max="17" width="7.83203125" style="22" customWidth="1"/>
    <col min="18" max="18" width="1.83203125" style="22" customWidth="1"/>
    <col min="19" max="19" width="1.33203125" style="22" customWidth="1"/>
    <col min="20" max="20" width="1.5" style="22" customWidth="1"/>
    <col min="21" max="21" width="1.83203125" style="22" customWidth="1"/>
    <col min="22" max="22" width="3.1640625" style="22" customWidth="1"/>
    <col min="23" max="23" width="1.33203125" style="22" customWidth="1"/>
    <col min="24" max="24" width="4" style="22" customWidth="1"/>
    <col min="25" max="25" width="2" style="22" customWidth="1"/>
    <col min="26" max="26" width="11.1640625" style="22" customWidth="1"/>
    <col min="27" max="27" width="33.6640625" style="22" customWidth="1"/>
  </cols>
  <sheetData>
    <row r="1" spans="2:27" s="19" customFormat="1" ht="18" customHeight="1">
      <c r="B1" s="23"/>
      <c r="C1" s="23"/>
      <c r="D1" s="23"/>
      <c r="E1" s="23"/>
      <c r="F1" s="23"/>
      <c r="G1" s="23"/>
      <c r="H1" s="24" t="s">
        <v>82</v>
      </c>
      <c r="J1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2:27" s="19" customFormat="1" ht="18" customHeight="1">
      <c r="B2" s="23"/>
      <c r="C2" s="23"/>
      <c r="D2" s="23"/>
      <c r="E2" s="23"/>
      <c r="F2" s="23"/>
      <c r="G2" s="23"/>
      <c r="H2" s="24" t="s">
        <v>301</v>
      </c>
      <c r="J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2:27" s="19" customFormat="1" ht="23.25" customHeight="1">
      <c r="B3" s="25"/>
      <c r="C3" s="26"/>
      <c r="D3" s="26"/>
      <c r="E3" s="26"/>
      <c r="F3" s="26"/>
      <c r="G3" s="26"/>
      <c r="H3" s="23"/>
      <c r="J3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2:27" ht="31" customHeight="1">
      <c r="B4" s="175" t="s">
        <v>302</v>
      </c>
      <c r="C4" s="175"/>
      <c r="D4" s="175"/>
      <c r="E4" s="175"/>
      <c r="F4" s="175"/>
      <c r="G4" s="175"/>
      <c r="H4" s="175"/>
      <c r="I4"/>
      <c r="J4"/>
      <c r="K4" s="22"/>
      <c r="L4" s="22"/>
      <c r="M4" s="22"/>
      <c r="Y4"/>
      <c r="Z4"/>
      <c r="AA4"/>
    </row>
    <row r="5" spans="2:27" s="20" customFormat="1" ht="37" customHeight="1">
      <c r="B5" s="176" t="s">
        <v>303</v>
      </c>
      <c r="C5" s="176"/>
      <c r="D5" s="176"/>
      <c r="E5" s="176"/>
      <c r="F5" s="176"/>
      <c r="G5" s="176"/>
      <c r="H5" s="176"/>
    </row>
    <row r="6" spans="2:27" ht="37" customHeight="1">
      <c r="B6" s="27" t="s">
        <v>304</v>
      </c>
      <c r="C6" s="181" t="str">
        <f>_xlfn.DISPIMG("ID_748810A729AD4F9CB534B572E01F4FD3",1)</f>
        <v>=DISPIMG("ID_748810A729AD4F9CB534B572E01F4FD3",1)</v>
      </c>
      <c r="D6" s="181"/>
      <c r="E6" s="181"/>
      <c r="F6" s="181"/>
      <c r="G6" s="181"/>
      <c r="H6" s="28" t="s">
        <v>305</v>
      </c>
      <c r="I6"/>
      <c r="J6"/>
      <c r="K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 spans="2:27" ht="37" customHeight="1">
      <c r="B7" s="180" t="s">
        <v>306</v>
      </c>
      <c r="C7" s="181"/>
      <c r="D7" s="181"/>
      <c r="E7" s="181"/>
      <c r="F7" s="181"/>
      <c r="G7" s="181"/>
      <c r="H7" s="185" t="s">
        <v>307</v>
      </c>
      <c r="I7"/>
      <c r="J7"/>
      <c r="K7"/>
      <c r="N7"/>
      <c r="O7"/>
      <c r="P7"/>
      <c r="Q7"/>
      <c r="R7"/>
      <c r="S7"/>
      <c r="T7"/>
      <c r="U7"/>
      <c r="V7"/>
      <c r="W7"/>
      <c r="X7"/>
      <c r="Y7"/>
      <c r="Z7"/>
      <c r="AA7"/>
    </row>
    <row r="8" spans="2:27" ht="37" customHeight="1">
      <c r="B8" s="181"/>
      <c r="C8" s="181"/>
      <c r="D8" s="181"/>
      <c r="E8" s="181"/>
      <c r="F8" s="181"/>
      <c r="G8" s="181"/>
      <c r="H8" s="183"/>
      <c r="I8"/>
      <c r="J8"/>
      <c r="K8"/>
      <c r="N8"/>
      <c r="O8"/>
      <c r="P8"/>
      <c r="Q8"/>
      <c r="R8"/>
      <c r="S8"/>
      <c r="T8"/>
      <c r="U8"/>
      <c r="V8"/>
      <c r="W8"/>
      <c r="X8"/>
      <c r="Y8"/>
      <c r="Z8"/>
      <c r="AA8"/>
    </row>
    <row r="9" spans="2:27" ht="37" customHeight="1">
      <c r="B9" s="182" t="s">
        <v>308</v>
      </c>
      <c r="C9" s="181"/>
      <c r="D9" s="181"/>
      <c r="E9" s="181"/>
      <c r="F9" s="181"/>
      <c r="G9" s="181"/>
      <c r="H9" s="182" t="s">
        <v>309</v>
      </c>
      <c r="I9"/>
      <c r="J9"/>
      <c r="K9"/>
      <c r="N9"/>
      <c r="O9"/>
      <c r="P9"/>
      <c r="Q9"/>
      <c r="R9"/>
      <c r="S9"/>
      <c r="T9"/>
      <c r="U9"/>
      <c r="V9"/>
      <c r="W9"/>
      <c r="X9"/>
      <c r="Y9"/>
      <c r="Z9"/>
      <c r="AA9"/>
    </row>
    <row r="10" spans="2:27" ht="37" customHeight="1">
      <c r="B10" s="183"/>
      <c r="C10" s="181"/>
      <c r="D10" s="181"/>
      <c r="E10" s="181"/>
      <c r="F10" s="181"/>
      <c r="G10" s="181"/>
      <c r="H10" s="183"/>
      <c r="I10"/>
      <c r="J10"/>
      <c r="K10"/>
      <c r="N10"/>
      <c r="O10"/>
      <c r="P10"/>
      <c r="Q10"/>
      <c r="R10"/>
      <c r="S10"/>
      <c r="T10"/>
      <c r="U10"/>
      <c r="V10"/>
      <c r="W10"/>
      <c r="X10"/>
      <c r="Y10"/>
      <c r="Z10"/>
      <c r="AA10"/>
    </row>
    <row r="11" spans="2:27" ht="37" customHeight="1">
      <c r="B11" s="182" t="s">
        <v>308</v>
      </c>
      <c r="C11" s="181"/>
      <c r="D11" s="181"/>
      <c r="E11" s="181"/>
      <c r="F11" s="181"/>
      <c r="G11" s="181"/>
      <c r="H11" s="182" t="s">
        <v>310</v>
      </c>
      <c r="I11"/>
      <c r="J11"/>
      <c r="K11"/>
      <c r="N11"/>
      <c r="O11"/>
      <c r="P11"/>
      <c r="Q11"/>
      <c r="R11"/>
      <c r="S11"/>
      <c r="T11"/>
      <c r="U11"/>
      <c r="V11"/>
      <c r="W11"/>
      <c r="X11"/>
      <c r="Y11"/>
      <c r="Z11"/>
      <c r="AA11"/>
    </row>
    <row r="12" spans="2:27" ht="37" customHeight="1">
      <c r="B12" s="183"/>
      <c r="C12" s="181"/>
      <c r="D12" s="181"/>
      <c r="E12" s="181"/>
      <c r="F12" s="181"/>
      <c r="G12" s="181"/>
      <c r="H12" s="183"/>
      <c r="I12"/>
      <c r="J12"/>
      <c r="K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2:27" ht="37" customHeight="1">
      <c r="B13" s="28" t="s">
        <v>311</v>
      </c>
      <c r="C13" s="181"/>
      <c r="D13" s="181"/>
      <c r="E13" s="181"/>
      <c r="F13" s="181"/>
      <c r="G13" s="181"/>
      <c r="H13" s="28" t="s">
        <v>312</v>
      </c>
      <c r="I13"/>
      <c r="J13"/>
      <c r="K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2:27" ht="37" customHeight="1">
      <c r="B14" s="184" t="s">
        <v>313</v>
      </c>
      <c r="C14" s="181"/>
      <c r="D14" s="181"/>
      <c r="E14" s="181"/>
      <c r="F14" s="181"/>
      <c r="G14" s="181"/>
      <c r="H14" s="186" t="s">
        <v>314</v>
      </c>
      <c r="I14"/>
      <c r="J14"/>
      <c r="K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2:27" ht="37" customHeight="1">
      <c r="B15" s="183"/>
      <c r="C15" s="181"/>
      <c r="D15" s="181"/>
      <c r="E15" s="181"/>
      <c r="F15" s="181"/>
      <c r="G15" s="181"/>
      <c r="H15" s="183"/>
      <c r="I15"/>
      <c r="J15"/>
      <c r="K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2:27" ht="37" customHeight="1">
      <c r="B16" s="183"/>
      <c r="C16" s="181"/>
      <c r="D16" s="181"/>
      <c r="E16" s="181"/>
      <c r="F16" s="181"/>
      <c r="G16" s="181"/>
      <c r="H16" s="183"/>
      <c r="I16"/>
      <c r="J16"/>
      <c r="K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2:27" ht="37" customHeight="1">
      <c r="B17" s="182" t="s">
        <v>315</v>
      </c>
      <c r="C17" s="181"/>
      <c r="D17" s="181"/>
      <c r="E17" s="181"/>
      <c r="F17" s="181"/>
      <c r="G17" s="181"/>
      <c r="H17" s="186" t="s">
        <v>316</v>
      </c>
      <c r="I17"/>
      <c r="J17"/>
      <c r="K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2:27" ht="37" customHeight="1">
      <c r="B18" s="183"/>
      <c r="C18" s="181"/>
      <c r="D18" s="181"/>
      <c r="E18" s="181"/>
      <c r="F18" s="181"/>
      <c r="G18" s="181"/>
      <c r="H18" s="183"/>
      <c r="I18"/>
      <c r="J18"/>
      <c r="K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2:27" ht="37" customHeight="1">
      <c r="B19" s="182" t="s">
        <v>308</v>
      </c>
      <c r="C19" s="181"/>
      <c r="D19" s="181"/>
      <c r="E19" s="181"/>
      <c r="F19" s="181"/>
      <c r="G19" s="181"/>
      <c r="H19" s="182" t="s">
        <v>317</v>
      </c>
      <c r="I19"/>
      <c r="J19"/>
      <c r="K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2:27" ht="37" customHeight="1">
      <c r="B20" s="183"/>
      <c r="C20" s="181"/>
      <c r="D20" s="181"/>
      <c r="E20" s="181"/>
      <c r="F20" s="181"/>
      <c r="G20" s="181"/>
      <c r="H20" s="183"/>
      <c r="I20"/>
      <c r="J20"/>
      <c r="K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2:27" ht="37" customHeight="1">
      <c r="B21" s="183"/>
      <c r="C21" s="181"/>
      <c r="D21" s="181"/>
      <c r="E21" s="181"/>
      <c r="F21" s="181"/>
      <c r="G21" s="181"/>
      <c r="H21" s="183"/>
      <c r="I21"/>
      <c r="J21"/>
      <c r="K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2:27" ht="37" customHeight="1">
      <c r="B22" s="182" t="s">
        <v>318</v>
      </c>
      <c r="C22" s="181"/>
      <c r="D22" s="181"/>
      <c r="E22" s="181"/>
      <c r="F22" s="181"/>
      <c r="G22" s="181"/>
      <c r="H22" s="182" t="s">
        <v>317</v>
      </c>
      <c r="I22"/>
      <c r="J22"/>
      <c r="K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2:27" ht="37" customHeight="1">
      <c r="B23" s="183"/>
      <c r="C23" s="181"/>
      <c r="D23" s="181"/>
      <c r="E23" s="181"/>
      <c r="F23" s="181"/>
      <c r="G23" s="181"/>
      <c r="H23" s="183"/>
      <c r="I23"/>
      <c r="J23"/>
      <c r="K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2:27" ht="37" customHeight="1">
      <c r="B24" s="183"/>
      <c r="C24" s="181"/>
      <c r="D24" s="181"/>
      <c r="E24" s="181"/>
      <c r="F24" s="181"/>
      <c r="G24" s="181"/>
      <c r="H24" s="183"/>
      <c r="I24"/>
      <c r="J24"/>
      <c r="K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2:27" ht="37" customHeight="1">
      <c r="C25" s="177" t="s">
        <v>319</v>
      </c>
      <c r="D25" s="178"/>
      <c r="E25" s="178"/>
      <c r="F25" s="178"/>
      <c r="G25" s="178"/>
      <c r="H25" s="178"/>
      <c r="I25"/>
      <c r="J25"/>
      <c r="K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2:27" ht="165" customHeight="1">
      <c r="C26" s="179" t="str">
        <f>_xlfn.DISPIMG("ID_4F7350FEB75C4953906E7EF7330823CD",1)</f>
        <v>=DISPIMG("ID_4F7350FEB75C4953906E7EF7330823CD",1)</v>
      </c>
      <c r="D26" s="179"/>
      <c r="E26" s="179"/>
      <c r="F26" s="179"/>
      <c r="G26" s="179"/>
      <c r="H26" s="22"/>
      <c r="I26"/>
      <c r="J26"/>
      <c r="K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2:27" ht="19.5" customHeight="1">
      <c r="C27" s="22"/>
      <c r="D27" s="22"/>
      <c r="E27" s="22"/>
      <c r="F27" s="22"/>
      <c r="G27" s="22"/>
      <c r="H27" s="22"/>
      <c r="I27"/>
      <c r="J27"/>
      <c r="K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2:27" ht="19.5" customHeight="1">
      <c r="C28" s="22"/>
      <c r="D28" s="22"/>
      <c r="E28" s="22"/>
      <c r="F28" s="22"/>
      <c r="G28" s="22"/>
      <c r="H28" s="22"/>
      <c r="I28"/>
      <c r="J28"/>
      <c r="K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2:27" ht="19.5" customHeight="1">
      <c r="C29" s="29" t="s">
        <v>320</v>
      </c>
      <c r="D29" s="29"/>
      <c r="E29" s="29" t="s">
        <v>321</v>
      </c>
      <c r="F29" s="29"/>
      <c r="G29" s="29"/>
      <c r="H29" s="29"/>
      <c r="I29"/>
      <c r="J29"/>
      <c r="K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2:27" ht="19.5" customHeight="1">
      <c r="C30" s="178"/>
      <c r="D30" s="178"/>
      <c r="E30" s="178"/>
      <c r="F30" s="178"/>
      <c r="G30" s="178"/>
      <c r="H30" s="178"/>
      <c r="I30"/>
      <c r="J30"/>
      <c r="K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2:27" ht="186" customHeight="1">
      <c r="B31"/>
      <c r="C31" s="12" t="str">
        <f>_xlfn.DISPIMG("ID_E6DC4C45B7D4454D98FA89B0EED4E192",1)</f>
        <v>=DISPIMG("ID_E6DC4C45B7D4454D98FA89B0EED4E192",1)</v>
      </c>
      <c r="D31" s="22"/>
      <c r="E31" s="22" t="str">
        <f>_xlfn.DISPIMG("ID_F1A3F9A9E23D4A32B146B1F598D39269",1)</f>
        <v>=DISPIMG("ID_F1A3F9A9E23D4A32B146B1F598D39269",1)</v>
      </c>
      <c r="F31" s="22"/>
      <c r="G31" s="22"/>
      <c r="H31" s="22"/>
      <c r="I31"/>
      <c r="J31"/>
      <c r="K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2:27" ht="19.5" customHeight="1">
      <c r="C32" s="22"/>
      <c r="D32" s="22"/>
      <c r="E32" s="22"/>
      <c r="F32" s="22"/>
      <c r="G32" s="22"/>
      <c r="H32" s="22"/>
      <c r="I32"/>
      <c r="J32"/>
      <c r="K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  <row r="33" spans="3:27" ht="19.5" customHeight="1">
      <c r="C33" s="22"/>
      <c r="D33" s="22"/>
      <c r="E33" s="22"/>
      <c r="F33" s="22"/>
      <c r="G33" s="22"/>
      <c r="H33" s="22"/>
      <c r="I33"/>
      <c r="J33"/>
      <c r="K33"/>
      <c r="N33"/>
      <c r="O33"/>
      <c r="P33"/>
      <c r="Q33"/>
      <c r="R33"/>
      <c r="S33"/>
      <c r="T33"/>
      <c r="U33"/>
      <c r="V33"/>
      <c r="W33"/>
      <c r="X33"/>
      <c r="Y33"/>
      <c r="Z33"/>
      <c r="AA33"/>
    </row>
    <row r="34" spans="3:27" ht="19.5" customHeight="1">
      <c r="C34" s="22"/>
      <c r="D34" s="22"/>
      <c r="E34" s="22"/>
      <c r="F34" s="22"/>
      <c r="G34" s="22"/>
      <c r="H34" s="22"/>
      <c r="I34"/>
      <c r="J34"/>
      <c r="K34"/>
      <c r="N34"/>
      <c r="O34"/>
      <c r="P34"/>
      <c r="Q34"/>
      <c r="R34"/>
      <c r="S34"/>
      <c r="T34"/>
      <c r="U34"/>
      <c r="V34"/>
      <c r="W34"/>
      <c r="X34"/>
      <c r="Y34"/>
      <c r="Z34"/>
      <c r="AA34"/>
    </row>
    <row r="35" spans="3:27" ht="19.5" customHeight="1">
      <c r="C35" s="22"/>
      <c r="D35" s="22"/>
      <c r="E35" s="22"/>
      <c r="F35" s="22"/>
      <c r="G35" s="22"/>
      <c r="H35" s="22"/>
      <c r="I35"/>
      <c r="J35"/>
      <c r="K35"/>
      <c r="N35"/>
      <c r="O35"/>
      <c r="P35"/>
      <c r="Q35"/>
      <c r="R35"/>
      <c r="S35"/>
      <c r="T35"/>
      <c r="U35"/>
      <c r="V35"/>
      <c r="W35"/>
      <c r="X35"/>
      <c r="Y35"/>
      <c r="Z35"/>
      <c r="AA35"/>
    </row>
    <row r="36" spans="3:27" ht="19.5" customHeight="1">
      <c r="C36" s="22"/>
      <c r="D36" s="22"/>
      <c r="E36" s="22"/>
      <c r="F36" s="22"/>
      <c r="G36" s="22"/>
      <c r="H36" s="22"/>
      <c r="I36"/>
      <c r="J36"/>
      <c r="K36"/>
      <c r="N36"/>
      <c r="O36"/>
      <c r="P36"/>
      <c r="Q36"/>
      <c r="R36"/>
      <c r="S36"/>
      <c r="T36"/>
      <c r="U36"/>
      <c r="V36"/>
      <c r="W36"/>
      <c r="X36"/>
      <c r="Y36"/>
      <c r="Z36"/>
      <c r="AA36"/>
    </row>
    <row r="37" spans="3:27" ht="19.5" customHeight="1">
      <c r="C37" s="22"/>
      <c r="D37" s="22"/>
      <c r="E37" s="22"/>
      <c r="F37" s="22"/>
      <c r="G37" s="22"/>
      <c r="H37" s="22"/>
      <c r="I37"/>
      <c r="J37"/>
      <c r="K37"/>
      <c r="N37"/>
      <c r="O37"/>
      <c r="P37"/>
      <c r="Q37"/>
      <c r="R37"/>
      <c r="S37"/>
      <c r="T37"/>
      <c r="U37"/>
      <c r="V37"/>
      <c r="W37"/>
      <c r="X37"/>
      <c r="Y37"/>
      <c r="Z37"/>
      <c r="AA37"/>
    </row>
    <row r="38" spans="3:27" ht="19.5" customHeight="1">
      <c r="C38" s="22"/>
      <c r="D38" s="22"/>
      <c r="E38" s="22"/>
      <c r="F38" s="22"/>
      <c r="G38" s="22"/>
      <c r="H38" s="22"/>
      <c r="I38"/>
      <c r="J38"/>
      <c r="K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3:27" ht="19.5" customHeight="1">
      <c r="C39" s="22"/>
      <c r="D39" s="22"/>
      <c r="E39" s="22"/>
      <c r="F39" s="22"/>
      <c r="G39" s="22"/>
      <c r="H39" s="22"/>
      <c r="I39"/>
      <c r="J39"/>
      <c r="K39"/>
      <c r="N39"/>
      <c r="O39"/>
      <c r="P39"/>
      <c r="Q39"/>
      <c r="R39"/>
      <c r="S39"/>
      <c r="T39"/>
      <c r="U39"/>
      <c r="V39"/>
      <c r="W39"/>
      <c r="X39"/>
      <c r="Y39"/>
      <c r="Z39"/>
      <c r="AA39"/>
    </row>
    <row r="40" spans="3:27" ht="19.5" customHeight="1">
      <c r="C40" s="22"/>
      <c r="D40" s="22"/>
      <c r="E40" s="22"/>
      <c r="F40" s="22"/>
      <c r="G40" s="22"/>
      <c r="H40" s="22"/>
      <c r="I40"/>
      <c r="J40"/>
      <c r="K40"/>
      <c r="N40"/>
      <c r="O40"/>
      <c r="P40"/>
      <c r="Q40"/>
      <c r="R40"/>
      <c r="S40"/>
      <c r="T40"/>
      <c r="U40"/>
      <c r="V40"/>
      <c r="W40"/>
      <c r="X40"/>
      <c r="Y40"/>
      <c r="Z40"/>
      <c r="AA40"/>
    </row>
    <row r="41" spans="3:27" ht="19.5" customHeight="1">
      <c r="C41" s="22"/>
      <c r="D41" s="22"/>
      <c r="E41" s="22"/>
      <c r="F41" s="22"/>
      <c r="G41" s="22"/>
      <c r="H41" s="22"/>
      <c r="I41"/>
      <c r="J41"/>
      <c r="K41"/>
      <c r="N41"/>
      <c r="O41"/>
      <c r="P41"/>
      <c r="Q41"/>
      <c r="R41"/>
      <c r="S41"/>
      <c r="T41"/>
      <c r="U41"/>
      <c r="V41"/>
      <c r="W41"/>
      <c r="X41"/>
      <c r="Y41"/>
      <c r="Z41"/>
      <c r="AA41"/>
    </row>
    <row r="42" spans="3:27" ht="19.5" customHeight="1">
      <c r="C42" s="22"/>
      <c r="D42" s="22"/>
      <c r="E42" s="22"/>
      <c r="F42" s="22"/>
      <c r="G42" s="22"/>
      <c r="H42" s="22"/>
      <c r="I42"/>
      <c r="J42"/>
      <c r="K42"/>
      <c r="N42"/>
      <c r="O42"/>
      <c r="P42"/>
      <c r="Q42"/>
      <c r="R42"/>
      <c r="S42"/>
      <c r="T42"/>
      <c r="U42"/>
      <c r="V42"/>
      <c r="W42"/>
      <c r="X42"/>
      <c r="Y42"/>
      <c r="Z42"/>
      <c r="AA42"/>
    </row>
    <row r="43" spans="3:27" ht="19.5" customHeight="1">
      <c r="C43" s="22"/>
      <c r="D43" s="22"/>
      <c r="E43" s="22"/>
      <c r="F43" s="22"/>
      <c r="G43" s="22"/>
      <c r="H43" s="22"/>
      <c r="I43"/>
      <c r="J43"/>
      <c r="K43"/>
      <c r="N43"/>
      <c r="O43"/>
      <c r="P43"/>
      <c r="Q43"/>
      <c r="R43"/>
      <c r="S43"/>
      <c r="T43"/>
      <c r="U43"/>
      <c r="V43"/>
      <c r="W43"/>
      <c r="X43"/>
      <c r="Y43"/>
      <c r="Z43"/>
      <c r="AA43"/>
    </row>
    <row r="44" spans="3:27" ht="19.5" customHeight="1">
      <c r="C44" s="22"/>
      <c r="D44" s="22"/>
      <c r="E44" s="22"/>
      <c r="F44" s="22"/>
      <c r="G44" s="22"/>
      <c r="H44" s="22"/>
      <c r="I44"/>
      <c r="J44"/>
      <c r="K44"/>
      <c r="N44"/>
      <c r="O44"/>
      <c r="P44"/>
      <c r="Q44"/>
      <c r="R44"/>
      <c r="S44"/>
      <c r="T44"/>
      <c r="U44"/>
      <c r="V44"/>
      <c r="W44"/>
      <c r="X44"/>
      <c r="Y44"/>
      <c r="Z44"/>
      <c r="AA44"/>
    </row>
    <row r="45" spans="3:27" ht="19.5" customHeight="1">
      <c r="C45" s="22"/>
      <c r="D45" s="22"/>
      <c r="E45" s="22"/>
      <c r="F45" s="22"/>
      <c r="G45" s="22"/>
      <c r="H45" s="22"/>
      <c r="I45"/>
      <c r="J45"/>
      <c r="K45"/>
      <c r="N45"/>
      <c r="O45"/>
      <c r="P45"/>
      <c r="Q45"/>
      <c r="R45"/>
      <c r="S45"/>
      <c r="T45"/>
      <c r="U45"/>
      <c r="V45"/>
      <c r="W45"/>
      <c r="X45"/>
      <c r="Y45"/>
      <c r="Z45"/>
      <c r="AA45"/>
    </row>
    <row r="46" spans="3:27" ht="19.5" customHeight="1">
      <c r="C46" s="22"/>
      <c r="D46" s="22"/>
      <c r="E46" s="22"/>
      <c r="F46" s="22"/>
      <c r="G46" s="22"/>
      <c r="H46" s="22"/>
      <c r="I46"/>
      <c r="J46"/>
      <c r="K46"/>
      <c r="N46"/>
      <c r="O46"/>
      <c r="P46"/>
      <c r="Q46"/>
      <c r="R46"/>
      <c r="S46"/>
      <c r="T46"/>
      <c r="U46"/>
      <c r="V46"/>
      <c r="W46"/>
      <c r="X46"/>
      <c r="Y46"/>
      <c r="Z46"/>
      <c r="AA46"/>
    </row>
    <row r="47" spans="3:27" ht="19.5" customHeight="1">
      <c r="C47" s="22"/>
      <c r="D47" s="22"/>
      <c r="E47" s="22"/>
      <c r="F47" s="22"/>
      <c r="G47" s="22"/>
      <c r="H47" s="22"/>
      <c r="I47"/>
      <c r="J47"/>
      <c r="K47"/>
      <c r="N47"/>
      <c r="O47"/>
      <c r="P47"/>
      <c r="Q47"/>
      <c r="R47"/>
      <c r="S47"/>
      <c r="T47"/>
      <c r="U47"/>
      <c r="V47"/>
      <c r="W47"/>
      <c r="X47"/>
      <c r="Y47"/>
      <c r="Z47"/>
      <c r="AA47"/>
    </row>
    <row r="48" spans="3:27" ht="19.5" customHeight="1">
      <c r="C48" s="22"/>
      <c r="D48" s="22"/>
      <c r="E48" s="22"/>
      <c r="F48" s="22"/>
      <c r="G48" s="22"/>
      <c r="H48" s="22"/>
      <c r="I48"/>
      <c r="J48"/>
      <c r="K48"/>
      <c r="N48"/>
      <c r="O48"/>
      <c r="P48"/>
      <c r="Q48"/>
      <c r="R48"/>
      <c r="S48"/>
      <c r="T48"/>
      <c r="U48"/>
      <c r="V48"/>
      <c r="W48"/>
      <c r="X48"/>
      <c r="Y48"/>
      <c r="Z48"/>
      <c r="AA48"/>
    </row>
    <row r="49" spans="3:27" ht="19.5" customHeight="1">
      <c r="C49" s="22"/>
      <c r="D49" s="22"/>
      <c r="E49" s="22"/>
      <c r="F49" s="22"/>
      <c r="G49" s="22"/>
      <c r="H49" s="22"/>
      <c r="I49"/>
      <c r="J49"/>
      <c r="K49"/>
      <c r="N49"/>
      <c r="O49"/>
      <c r="P49"/>
      <c r="Q49"/>
      <c r="R49"/>
      <c r="S49"/>
      <c r="T49"/>
      <c r="U49"/>
      <c r="V49"/>
      <c r="W49"/>
      <c r="X49"/>
      <c r="Y49"/>
      <c r="Z49"/>
      <c r="AA49"/>
    </row>
    <row r="50" spans="3:27" ht="19.5" customHeight="1">
      <c r="C50" s="22"/>
      <c r="D50" s="22"/>
      <c r="E50" s="22"/>
      <c r="F50" s="22"/>
      <c r="G50" s="22"/>
      <c r="H50" s="22"/>
      <c r="I50"/>
      <c r="J50"/>
      <c r="K50"/>
      <c r="N50"/>
      <c r="O50"/>
      <c r="P50"/>
      <c r="Q50"/>
      <c r="R50"/>
      <c r="S50"/>
      <c r="T50"/>
      <c r="U50"/>
      <c r="V50"/>
      <c r="W50"/>
      <c r="X50"/>
      <c r="Y50"/>
      <c r="Z50"/>
      <c r="AA50"/>
    </row>
    <row r="51" spans="3:27" ht="19.5" customHeight="1">
      <c r="C51" s="22"/>
      <c r="D51" s="22"/>
      <c r="E51" s="22"/>
      <c r="F51" s="22"/>
      <c r="G51" s="22"/>
      <c r="H51" s="22"/>
      <c r="I51"/>
      <c r="J51"/>
      <c r="K51"/>
      <c r="N51"/>
      <c r="O51"/>
      <c r="P51"/>
      <c r="Q51"/>
      <c r="R51"/>
      <c r="S51"/>
      <c r="T51"/>
      <c r="U51"/>
      <c r="V51"/>
      <c r="W51"/>
      <c r="X51"/>
      <c r="Y51"/>
      <c r="Z51"/>
      <c r="AA51"/>
    </row>
    <row r="52" spans="3:27" ht="19.5" customHeight="1">
      <c r="C52" s="22"/>
      <c r="D52" s="22"/>
      <c r="E52" s="22"/>
      <c r="F52" s="22"/>
      <c r="G52" s="22"/>
      <c r="H52" s="22"/>
      <c r="I52"/>
      <c r="J52"/>
      <c r="K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3:27" ht="19.5" customHeight="1">
      <c r="C53" s="22"/>
      <c r="D53" s="22"/>
      <c r="E53" s="22"/>
      <c r="F53" s="22"/>
      <c r="G53" s="22"/>
      <c r="H53" s="22"/>
      <c r="I53"/>
      <c r="J53"/>
      <c r="K53"/>
      <c r="N53"/>
      <c r="O53"/>
      <c r="P53"/>
      <c r="Q53"/>
      <c r="R53"/>
      <c r="S53"/>
      <c r="T53"/>
      <c r="U53"/>
      <c r="V53"/>
      <c r="W53"/>
      <c r="X53"/>
      <c r="Y53"/>
      <c r="Z53"/>
      <c r="AA53"/>
    </row>
    <row r="54" spans="3:27" ht="19.5" customHeight="1">
      <c r="C54" s="22"/>
      <c r="D54" s="22"/>
      <c r="E54" s="22"/>
      <c r="F54" s="22"/>
      <c r="G54" s="22"/>
      <c r="H54" s="22"/>
      <c r="I54"/>
      <c r="J54"/>
      <c r="K54"/>
      <c r="N54"/>
      <c r="O54"/>
      <c r="P54"/>
      <c r="Q54"/>
      <c r="R54"/>
      <c r="S54"/>
      <c r="T54"/>
      <c r="U54"/>
      <c r="V54"/>
      <c r="W54"/>
      <c r="X54"/>
      <c r="Y54"/>
      <c r="Z54"/>
      <c r="AA54"/>
    </row>
    <row r="55" spans="3:27" ht="19.5" customHeight="1">
      <c r="C55" s="22"/>
      <c r="D55" s="22"/>
      <c r="E55" s="22"/>
      <c r="F55" s="22"/>
      <c r="G55" s="22"/>
      <c r="H55" s="22"/>
      <c r="I55"/>
      <c r="J55"/>
      <c r="K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3:27" ht="19.5" customHeight="1">
      <c r="C56" s="22"/>
      <c r="D56" s="22"/>
      <c r="E56" s="22"/>
      <c r="F56" s="22"/>
      <c r="G56" s="22"/>
      <c r="H56" s="22"/>
      <c r="I56"/>
      <c r="J56"/>
      <c r="K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3:27" ht="19.5" customHeight="1">
      <c r="C57" s="22"/>
      <c r="D57" s="22"/>
      <c r="E57" s="22"/>
      <c r="F57" s="22"/>
      <c r="G57" s="22"/>
      <c r="H57" s="22"/>
      <c r="I57"/>
      <c r="J57"/>
      <c r="K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3:27" ht="19.5" customHeight="1">
      <c r="C58" s="22"/>
      <c r="D58" s="22"/>
      <c r="E58" s="22"/>
      <c r="F58" s="22"/>
      <c r="G58" s="22"/>
      <c r="H58" s="22"/>
      <c r="I58"/>
      <c r="J58"/>
      <c r="K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3:27" ht="19.5" customHeight="1">
      <c r="C59" s="22"/>
      <c r="D59" s="22"/>
      <c r="E59" s="22"/>
      <c r="F59" s="22"/>
      <c r="G59" s="22"/>
      <c r="H59" s="22"/>
      <c r="I59"/>
      <c r="J59"/>
      <c r="K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3:27" ht="19.5" customHeight="1">
      <c r="C60" s="22"/>
      <c r="D60" s="22"/>
      <c r="E60" s="22"/>
      <c r="F60" s="22"/>
      <c r="G60" s="22"/>
      <c r="H60" s="22"/>
      <c r="I60"/>
      <c r="J60"/>
      <c r="K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3:27" ht="19.5" customHeight="1">
      <c r="C61" s="22"/>
      <c r="D61" s="22"/>
      <c r="E61" s="22"/>
      <c r="F61" s="22"/>
      <c r="G61" s="22"/>
      <c r="H61" s="22"/>
      <c r="I61"/>
      <c r="J61"/>
      <c r="K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3:27" ht="19.5" customHeight="1">
      <c r="C62" s="22"/>
      <c r="D62" s="22"/>
      <c r="E62" s="22"/>
      <c r="F62" s="22"/>
      <c r="G62" s="22"/>
      <c r="H62" s="22"/>
      <c r="I62"/>
      <c r="J62"/>
      <c r="K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3:27" ht="19.5" customHeight="1">
      <c r="C63" s="22"/>
      <c r="D63" s="22"/>
      <c r="E63" s="22"/>
      <c r="F63" s="22"/>
      <c r="G63" s="22"/>
      <c r="H63" s="22"/>
      <c r="I63"/>
      <c r="J63"/>
      <c r="K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3:27">
      <c r="C64" s="22"/>
      <c r="D64" s="22"/>
      <c r="E64" s="22"/>
      <c r="F64" s="22"/>
      <c r="G64" s="22"/>
      <c r="H64" s="22"/>
      <c r="I64"/>
      <c r="J64"/>
      <c r="K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3:27">
      <c r="C65" s="22"/>
      <c r="D65" s="22"/>
      <c r="E65" s="22"/>
      <c r="F65" s="22"/>
      <c r="G65" s="22"/>
      <c r="H65" s="22"/>
      <c r="I65"/>
      <c r="J65"/>
      <c r="K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7" spans="3:27" ht="21.75" customHeight="1">
      <c r="H67" s="30" t="s">
        <v>322</v>
      </c>
    </row>
  </sheetData>
  <mergeCells count="20">
    <mergeCell ref="H17:H18"/>
    <mergeCell ref="H19:H21"/>
    <mergeCell ref="H22:H24"/>
    <mergeCell ref="C6:G24"/>
    <mergeCell ref="B4:H4"/>
    <mergeCell ref="B5:H5"/>
    <mergeCell ref="C25:H25"/>
    <mergeCell ref="C26:G26"/>
    <mergeCell ref="C30:H30"/>
    <mergeCell ref="B7:B8"/>
    <mergeCell ref="B9:B10"/>
    <mergeCell ref="B11:B12"/>
    <mergeCell ref="B14:B16"/>
    <mergeCell ref="B17:B18"/>
    <mergeCell ref="B19:B21"/>
    <mergeCell ref="B22:B24"/>
    <mergeCell ref="H7:H8"/>
    <mergeCell ref="H9:H10"/>
    <mergeCell ref="H11:H12"/>
    <mergeCell ref="H14:H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M21" sqref="M21"/>
    </sheetView>
  </sheetViews>
  <sheetFormatPr baseColWidth="10" defaultColWidth="8.1640625"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1"/>
  <sheetViews>
    <sheetView zoomScale="161" workbookViewId="0">
      <selection activeCell="C17" sqref="C17"/>
    </sheetView>
  </sheetViews>
  <sheetFormatPr baseColWidth="10" defaultColWidth="9" defaultRowHeight="15"/>
  <cols>
    <col min="1" max="1" width="10" style="12" customWidth="1"/>
    <col min="2" max="2" width="49" style="12" customWidth="1"/>
    <col min="3" max="3" width="13.6640625" style="12" customWidth="1"/>
    <col min="4" max="4" width="13.1640625" style="12" customWidth="1"/>
    <col min="5" max="6" width="14.6640625" style="12" customWidth="1"/>
    <col min="7" max="7" width="13.6640625" style="12" customWidth="1"/>
    <col min="8" max="8" width="13.1640625" style="12" customWidth="1"/>
  </cols>
  <sheetData>
    <row r="1" spans="1:8" ht="29.5" customHeight="1">
      <c r="A1" s="106" t="s">
        <v>323</v>
      </c>
      <c r="B1" s="106"/>
      <c r="C1" s="106"/>
      <c r="D1" s="106"/>
      <c r="E1" s="106"/>
      <c r="F1" s="106"/>
      <c r="G1" s="106"/>
      <c r="H1" s="106"/>
    </row>
    <row r="2" spans="1:8" ht="24.5" customHeight="1">
      <c r="A2" s="13" t="s">
        <v>100</v>
      </c>
      <c r="B2" s="13" t="s">
        <v>324</v>
      </c>
      <c r="C2" s="13" t="s">
        <v>325</v>
      </c>
      <c r="D2" s="13" t="s">
        <v>326</v>
      </c>
      <c r="E2" s="13" t="s">
        <v>327</v>
      </c>
      <c r="F2" s="13" t="s">
        <v>328</v>
      </c>
      <c r="G2" s="13" t="s">
        <v>329</v>
      </c>
      <c r="H2" s="13" t="s">
        <v>106</v>
      </c>
    </row>
    <row r="3" spans="1:8" ht="23" customHeight="1">
      <c r="A3" s="14" t="s">
        <v>330</v>
      </c>
      <c r="B3" s="14" t="s">
        <v>331</v>
      </c>
      <c r="C3" s="15"/>
      <c r="D3" s="15"/>
      <c r="E3" s="15"/>
      <c r="F3" s="15"/>
      <c r="G3" s="15"/>
      <c r="H3" s="15"/>
    </row>
    <row r="4" spans="1:8" ht="20" customHeight="1">
      <c r="A4" s="13">
        <v>1</v>
      </c>
      <c r="B4" s="16" t="s">
        <v>332</v>
      </c>
      <c r="C4" s="17"/>
      <c r="D4" s="13"/>
      <c r="E4" s="13" t="s">
        <v>333</v>
      </c>
      <c r="F4" s="13"/>
      <c r="G4" s="13"/>
      <c r="H4" s="13"/>
    </row>
    <row r="5" spans="1:8" ht="20" customHeight="1">
      <c r="A5" s="13">
        <v>2</v>
      </c>
      <c r="B5" s="16" t="s">
        <v>334</v>
      </c>
      <c r="C5" s="17"/>
      <c r="D5" s="13"/>
      <c r="E5" s="13" t="s">
        <v>32</v>
      </c>
      <c r="F5" s="13"/>
      <c r="G5" s="13"/>
      <c r="H5" s="13"/>
    </row>
    <row r="6" spans="1:8" ht="20" customHeight="1">
      <c r="A6" s="13">
        <v>3</v>
      </c>
      <c r="B6" s="16" t="s">
        <v>335</v>
      </c>
      <c r="C6" s="17"/>
      <c r="D6" s="13"/>
      <c r="E6" s="13" t="s">
        <v>35</v>
      </c>
      <c r="F6" s="13"/>
      <c r="G6" s="13"/>
      <c r="H6" s="13"/>
    </row>
    <row r="7" spans="1:8" ht="20" customHeight="1">
      <c r="A7" s="13">
        <v>4</v>
      </c>
      <c r="B7" s="16" t="s">
        <v>336</v>
      </c>
      <c r="C7" s="17"/>
      <c r="D7" s="13"/>
      <c r="E7" s="13" t="s">
        <v>337</v>
      </c>
      <c r="F7" s="13"/>
      <c r="G7" s="13"/>
      <c r="H7" s="13"/>
    </row>
    <row r="8" spans="1:8" ht="20" customHeight="1">
      <c r="A8" s="13">
        <v>6</v>
      </c>
      <c r="B8" s="16"/>
      <c r="C8" s="13"/>
      <c r="D8" s="13"/>
      <c r="E8" s="13"/>
      <c r="F8" s="13"/>
      <c r="G8" s="13"/>
      <c r="H8" s="13"/>
    </row>
    <row r="9" spans="1:8" ht="22.5" customHeight="1">
      <c r="A9" s="14" t="s">
        <v>338</v>
      </c>
      <c r="B9" s="14" t="s">
        <v>339</v>
      </c>
      <c r="C9" s="15"/>
      <c r="D9" s="15"/>
      <c r="E9" s="15"/>
      <c r="F9" s="15"/>
      <c r="G9" s="15"/>
      <c r="H9" s="15"/>
    </row>
    <row r="10" spans="1:8" ht="20" customHeight="1">
      <c r="A10" s="13">
        <v>1</v>
      </c>
      <c r="B10" s="16" t="s">
        <v>340</v>
      </c>
      <c r="C10" s="17" t="s">
        <v>341</v>
      </c>
      <c r="D10" s="13"/>
      <c r="E10" s="13" t="s">
        <v>42</v>
      </c>
      <c r="F10" s="13"/>
      <c r="G10" s="13"/>
      <c r="H10" s="13"/>
    </row>
    <row r="11" spans="1:8" ht="20" customHeight="1">
      <c r="A11" s="13">
        <v>2</v>
      </c>
      <c r="B11" s="16" t="s">
        <v>342</v>
      </c>
      <c r="C11" s="17" t="s">
        <v>343</v>
      </c>
      <c r="D11" s="13"/>
      <c r="E11" s="13" t="s">
        <v>344</v>
      </c>
      <c r="F11" s="13"/>
      <c r="G11" s="13"/>
      <c r="H11" s="13"/>
    </row>
    <row r="12" spans="1:8" ht="22.5" customHeight="1">
      <c r="A12" s="13">
        <v>3</v>
      </c>
      <c r="B12" s="16" t="s">
        <v>345</v>
      </c>
      <c r="C12" s="17"/>
      <c r="D12" s="13"/>
      <c r="E12" s="13" t="s">
        <v>35</v>
      </c>
      <c r="F12" s="13"/>
      <c r="G12" s="13"/>
      <c r="H12" s="13"/>
    </row>
    <row r="13" spans="1:8" ht="20" customHeight="1">
      <c r="A13" s="13">
        <v>5</v>
      </c>
      <c r="B13" s="16" t="s">
        <v>346</v>
      </c>
      <c r="C13" s="17" t="s">
        <v>347</v>
      </c>
      <c r="D13" s="13"/>
      <c r="E13" s="18" t="s">
        <v>50</v>
      </c>
      <c r="F13" s="13"/>
      <c r="G13" s="13"/>
      <c r="H13" s="13"/>
    </row>
    <row r="14" spans="1:8" ht="20" customHeight="1">
      <c r="A14" s="13">
        <v>6</v>
      </c>
      <c r="B14" s="16"/>
      <c r="C14" s="17"/>
      <c r="D14" s="13"/>
      <c r="E14" s="13"/>
      <c r="F14" s="13"/>
      <c r="G14" s="13"/>
      <c r="H14" s="13"/>
    </row>
    <row r="15" spans="1:8" ht="20" customHeight="1">
      <c r="A15" s="13">
        <v>7</v>
      </c>
      <c r="B15" s="16"/>
      <c r="C15" s="17"/>
      <c r="D15" s="13"/>
      <c r="E15" s="13"/>
      <c r="F15" s="13"/>
      <c r="G15" s="13"/>
      <c r="H15" s="13"/>
    </row>
    <row r="16" spans="1:8" ht="20" customHeight="1">
      <c r="A16" s="13">
        <v>8</v>
      </c>
      <c r="B16" s="16"/>
      <c r="C16" s="17"/>
      <c r="D16" s="13"/>
      <c r="E16" s="13"/>
      <c r="F16" s="13"/>
      <c r="G16" s="13"/>
      <c r="H16" s="13"/>
    </row>
    <row r="17" spans="1:8" ht="20" customHeight="1">
      <c r="A17" s="13">
        <v>9</v>
      </c>
      <c r="B17" s="16"/>
      <c r="C17" s="17"/>
      <c r="D17" s="13"/>
      <c r="E17" s="13"/>
      <c r="F17" s="13"/>
      <c r="G17" s="13"/>
      <c r="H17" s="13"/>
    </row>
    <row r="18" spans="1:8" ht="20" customHeight="1"/>
    <row r="19" spans="1:8" ht="20" customHeight="1"/>
    <row r="20" spans="1:8" ht="20" customHeight="1"/>
    <row r="21" spans="1:8" ht="20" customHeight="1"/>
  </sheetData>
  <mergeCells count="1">
    <mergeCell ref="A1:H1"/>
  </mergeCells>
  <conditionalFormatting sqref="E13">
    <cfRule type="duplicateValues" dxfId="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0"/>
  <sheetViews>
    <sheetView workbookViewId="0">
      <selection activeCell="D17" sqref="D17"/>
    </sheetView>
  </sheetViews>
  <sheetFormatPr baseColWidth="10" defaultColWidth="8.33203125" defaultRowHeight="13"/>
  <cols>
    <col min="1" max="2" width="8.33203125" style="1"/>
    <col min="3" max="3" width="15.83203125" style="1" customWidth="1"/>
    <col min="4" max="4" width="50.6640625" style="1" customWidth="1"/>
    <col min="5" max="16384" width="8.33203125" style="1"/>
  </cols>
  <sheetData>
    <row r="1" spans="1:4" s="1" customFormat="1" ht="36" customHeight="1">
      <c r="A1" s="187" t="s">
        <v>348</v>
      </c>
      <c r="B1" s="187"/>
      <c r="C1" s="187"/>
      <c r="D1" s="187"/>
    </row>
    <row r="2" spans="1:4" s="2" customFormat="1" ht="17" customHeight="1">
      <c r="A2" s="5"/>
      <c r="B2" s="5"/>
      <c r="C2" s="5"/>
      <c r="D2" s="6" t="s">
        <v>349</v>
      </c>
    </row>
    <row r="3" spans="1:4" s="3" customFormat="1" ht="30" customHeight="1">
      <c r="A3" s="7" t="s">
        <v>350</v>
      </c>
      <c r="B3" s="7" t="s">
        <v>351</v>
      </c>
      <c r="C3" s="7" t="s">
        <v>352</v>
      </c>
      <c r="D3" s="7" t="s">
        <v>353</v>
      </c>
    </row>
    <row r="4" spans="1:4" s="4" customFormat="1" ht="50" customHeight="1">
      <c r="A4" s="188" t="s">
        <v>71</v>
      </c>
      <c r="B4" s="188" t="s">
        <v>354</v>
      </c>
      <c r="C4" s="8" t="s">
        <v>355</v>
      </c>
      <c r="D4" s="9" t="s">
        <v>356</v>
      </c>
    </row>
    <row r="5" spans="1:4" s="4" customFormat="1" ht="56" customHeight="1">
      <c r="A5" s="189"/>
      <c r="B5" s="189"/>
      <c r="C5" s="191" t="s">
        <v>357</v>
      </c>
      <c r="D5" s="9" t="s">
        <v>358</v>
      </c>
    </row>
    <row r="6" spans="1:4" s="4" customFormat="1" ht="36" customHeight="1">
      <c r="A6" s="189"/>
      <c r="B6" s="189"/>
      <c r="C6" s="191"/>
      <c r="D6" s="10" t="s">
        <v>359</v>
      </c>
    </row>
    <row r="7" spans="1:4" s="4" customFormat="1" ht="48" customHeight="1">
      <c r="A7" s="189"/>
      <c r="B7" s="189"/>
      <c r="C7" s="188" t="s">
        <v>360</v>
      </c>
      <c r="D7" s="10" t="s">
        <v>361</v>
      </c>
    </row>
    <row r="8" spans="1:4" s="4" customFormat="1" ht="34" customHeight="1">
      <c r="A8" s="189"/>
      <c r="B8" s="189"/>
      <c r="C8" s="189"/>
      <c r="D8" s="10" t="s">
        <v>362</v>
      </c>
    </row>
    <row r="9" spans="1:4" s="4" customFormat="1" ht="100" customHeight="1">
      <c r="A9" s="189"/>
      <c r="B9" s="189"/>
      <c r="C9" s="190"/>
      <c r="D9" s="9" t="s">
        <v>363</v>
      </c>
    </row>
    <row r="10" spans="1:4" s="4" customFormat="1" ht="44" customHeight="1">
      <c r="A10" s="189"/>
      <c r="B10" s="189"/>
      <c r="C10" s="189" t="s">
        <v>364</v>
      </c>
      <c r="D10" s="9" t="s">
        <v>365</v>
      </c>
    </row>
    <row r="11" spans="1:4" s="4" customFormat="1" ht="43" customHeight="1">
      <c r="A11" s="189"/>
      <c r="B11" s="189"/>
      <c r="C11" s="189"/>
      <c r="D11" s="9" t="s">
        <v>366</v>
      </c>
    </row>
    <row r="12" spans="1:4" s="4" customFormat="1" ht="55" customHeight="1">
      <c r="A12" s="189"/>
      <c r="B12" s="189"/>
      <c r="C12" s="190"/>
      <c r="D12" s="9" t="s">
        <v>367</v>
      </c>
    </row>
    <row r="13" spans="1:4" s="4" customFormat="1" ht="45" customHeight="1">
      <c r="A13" s="189"/>
      <c r="B13" s="189"/>
      <c r="C13" s="192" t="s">
        <v>368</v>
      </c>
      <c r="D13" s="9" t="s">
        <v>369</v>
      </c>
    </row>
    <row r="14" spans="1:4" s="4" customFormat="1" ht="33" customHeight="1">
      <c r="A14" s="189"/>
      <c r="B14" s="189"/>
      <c r="C14" s="193"/>
      <c r="D14" s="9" t="s">
        <v>370</v>
      </c>
    </row>
    <row r="15" spans="1:4" s="4" customFormat="1" ht="33" customHeight="1">
      <c r="A15" s="189"/>
      <c r="B15" s="189"/>
      <c r="C15" s="193"/>
      <c r="D15" s="9" t="s">
        <v>371</v>
      </c>
    </row>
    <row r="16" spans="1:4" s="4" customFormat="1" ht="29" customHeight="1">
      <c r="A16" s="189"/>
      <c r="B16" s="189"/>
      <c r="C16" s="194"/>
      <c r="D16" s="9" t="s">
        <v>372</v>
      </c>
    </row>
    <row r="17" spans="1:4" s="4" customFormat="1" ht="47" customHeight="1">
      <c r="A17" s="189"/>
      <c r="B17" s="189"/>
      <c r="C17" s="11" t="s">
        <v>373</v>
      </c>
      <c r="D17" s="9" t="s">
        <v>374</v>
      </c>
    </row>
    <row r="18" spans="1:4" s="4" customFormat="1" ht="47" customHeight="1">
      <c r="A18" s="189"/>
      <c r="B18" s="189"/>
      <c r="C18" s="11" t="s">
        <v>375</v>
      </c>
      <c r="D18" s="9" t="s">
        <v>376</v>
      </c>
    </row>
    <row r="19" spans="1:4" s="4" customFormat="1" ht="43" customHeight="1">
      <c r="A19" s="189"/>
      <c r="B19" s="189"/>
      <c r="C19" s="11" t="s">
        <v>377</v>
      </c>
      <c r="D19" s="9" t="s">
        <v>378</v>
      </c>
    </row>
    <row r="20" spans="1:4" s="4" customFormat="1" ht="56" customHeight="1">
      <c r="A20" s="190"/>
      <c r="B20" s="190"/>
      <c r="C20" s="11" t="s">
        <v>379</v>
      </c>
      <c r="D20" s="9" t="s">
        <v>380</v>
      </c>
    </row>
  </sheetData>
  <mergeCells count="7">
    <mergeCell ref="A1:D1"/>
    <mergeCell ref="A4:A20"/>
    <mergeCell ref="B4:B20"/>
    <mergeCell ref="C5:C6"/>
    <mergeCell ref="C7:C9"/>
    <mergeCell ref="C10:C12"/>
    <mergeCell ref="C13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组织图</vt:lpstr>
      <vt:lpstr>财务部组织图</vt:lpstr>
      <vt:lpstr>财务部岗位清单</vt:lpstr>
      <vt:lpstr>岗位说明书-财务经理（余丽）</vt:lpstr>
      <vt:lpstr>岗位说明书-往来会计（潘佳敏）</vt:lpstr>
      <vt:lpstr>岗位说明书-总账会计（王金平）</vt:lpstr>
      <vt:lpstr>岗位说明书-出纳（杨婷）</vt:lpstr>
      <vt:lpstr>工作流程样式</vt:lpstr>
      <vt:lpstr>流程图工作符号说明</vt:lpstr>
      <vt:lpstr>工作推进计划</vt:lpstr>
      <vt:lpstr>库管岗位职责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Linze Zhang</cp:lastModifiedBy>
  <cp:lastPrinted>2024-03-16T08:05:00Z</cp:lastPrinted>
  <dcterms:created xsi:type="dcterms:W3CDTF">2024-03-06T02:23:00Z</dcterms:created>
  <dcterms:modified xsi:type="dcterms:W3CDTF">2025-11-24T00:43:11Z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0909FC3110C344178052374AF17C278D_13</vt:lpwstr>
  </property>
  <property fmtid="{D5CDD505-2E9C-101B-9397-08002B2CF9AE}" pid="3" name="KSOProductBuildVer">
    <vt:lpwstr>2052-12.1.0.23125</vt:lpwstr>
  </property>
</Properties>
</file>