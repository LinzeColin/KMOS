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inzezhang/Downloads/"/>
    </mc:Choice>
  </mc:AlternateContent>
  <xr:revisionPtr revIDLastSave="0" documentId="8_{5DAB58E5-0200-D740-8971-C0EB2A58CDBB}" xr6:coauthVersionLast="47" xr6:coauthVersionMax="47" xr10:uidLastSave="{00000000-0000-0000-0000-000000000000}"/>
  <bookViews>
    <workbookView xWindow="34400" yWindow="-4060" windowWidth="27240" windowHeight="15780" activeTab="2" xr2:uid="{8ED259AD-F58A-534D-8AE7-7CC7C268AB2B}"/>
  </bookViews>
  <sheets>
    <sheet name="回款天数分析" sheetId="3" r:id="rId1"/>
    <sheet name="原始数据2025年" sheetId="1" r:id="rId2"/>
    <sheet name="客户账龄间隔分析_按客户" sheetId="4" r:id="rId3"/>
  </sheets>
  <calcPr calcId="181029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<sst xmlns="http://schemas.openxmlformats.org/spreadsheetml/2006/main" count="1464" uniqueCount="343">
  <si>
    <t>客户</t>
  </si>
  <si>
    <t>合同数</t>
  </si>
  <si>
    <t>在手合同数(有余额)</t>
  </si>
  <si>
    <t>回款完结合同数</t>
  </si>
  <si>
    <t>完结率</t>
  </si>
  <si>
    <t>开票总额</t>
  </si>
  <si>
    <t>回款总额</t>
  </si>
  <si>
    <t>未回款余额</t>
  </si>
  <si>
    <t>开工后开票_中位数天</t>
  </si>
  <si>
    <t>开票后回款(完结)_中位数天</t>
  </si>
  <si>
    <t>开票后回款(至最后回款)_中位数天</t>
  </si>
  <si>
    <t>未回款加权逾期天数</t>
  </si>
  <si>
    <t>逾期&gt;90天余额占比</t>
  </si>
  <si>
    <t>逾期&gt;180天余额占比</t>
  </si>
  <si>
    <t>完结概率(估算)</t>
  </si>
  <si>
    <t>金额分层</t>
  </si>
  <si>
    <t>回款周期分层(完结中位数)</t>
  </si>
  <si>
    <t>逾期风险分层</t>
  </si>
  <si>
    <t>客户画像标签</t>
  </si>
  <si>
    <t>催收优先级得分(按你公式)</t>
  </si>
  <si>
    <t>催收优先级得分(风险导向备选)</t>
  </si>
  <si>
    <t>武汉开明高新科技有限公司</t>
  </si>
  <si>
    <t>A-大额(≥100万)</t>
  </si>
  <si>
    <t>未知/缺数据</t>
  </si>
  <si>
    <t>极高风险(&gt;180天为主)</t>
  </si>
  <si>
    <t>A-大额(≥100万)｜未知/缺数据｜极高风险(&gt;180天为主)</t>
  </si>
  <si>
    <t>青海发投碱业有限公司</t>
  </si>
  <si>
    <t>很慢(&gt;90天)</t>
  </si>
  <si>
    <t>A-大额(≥100万)｜很慢(&gt;90天)｜极高风险(&gt;180天为主)</t>
  </si>
  <si>
    <t>湖北开明高新科技有限公司</t>
  </si>
  <si>
    <t>日照钢铁有限公司</t>
  </si>
  <si>
    <t>武汉彤烨科技有限公司</t>
  </si>
  <si>
    <t>湖北岚丹建设工程有限公司</t>
  </si>
  <si>
    <t>新疆伊犁钢铁有限责任公司</t>
  </si>
  <si>
    <t>中(31-60天)</t>
  </si>
  <si>
    <t>A-大额(≥100万)｜中(31-60天)｜极高风险(&gt;180天为主)</t>
  </si>
  <si>
    <t>交城义望铁合金有限责任公司</t>
  </si>
  <si>
    <t>新疆阜康天山水泥有限责任公司</t>
  </si>
  <si>
    <t>新疆八一钢铁股份有限公司</t>
  </si>
  <si>
    <t>湖南华菱湘潭钢铁有限公司</t>
  </si>
  <si>
    <t>慢(61-90天)</t>
  </si>
  <si>
    <t>A-大额(≥100万)｜慢(61-90天)｜极高风险(&gt;180天为主)</t>
  </si>
  <si>
    <t>江西亚东水泥有限公司</t>
  </si>
  <si>
    <t>包头冀东水泥有限公司</t>
  </si>
  <si>
    <t>江西赣锋锂业集团股份有限公司</t>
  </si>
  <si>
    <t>日照京华新型建材有限公司</t>
  </si>
  <si>
    <t>广西北港新材料有限公司</t>
  </si>
  <si>
    <t>叶城天山水泥有限责任公司</t>
  </si>
  <si>
    <t>新疆宜化化工有限公司</t>
  </si>
  <si>
    <t>湖北宜化松滋肥业有限公司</t>
  </si>
  <si>
    <t>吐鲁番天山水泥有限责任公司</t>
  </si>
  <si>
    <t>湖北双环科技股份有限公司</t>
  </si>
  <si>
    <t>青海盐湖镁业有限公司</t>
  </si>
  <si>
    <t>B-中额(30-100万)</t>
  </si>
  <si>
    <t>B-中额(30-100万)｜很慢(&gt;90天)｜极高风险(&gt;180天为主)</t>
  </si>
  <si>
    <t>海南逸盛石化有限公司</t>
  </si>
  <si>
    <t>B-中额(30-100万)｜未知/缺数据｜极高风险(&gt;180天为主)</t>
  </si>
  <si>
    <t>河钢股份有限公司邯郸分公司</t>
  </si>
  <si>
    <t>四川峨胜水泥集团股份有限公司</t>
  </si>
  <si>
    <t>快(≤30天)</t>
  </si>
  <si>
    <t>B-中额(30-100万)｜快(≤30天)｜极高风险(&gt;180天为主)</t>
  </si>
  <si>
    <t>广西北港不锈钢有限公司</t>
  </si>
  <si>
    <t>内蒙古君正化工有限责任公司水泥分公司</t>
  </si>
  <si>
    <t>中风险(30-90天)</t>
  </si>
  <si>
    <t>B-中额(30-100万)｜未知/缺数据｜中风险(30-90天)</t>
  </si>
  <si>
    <t>安钢集团信阳钢铁有限责任公司</t>
  </si>
  <si>
    <t>国家电投集团山西铝业有限公司</t>
  </si>
  <si>
    <t>莱芜钢铁集团银山型钢有限公司</t>
  </si>
  <si>
    <t>内蒙古宜化化工有限公司</t>
  </si>
  <si>
    <t>低风险(&lt;30天)</t>
  </si>
  <si>
    <t>B-中额(30-100万)｜中(31-60天)｜低风险(&lt;30天)</t>
  </si>
  <si>
    <t>鲁南中联水泥有限公司</t>
  </si>
  <si>
    <t>江西玉山万年青水泥有限公司</t>
  </si>
  <si>
    <t>B-中额(30-100万)｜中(31-60天)｜极高风险(&gt;180天为主)</t>
  </si>
  <si>
    <t>湖北六国化工股份有限公司</t>
  </si>
  <si>
    <t>兆山集团诸暨水泥有限公司</t>
  </si>
  <si>
    <t>东方希望重庆水泥有限公司</t>
  </si>
  <si>
    <t>富蕴天山水泥有限责任公司</t>
  </si>
  <si>
    <t>中材机电备件有限公司</t>
  </si>
  <si>
    <t>泰安中联水泥有限公司</t>
  </si>
  <si>
    <t>北京金隅北水环保科技有限公司</t>
  </si>
  <si>
    <t>山西金隅冀东环保科技有限公司</t>
  </si>
  <si>
    <t>新疆兴悦化工有限公司</t>
  </si>
  <si>
    <t>山东泰山钢铁集团有限公司</t>
  </si>
  <si>
    <t>山东圣川新材料科技股份有限公司</t>
  </si>
  <si>
    <t>C-小额(5-30万)</t>
  </si>
  <si>
    <t>C-小额(5-30万)｜中(31-60天)｜极高风险(&gt;180天为主)</t>
  </si>
  <si>
    <t>葛洲坝钟祥水泥有限公司</t>
  </si>
  <si>
    <t>C-小额(5-30万)｜未知/缺数据｜极高风险(&gt;180天为主)</t>
  </si>
  <si>
    <t>山东申丰水泥集团有限公司</t>
  </si>
  <si>
    <t>湖北京兰水泥集团有限公司</t>
  </si>
  <si>
    <t>C-小额(5-30万)｜很慢(&gt;90天)｜极高风险(&gt;180天为主)</t>
  </si>
  <si>
    <t>保山昆钢嘉华水泥建材有限公司</t>
  </si>
  <si>
    <t>张家港宏昌钢板有限公司</t>
  </si>
  <si>
    <t>惠州市光大水泥企业有限公司</t>
  </si>
  <si>
    <t>成县祁连山水泥有限公司</t>
  </si>
  <si>
    <t>天瑞集团郑州水泥有限公司</t>
  </si>
  <si>
    <t>吉林金隅冀东环保科技有限公司</t>
  </si>
  <si>
    <t>汉中勉县尧柏水泥有限公司</t>
  </si>
  <si>
    <t>安阳市湖波熟料有限公司</t>
  </si>
  <si>
    <t>联峰钢铁（张家港）有限公司</t>
  </si>
  <si>
    <t>铜陵上峰水泥股份有限公司</t>
  </si>
  <si>
    <t>福建青拓实业有限公司(合同签订单位：福建鼎信实业有限公司）</t>
  </si>
  <si>
    <t>四川省星船城水泥股份有限公司</t>
  </si>
  <si>
    <t>徐州中联水泥有限公司</t>
  </si>
  <si>
    <t>湖南金山环保建材有限公司</t>
  </si>
  <si>
    <t>焦作坚固水泥有限公司</t>
  </si>
  <si>
    <t>武汉鑫缘绿色冶金渣技术开发有限公司</t>
  </si>
  <si>
    <t>宁都县赣锋锂业有限公司</t>
  </si>
  <si>
    <t>海南源友科技有限公司</t>
  </si>
  <si>
    <t>唐山冀东启新水泥有限责任公司</t>
  </si>
  <si>
    <t>枣庄中联水泥有限公司</t>
  </si>
  <si>
    <t>湖南骏泰新材料科技有限责任公司</t>
  </si>
  <si>
    <t>北京堂海科技有限公司</t>
  </si>
  <si>
    <t>华润水泥（罗定）有限公司</t>
  </si>
  <si>
    <t>天瑞集团汝州水泥有限公司</t>
  </si>
  <si>
    <t>青州中联水泥有限公司</t>
  </si>
  <si>
    <t>沂南中联水泥有限公司</t>
  </si>
  <si>
    <t>湖北鸿茂矿渣微粉有限公司</t>
  </si>
  <si>
    <t>元江县永发水泥有限公司</t>
  </si>
  <si>
    <t>中盐内蒙古建材有限公司</t>
  </si>
  <si>
    <t>C-小额(5-30万)｜未知/缺数据｜中风险(30-90天)</t>
  </si>
  <si>
    <t>江西安福南方水泥有限公司</t>
  </si>
  <si>
    <t>永州市九嶷正阳水泥有限责任公司</t>
  </si>
  <si>
    <t>葛洲坝当阳水泥有限公司</t>
  </si>
  <si>
    <t>贵州黔西中水发电有限公司</t>
  </si>
  <si>
    <t>宁波钢铁有限公司</t>
  </si>
  <si>
    <t>重庆市富丰水泥集团特种水泥有限公司</t>
  </si>
  <si>
    <t>赞皇金隅水泥有限公司</t>
  </si>
  <si>
    <t>内蒙古天皓水泥集团有限公司</t>
  </si>
  <si>
    <t>四川兰丰水泥有限公司</t>
  </si>
  <si>
    <t>山东泰西水泥有限公司</t>
  </si>
  <si>
    <t>张家港市联泰科技有限公司</t>
  </si>
  <si>
    <t>福建春驰集团国产实业水泥有限公司</t>
  </si>
  <si>
    <t>康达(湖南)水泥有限公司</t>
  </si>
  <si>
    <t>广州市越堡水泥有限公司</t>
  </si>
  <si>
    <t>洛阳黄河同力水泥有限责任公司</t>
  </si>
  <si>
    <t>河北新金轧材有限公司</t>
  </si>
  <si>
    <t>南京中联水泥有限公司</t>
  </si>
  <si>
    <t>廉江市丰诚水泥有限公司</t>
  </si>
  <si>
    <t>准格尔旗铸城水泥有限责任公司</t>
  </si>
  <si>
    <t>广东广青金属科技有限公司</t>
  </si>
  <si>
    <t>内蒙古鄂尔多斯电力冶金集团股份有限公司资源综合利用分公司（鄂尔多斯市清能新材料有限公司）</t>
  </si>
  <si>
    <t>台泥（英德）水泥有限公司</t>
  </si>
  <si>
    <t>湖北楚星化工股份有限公司（更名为：湖北大江化工集团有限公司）</t>
  </si>
  <si>
    <t>河南济源钢铁(集团）有限公司</t>
  </si>
  <si>
    <t>景谷红狮水泥有限公司</t>
  </si>
  <si>
    <t>富民金锐水泥建材有限责任公司</t>
  </si>
  <si>
    <t>四川德胜集团水泥有限公司</t>
  </si>
  <si>
    <t>鹤岗鑫塔水泥有限责任公司</t>
  </si>
  <si>
    <t>山西吉港冠宇水泥有限公司</t>
  </si>
  <si>
    <t>华润水泥（封开)有限公司</t>
  </si>
  <si>
    <t>昌江华盛天涯水泥有限公司</t>
  </si>
  <si>
    <t>江苏金峰水泥集团有限公司</t>
  </si>
  <si>
    <t>C-小额(5-30万)｜未知/缺数据｜低风险(&lt;30天)</t>
  </si>
  <si>
    <t>联峰钢铁（张家港）有限公司（江苏永钢）</t>
  </si>
  <si>
    <t>湖北宜化江家墩矿业有限公司宜昌猇亭分公司</t>
  </si>
  <si>
    <t>福建三钢闽光股份有限公司</t>
  </si>
  <si>
    <t>内蒙古万晨能源股份有限公司千峰水泥分公司</t>
  </si>
  <si>
    <t>湖南隆回南方水泥有限公司</t>
  </si>
  <si>
    <t>蕉岭县龙腾旋窑水泥有限公司</t>
  </si>
  <si>
    <t>江西宝丰生物科技有限公司</t>
  </si>
  <si>
    <t>中材株洲水泥有限责任公司</t>
  </si>
  <si>
    <t>涞水金隅冀东环保科技有限公司</t>
  </si>
  <si>
    <t>福建永安建福水泥有限公司</t>
  </si>
  <si>
    <t>宜州广驰水泥有限责任公司</t>
  </si>
  <si>
    <t>夏河祁连山安多水泥有限公司</t>
  </si>
  <si>
    <t>山东鑫海科技股份有限公司</t>
  </si>
  <si>
    <t>唐山冀东发展机械设备制造有限公司</t>
  </si>
  <si>
    <t>重庆九鑫水泥（集团）有限公司</t>
  </si>
  <si>
    <t>浙江青龙山建材有限公司</t>
  </si>
  <si>
    <t>武钢中冶工业技术服务有限公司</t>
  </si>
  <si>
    <t>华润水泥（永定）有限公司</t>
  </si>
  <si>
    <t>内蒙古万晨石灰有限公司</t>
  </si>
  <si>
    <t>合肥南方水泥有限公司</t>
  </si>
  <si>
    <t>铜川声威建材有限责任公司</t>
  </si>
  <si>
    <t>阳泉冀东水泥有限责任公司</t>
  </si>
  <si>
    <t>喀什红旗水泥有限责任公司</t>
  </si>
  <si>
    <t>台泥（重庆）水泥有限公司</t>
  </si>
  <si>
    <t>D-零散(&lt;5万)</t>
  </si>
  <si>
    <t>D-零散(&lt;5万)｜中(31-60天)｜极高风险(&gt;180天为主)</t>
  </si>
  <si>
    <t>湖州丰盛新材料有限公司</t>
  </si>
  <si>
    <t>D-零散(&lt;5万)｜未知/缺数据｜极高风险(&gt;180天为主)</t>
  </si>
  <si>
    <t>黄石成美建材有限公司</t>
  </si>
  <si>
    <t>D-零散(&lt;5万)｜未知/缺数据｜中风险(30-90天)</t>
  </si>
  <si>
    <t>芜湖新兴铸管有限责任公司</t>
  </si>
  <si>
    <t>山西佳诚液压有限公司</t>
  </si>
  <si>
    <t>大同市云中水泥有限责任公司</t>
  </si>
  <si>
    <t>高风险(&gt;90天占比高)</t>
  </si>
  <si>
    <t>D-零散(&lt;5万)｜快(≤30天)｜高风险(&gt;90天占比高)</t>
  </si>
  <si>
    <t>内蒙古冀东水泥有限责任公司</t>
  </si>
  <si>
    <t>华润电力焦作有限公司</t>
  </si>
  <si>
    <t>广西金鲤水泥有限公司</t>
  </si>
  <si>
    <t>临沂中联水泥有限公司</t>
  </si>
  <si>
    <t>广州泛亚聚酯有限公司</t>
  </si>
  <si>
    <t>内蒙古武兰水泥有限公司</t>
  </si>
  <si>
    <t>平泉冀东水泥有限责任公司</t>
  </si>
  <si>
    <t>四川省达州钢铁集团有限责任公司</t>
  </si>
  <si>
    <t>湖南浏阳南方水泥有限公司</t>
  </si>
  <si>
    <t>D-零散(&lt;5万)｜很慢(&gt;90天)｜极高风险(&gt;180天为主)</t>
  </si>
  <si>
    <t>宁夏瀛海天祥建材有限公司</t>
  </si>
  <si>
    <t>奎山水泥有限公司</t>
  </si>
  <si>
    <t>D-零散(&lt;5万)｜快(≤30天)｜极高风险(&gt;180天为主)</t>
  </si>
  <si>
    <t>临沂鑫海新型材料有限公司</t>
  </si>
  <si>
    <t>新洋丰农业科技股份有限公司</t>
  </si>
  <si>
    <t>天瑞新登郑州水泥有限公司</t>
  </si>
  <si>
    <t>四川筠连西南水泥有限公司</t>
  </si>
  <si>
    <t>江西三禾纸业有限公司</t>
  </si>
  <si>
    <t>涿鹿金隅水泥有限公司</t>
  </si>
  <si>
    <t>遵义赛德水泥有限公司</t>
  </si>
  <si>
    <t>宁夏滨河海利建材有限公司</t>
  </si>
  <si>
    <t>崇阳县昌华实业有限公司</t>
  </si>
  <si>
    <t>湖南张家界南方水泥有限公司</t>
  </si>
  <si>
    <t>邢台金隅冀东水泥有限公司</t>
  </si>
  <si>
    <t>中盐内蒙古化工股份有限公司盐碱分公司</t>
  </si>
  <si>
    <t>湖南古丈南方水泥有限公司</t>
  </si>
  <si>
    <t>D-零散(&lt;5万)｜慢(61-90天)｜极高风险(&gt;180天为主)</t>
  </si>
  <si>
    <t>无为华塑矿业有限公司</t>
  </si>
  <si>
    <t>青海祁连山水泥有限公司</t>
  </si>
  <si>
    <t>湖北宜化肥业有限公司</t>
  </si>
  <si>
    <t>福建兴长活性炭有限公司</t>
  </si>
  <si>
    <t>四川省广安桂兴水泥有限公司</t>
  </si>
  <si>
    <t>安吉南方水泥有限公司</t>
  </si>
  <si>
    <t>漳平红狮水泥有限公司</t>
  </si>
  <si>
    <t>湖南良田水泥有限公司</t>
  </si>
  <si>
    <t>山东鲁泰环保建材有限公司</t>
  </si>
  <si>
    <t>湖北恒博机械科技有限公司</t>
  </si>
  <si>
    <t>黄冈亚东水泥有限公司</t>
  </si>
  <si>
    <t>南通瑞展环保工程有限公司</t>
  </si>
  <si>
    <t>华润水泥（平南）有限公司</t>
  </si>
  <si>
    <t>河北金隅鼎鑫水泥有限公司</t>
  </si>
  <si>
    <t>苏州嘉贝锦奕科技有限公司</t>
  </si>
  <si>
    <t>怀宁上峰水泥有限公司</t>
  </si>
  <si>
    <t>宜城安达特种水泥有限公司</t>
  </si>
  <si>
    <t>中材亨达水泥有限公司</t>
  </si>
  <si>
    <t>巴彦淖尔中联水泥有限公司</t>
  </si>
  <si>
    <t>湘潭县亿鑫锌业有限公司</t>
  </si>
  <si>
    <t>福建青拓镍业有限公司</t>
  </si>
  <si>
    <t>江西贵溪南方水泥有限公司</t>
  </si>
  <si>
    <t>贵州西电电力股份有限公司黔北发电厂</t>
  </si>
  <si>
    <t>贵州西能电力建设有限公司</t>
  </si>
  <si>
    <t>江油嘉鸿机电工程有限公司</t>
  </si>
  <si>
    <t>河南晋开化工投资控股集团有限责任公司</t>
  </si>
  <si>
    <t>D-零散(&lt;5万)｜未知/缺数据｜高风险(&gt;90天占比高)</t>
  </si>
  <si>
    <t>广西柳州鱼峰水泥有限公司</t>
  </si>
  <si>
    <t>宜良来红方水泥有限公司（原宜良县永兴水泥有限公司）</t>
  </si>
  <si>
    <t>淮北相山水泥有限责任公司</t>
  </si>
  <si>
    <t>中国-阿拉伯化肥有限公司</t>
  </si>
  <si>
    <t>D-零散(&lt;5万)｜很慢(&gt;90天)｜中风险(30-90天)</t>
  </si>
  <si>
    <t>日钢营口中板有限公司</t>
  </si>
  <si>
    <t>河南华润电力首阳山有限公司</t>
  </si>
  <si>
    <t>葛洲坝石门特种水泥有限公司</t>
  </si>
  <si>
    <t>国电投（山西）铝业有限公司</t>
  </si>
  <si>
    <t>华润水泥（长治）有限公司</t>
  </si>
  <si>
    <t>湖北三力重工机械有限公司</t>
  </si>
  <si>
    <t>武汉京邦瑞机械设备有限公司</t>
  </si>
  <si>
    <t>浙江上峰建材有限公司</t>
  </si>
  <si>
    <t>鄂州凯瑞德科技有限公司</t>
  </si>
  <si>
    <t>江西晶昊盐化有限公司</t>
  </si>
  <si>
    <t>澜沧三环建材有限公司</t>
  </si>
  <si>
    <t>湖北长江石化设备有限公司</t>
  </si>
  <si>
    <t>陕西富平水泥有限公司</t>
  </si>
  <si>
    <t>江西乐平万年青水泥有限公司</t>
  </si>
  <si>
    <t>山西太谷恒达煤气化有限公司</t>
  </si>
  <si>
    <t>青海海西化工建材股份有限公司</t>
  </si>
  <si>
    <t>云南普洱西南水泥有限公司</t>
  </si>
  <si>
    <t>湖北睿宸设备有限公司</t>
  </si>
  <si>
    <t>内蒙古亿利冀东水泥有限责任公司</t>
  </si>
  <si>
    <t>葛洲坝兴山水泥有限公司</t>
  </si>
  <si>
    <t>湖北能源集团鄂州发电有限公司</t>
  </si>
  <si>
    <t>新余市汇益信新型材料有限公司</t>
  </si>
  <si>
    <t>冀东水泥重庆合川有限责任公司</t>
  </si>
  <si>
    <t>韩进梅（个人）</t>
  </si>
  <si>
    <t>萍乡萍钢安源钢铁有限公司</t>
  </si>
  <si>
    <t>嘉峪关祁连山水泥有限公司</t>
  </si>
  <si>
    <t>承德冀东水泥有限责任公司</t>
  </si>
  <si>
    <t>湖南耒阳南方水泥有限公司</t>
  </si>
  <si>
    <t>中冶武勘工程技术有限公司</t>
  </si>
  <si>
    <t>重庆秀山西南水泥有限公司（原名：秀山三磊水泥有限公司）</t>
  </si>
  <si>
    <t>云南远东水泥有限责任公司</t>
  </si>
  <si>
    <t>宜良红狮水泥有限公司</t>
  </si>
  <si>
    <t>nan</t>
  </si>
  <si>
    <t>Z-无余额</t>
  </si>
  <si>
    <t>低风险(无/很少逾期)</t>
  </si>
  <si>
    <t>Z-无余额｜未知/缺数据｜低风险(无/很少逾期)</t>
  </si>
  <si>
    <t>三门峡腾跃同力水泥有限公司</t>
  </si>
  <si>
    <t>Z-无余额｜很慢(&gt;90天)｜低风险(无/很少逾期)</t>
  </si>
  <si>
    <t>云南昆钢嘉华水泥建材有限公司</t>
  </si>
  <si>
    <t>亚泰集团哈尔滨水泥有限公司</t>
  </si>
  <si>
    <t>亚泰集团哈尔滨水泥（阿城）有限公司</t>
  </si>
  <si>
    <t>侯马市汇丰建材有限责任公司</t>
  </si>
  <si>
    <t>北京中燕建设工程有限公司</t>
  </si>
  <si>
    <t>北京众德友邦工程技术有限公司</t>
  </si>
  <si>
    <t>Z-无余额｜快(≤30天)｜低风险(无/很少逾期)</t>
  </si>
  <si>
    <t>北京金隅琉水环保科技有限公司</t>
  </si>
  <si>
    <t>十堰同创精密机械有限公司</t>
  </si>
  <si>
    <t>卫辉市天瑞水泥有限公司</t>
  </si>
  <si>
    <t>厦工（三明）重型机器有限公司</t>
  </si>
  <si>
    <t>Z-无余额｜中(31-60天)｜低风险(无/很少逾期)</t>
  </si>
  <si>
    <t>吉林亚泰明城水泥有限公司</t>
  </si>
  <si>
    <t>吉林亚泰水泥有限公司</t>
  </si>
  <si>
    <t>唐山冀东水泥股份有限公司唐山分公司</t>
  </si>
  <si>
    <t>唐山重装冶金工程技术有限公司</t>
  </si>
  <si>
    <t>多门朗技术（武汉）有限公司</t>
  </si>
  <si>
    <t>宁鹏</t>
  </si>
  <si>
    <t>安徽皖维高新材料股份有限公司</t>
  </si>
  <si>
    <t>将乐金牛水泥有限公司</t>
  </si>
  <si>
    <t>尼勒克县瑞祥焦化有限责任公司</t>
  </si>
  <si>
    <t>巴合提开勒得·吾莫尔霍加</t>
  </si>
  <si>
    <t>广安昌兴水泥有限公司</t>
  </si>
  <si>
    <t>广西都安西江鱼峰水泥有限公司</t>
  </si>
  <si>
    <t>应城市新都化工有限责任公司</t>
  </si>
  <si>
    <t>张荣洁（个人）</t>
  </si>
  <si>
    <t>戚亮（个人）</t>
  </si>
  <si>
    <t>新疆米东天山水泥有限责任公司</t>
  </si>
  <si>
    <t>新疆蒙鑫水泥有限公司奇台分公司</t>
  </si>
  <si>
    <t>曲阳金隅水泥有限公司</t>
  </si>
  <si>
    <t>Z-无余额｜慢(61-90天)｜低风险(无/很少逾期)</t>
  </si>
  <si>
    <t>桐庐红狮水泥有限公司</t>
  </si>
  <si>
    <t>武汉吉如环保工程有限公司</t>
  </si>
  <si>
    <t>武汉工程大学</t>
  </si>
  <si>
    <t>武汉美腾斯科技有限公司</t>
  </si>
  <si>
    <t>江苏沙钢钢铁有限公司</t>
  </si>
  <si>
    <t>江苏鹤林水泥有限公司</t>
  </si>
  <si>
    <t>江西瑞金万年青水泥有限责任公司</t>
  </si>
  <si>
    <t>河南阿尔法工程材料有限公司</t>
  </si>
  <si>
    <t>海拉尔蒙西水泥有限公司</t>
  </si>
  <si>
    <t>湖北亚东水泥有限公司</t>
  </si>
  <si>
    <t>湖南省嘉禾县南岭水泥有限公司</t>
  </si>
  <si>
    <t>湘潭瑞通球团有限公司</t>
  </si>
  <si>
    <t>王先梅</t>
  </si>
  <si>
    <t>福建金牛水泥有限公司</t>
  </si>
  <si>
    <t>葛洲坝荆门水泥有限公司</t>
  </si>
  <si>
    <t>西安柏通建筑安装工程有限公司</t>
  </si>
  <si>
    <t>达州利森水泥有限公司</t>
  </si>
  <si>
    <t>重庆铜梁西南水泥有限公司</t>
  </si>
  <si>
    <t>阜阳皖润电力有限公司</t>
  </si>
  <si>
    <t>陕西实丰水泥股份有限公司</t>
  </si>
  <si>
    <t>Row Labels</t>
  </si>
  <si>
    <t>Count of 客户</t>
  </si>
  <si>
    <t>Grand Total</t>
  </si>
  <si>
    <t>开票后回款(至最后回款)_均值天</t>
  </si>
  <si>
    <t>回款比例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</si>
</sst>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ze Zhang" refreshedDate="46024.879184953701" createdVersion="8" refreshedVersion="8" minRefreshableVersion="3" recordCount="273" xr:uid="{F59C174D-905E-2B4B-8A6C-35A60F3BE2C4}">
  <cacheSource type="worksheet">
    <worksheetSource name="Table1"/>
  </cacheSource>
  <cacheFields count="21">
    <cacheField name="客户" numFmtId="0">
      <sharedItems count="273">
        <s v="武汉开明高新科技有限公司"/>
        <s v="青海发投碱业有限公司"/>
        <s v="湖北开明高新科技有限公司"/>
        <s v="日照钢铁有限公司"/>
        <s v="武汉彤烨科技有限公司"/>
        <s v="湖北岚丹建设工程有限公司"/>
        <s v="新疆伊犁钢铁有限责任公司"/>
        <s v="交城义望铁合金有限责任公司"/>
        <s v="新疆阜康天山水泥有限责任公司"/>
        <s v="新疆八一钢铁股份有限公司"/>
        <s v="湖南华菱湘潭钢铁有限公司"/>
        <s v="江西亚东水泥有限公司"/>
        <s v="包头冀东水泥有限公司"/>
        <s v="江西赣锋锂业集团股份有限公司"/>
        <s v="日照京华新型建材有限公司"/>
        <s v="广西北港新材料有限公司"/>
        <s v="叶城天山水泥有限责任公司"/>
        <s v="新疆宜化化工有限公司"/>
        <s v="湖北宜化松滋肥业有限公司"/>
        <s v="吐鲁番天山水泥有限责任公司"/>
        <s v="湖北双环科技股份有限公司"/>
        <s v="青海盐湖镁业有限公司"/>
        <s v="海南逸盛石化有限公司"/>
        <s v="河钢股份有限公司邯郸分公司"/>
        <s v="四川峨胜水泥集团股份有限公司"/>
        <s v="广西北港不锈钢有限公司"/>
        <s v="内蒙古君正化工有限责任公司水泥分公司"/>
        <s v="安钢集团信阳钢铁有限责任公司"/>
        <s v="国家电投集团山西铝业有限公司"/>
        <s v="莱芜钢铁集团银山型钢有限公司"/>
        <s v="内蒙古宜化化工有限公司"/>
        <s v="鲁南中联水泥有限公司"/>
        <s v="江西玉山万年青水泥有限公司"/>
        <s v="湖北六国化工股份有限公司"/>
        <s v="兆山集团诸暨水泥有限公司"/>
        <s v="东方希望重庆水泥有限公司"/>
        <s v="富蕴天山水泥有限责任公司"/>
        <s v="中材机电备件有限公司"/>
        <s v="泰安中联水泥有限公司"/>
        <s v="北京金隅北水环保科技有限公司"/>
        <s v="山西金隅冀东环保科技有限公司"/>
        <s v="新疆兴悦化工有限公司"/>
        <s v="山东泰山钢铁集团有限公司"/>
        <s v="山东圣川新材料科技股份有限公司"/>
        <s v="葛洲坝钟祥水泥有限公司"/>
        <s v="山东申丰水泥集团有限公司"/>
        <s v="湖北京兰水泥集团有限公司"/>
        <s v="保山昆钢嘉华水泥建材有限公司"/>
        <s v="张家港宏昌钢板有限公司"/>
        <s v="惠州市光大水泥企业有限公司"/>
        <s v="成县祁连山水泥有限公司"/>
        <s v="天瑞集团郑州水泥有限公司"/>
        <s v="吉林金隅冀东环保科技有限公司"/>
        <s v="汉中勉县尧柏水泥有限公司"/>
        <s v="安阳市湖波熟料有限公司"/>
        <s v="联峰钢铁（张家港）有限公司"/>
        <s v="铜陵上峰水泥股份有限公司"/>
        <s v="福建青拓实业有限公司(合同签订单位：福建鼎信实业有限公司）"/>
        <s v="四川省星船城水泥股份有限公司"/>
        <s v="徐州中联水泥有限公司"/>
        <s v="湖南金山环保建材有限公司"/>
        <s v="焦作坚固水泥有限公司"/>
        <s v="武汉鑫缘绿色冶金渣技术开发有限公司"/>
        <s v="宁都县赣锋锂业有限公司"/>
        <s v="海南源友科技有限公司"/>
        <s v="唐山冀东启新水泥有限责任公司"/>
        <s v="枣庄中联水泥有限公司"/>
        <s v="湖南骏泰新材料科技有限责任公司"/>
        <s v="北京堂海科技有限公司"/>
        <s v="华润水泥（罗定）有限公司"/>
        <s v="天瑞集团汝州水泥有限公司"/>
        <s v="青州中联水泥有限公司"/>
        <s v="沂南中联水泥有限公司"/>
        <s v="湖北鸿茂矿渣微粉有限公司"/>
        <s v="元江县永发水泥有限公司"/>
        <s v="中盐内蒙古建材有限公司"/>
        <s v="江西安福南方水泥有限公司"/>
        <s v="永州市九嶷正阳水泥有限责任公司"/>
        <s v="葛洲坝当阳水泥有限公司"/>
        <s v="贵州黔西中水发电有限公司"/>
        <s v="宁波钢铁有限公司"/>
        <s v="重庆市富丰水泥集团特种水泥有限公司"/>
        <s v="赞皇金隅水泥有限公司"/>
        <s v="内蒙古天皓水泥集团有限公司"/>
        <s v="四川兰丰水泥有限公司"/>
        <s v="山东泰西水泥有限公司"/>
        <s v="张家港市联泰科技有限公司"/>
        <s v="福建春驰集团国产实业水泥有限公司"/>
        <s v="康达(湖南)水泥有限公司"/>
        <s v="广州市越堡水泥有限公司"/>
        <s v="洛阳黄河同力水泥有限责任公司"/>
        <s v="河北新金轧材有限公司"/>
        <s v="南京中联水泥有限公司"/>
        <s v="廉江市丰诚水泥有限公司"/>
        <s v="准格尔旗铸城水泥有限责任公司"/>
        <s v="广东广青金属科技有限公司"/>
        <s v="内蒙古鄂尔多斯电力冶金集团股份有限公司资源综合利用分公司（鄂尔多斯市清能新材料有限公司）"/>
        <s v="台泥（英德）水泥有限公司"/>
        <s v="湖北楚星化工股份有限公司（更名为：湖北大江化工集团有限公司）"/>
        <s v="河南济源钢铁(集团）有限公司"/>
        <s v="景谷红狮水泥有限公司"/>
        <s v="富民金锐水泥建材有限责任公司"/>
        <s v="四川德胜集团水泥有限公司"/>
        <s v="鹤岗鑫塔水泥有限责任公司"/>
        <s v="山西吉港冠宇水泥有限公司"/>
        <s v="华润水泥（封开)有限公司"/>
        <s v="昌江华盛天涯水泥有限公司"/>
        <s v="江苏金峰水泥集团有限公司"/>
        <s v="联峰钢铁（张家港）有限公司（江苏永钢）"/>
        <s v="湖北宜化江家墩矿业有限公司宜昌猇亭分公司"/>
        <s v="福建三钢闽光股份有限公司"/>
        <s v="内蒙古万晨能源股份有限公司千峰水泥分公司"/>
        <s v="湖南隆回南方水泥有限公司"/>
        <s v="蕉岭县龙腾旋窑水泥有限公司"/>
        <s v="江西宝丰生物科技有限公司"/>
        <s v="中材株洲水泥有限责任公司"/>
        <s v="涞水金隅冀东环保科技有限公司"/>
        <s v="福建永安建福水泥有限公司"/>
        <s v="宜州广驰水泥有限责任公司"/>
        <s v="夏河祁连山安多水泥有限公司"/>
        <s v="山东鑫海科技股份有限公司"/>
        <s v="唐山冀东发展机械设备制造有限公司"/>
        <s v="重庆九鑫水泥（集团）有限公司"/>
        <s v="浙江青龙山建材有限公司"/>
        <s v="武钢中冶工业技术服务有限公司"/>
        <s v="华润水泥（永定）有限公司"/>
        <s v="内蒙古万晨石灰有限公司"/>
        <s v="合肥南方水泥有限公司"/>
        <s v="铜川声威建材有限责任公司"/>
        <s v="阳泉冀东水泥有限责任公司"/>
        <s v="喀什红旗水泥有限责任公司"/>
        <s v="台泥（重庆）水泥有限公司"/>
        <s v="湖州丰盛新材料有限公司"/>
        <s v="黄石成美建材有限公司"/>
        <s v="芜湖新兴铸管有限责任公司"/>
        <s v="山西佳诚液压有限公司"/>
        <s v="大同市云中水泥有限责任公司"/>
        <s v="内蒙古冀东水泥有限责任公司"/>
        <s v="华润电力焦作有限公司"/>
        <s v="广西金鲤水泥有限公司"/>
        <s v="临沂中联水泥有限公司"/>
        <s v="广州泛亚聚酯有限公司"/>
        <s v="内蒙古武兰水泥有限公司"/>
        <s v="平泉冀东水泥有限责任公司"/>
        <s v="四川省达州钢铁集团有限责任公司"/>
        <s v="湖南浏阳南方水泥有限公司"/>
        <s v="宁夏瀛海天祥建材有限公司"/>
        <s v="奎山水泥有限公司"/>
        <s v="临沂鑫海新型材料有限公司"/>
        <s v="新洋丰农业科技股份有限公司"/>
        <s v="天瑞新登郑州水泥有限公司"/>
        <s v="四川筠连西南水泥有限公司"/>
        <s v="江西三禾纸业有限公司"/>
        <s v="涿鹿金隅水泥有限公司"/>
        <s v="遵义赛德水泥有限公司"/>
        <s v="宁夏滨河海利建材有限公司"/>
        <s v="崇阳县昌华实业有限公司"/>
        <s v="湖南张家界南方水泥有限公司"/>
        <s v="邢台金隅冀东水泥有限公司"/>
        <s v="中盐内蒙古化工股份有限公司盐碱分公司"/>
        <s v="湖南古丈南方水泥有限公司"/>
        <s v="无为华塑矿业有限公司"/>
        <s v="青海祁连山水泥有限公司"/>
        <s v="湖北宜化肥业有限公司"/>
        <s v="福建兴长活性炭有限公司"/>
        <s v="四川省广安桂兴水泥有限公司"/>
        <s v="安吉南方水泥有限公司"/>
        <s v="漳平红狮水泥有限公司"/>
        <s v="湖南良田水泥有限公司"/>
        <s v="山东鲁泰环保建材有限公司"/>
        <s v="湖北恒博机械科技有限公司"/>
        <s v="黄冈亚东水泥有限公司"/>
        <s v="南通瑞展环保工程有限公司"/>
        <s v="华润水泥（平南）有限公司"/>
        <s v="河北金隅鼎鑫水泥有限公司"/>
        <s v="苏州嘉贝锦奕科技有限公司"/>
        <s v="怀宁上峰水泥有限公司"/>
        <s v="宜城安达特种水泥有限公司"/>
        <s v="中材亨达水泥有限公司"/>
        <s v="巴彦淖尔中联水泥有限公司"/>
        <s v="湘潭县亿鑫锌业有限公司"/>
        <s v="福建青拓镍业有限公司"/>
        <s v="江西贵溪南方水泥有限公司"/>
        <s v="贵州西电电力股份有限公司黔北发电厂"/>
        <s v="贵州西能电力建设有限公司"/>
        <s v="江油嘉鸿机电工程有限公司"/>
        <s v="河南晋开化工投资控股集团有限责任公司"/>
        <s v="广西柳州鱼峰水泥有限公司"/>
        <s v="宜良来红方水泥有限公司（原宜良县永兴水泥有限公司）"/>
        <s v="淮北相山水泥有限责任公司"/>
        <s v="中国-阿拉伯化肥有限公司"/>
        <s v="日钢营口中板有限公司"/>
        <s v="河南华润电力首阳山有限公司"/>
        <s v="葛洲坝石门特种水泥有限公司"/>
        <s v="国电投（山西）铝业有限公司"/>
        <s v="华润水泥（长治）有限公司"/>
        <s v="湖北三力重工机械有限公司"/>
        <s v="武汉京邦瑞机械设备有限公司"/>
        <s v="浙江上峰建材有限公司"/>
        <s v="鄂州凯瑞德科技有限公司"/>
        <s v="江西晶昊盐化有限公司"/>
        <s v="澜沧三环建材有限公司"/>
        <s v="湖北长江石化设备有限公司"/>
        <s v="陕西富平水泥有限公司"/>
        <s v="江西乐平万年青水泥有限公司"/>
        <s v="山西太谷恒达煤气化有限公司"/>
        <s v="青海海西化工建材股份有限公司"/>
        <s v="云南普洱西南水泥有限公司"/>
        <s v="湖北睿宸设备有限公司"/>
        <s v="内蒙古亿利冀东水泥有限责任公司"/>
        <s v="葛洲坝兴山水泥有限公司"/>
        <s v="湖北能源集团鄂州发电有限公司"/>
        <s v="新余市汇益信新型材料有限公司"/>
        <s v="冀东水泥重庆合川有限责任公司"/>
        <s v="韩进梅（个人）"/>
        <s v="萍乡萍钢安源钢铁有限公司"/>
        <s v="嘉峪关祁连山水泥有限公司"/>
        <s v="承德冀东水泥有限责任公司"/>
        <s v="湖南耒阳南方水泥有限公司"/>
        <s v="中冶武勘工程技术有限公司"/>
        <s v="重庆秀山西南水泥有限公司（原名：秀山三磊水泥有限公司）"/>
        <s v="云南远东水泥有限责任公司"/>
        <s v="宜良红狮水泥有限公司"/>
        <s v="nan"/>
        <s v="三门峡腾跃同力水泥有限公司"/>
        <s v="云南昆钢嘉华水泥建材有限公司"/>
        <s v="亚泰集团哈尔滨水泥有限公司"/>
        <s v="亚泰集团哈尔滨水泥（阿城）有限公司"/>
        <s v="侯马市汇丰建材有限责任公司"/>
        <s v="北京中燕建设工程有限公司"/>
        <s v="北京众德友邦工程技术有限公司"/>
        <s v="北京金隅琉水环保科技有限公司"/>
        <s v="十堰同创精密机械有限公司"/>
        <s v="卫辉市天瑞水泥有限公司"/>
        <s v="厦工（三明）重型机器有限公司"/>
        <s v="吉林亚泰明城水泥有限公司"/>
        <s v="吉林亚泰水泥有限公司"/>
        <s v="唐山冀东水泥股份有限公司唐山分公司"/>
        <s v="唐山重装冶金工程技术有限公司"/>
        <s v="多门朗技术（武汉）有限公司"/>
        <s v="宁鹏"/>
        <s v="安徽皖维高新材料股份有限公司"/>
        <s v="将乐金牛水泥有限公司"/>
        <s v="尼勒克县瑞祥焦化有限责任公司"/>
        <s v="巴合提开勒得·吾莫尔霍加"/>
        <s v="广安昌兴水泥有限公司"/>
        <s v="广西都安西江鱼峰水泥有限公司"/>
        <s v="应城市新都化工有限责任公司"/>
        <s v="张荣洁（个人）"/>
        <s v="戚亮（个人）"/>
        <s v="新疆米东天山水泥有限责任公司"/>
        <s v="新疆蒙鑫水泥有限公司奇台分公司"/>
        <s v="曲阳金隅水泥有限公司"/>
        <s v="桐庐红狮水泥有限公司"/>
        <s v="武汉吉如环保工程有限公司"/>
        <s v="武汉工程大学"/>
        <s v="武汉美腾斯科技有限公司"/>
        <s v="江苏沙钢钢铁有限公司"/>
        <s v="江苏鹤林水泥有限公司"/>
        <s v="江西瑞金万年青水泥有限责任公司"/>
        <s v="河南阿尔法工程材料有限公司"/>
        <s v="海拉尔蒙西水泥有限公司"/>
        <s v="湖北亚东水泥有限公司"/>
        <s v="湖南省嘉禾县南岭水泥有限公司"/>
        <s v="湘潭瑞通球团有限公司"/>
        <s v="王先梅"/>
        <s v="福建金牛水泥有限公司"/>
        <s v="葛洲坝荆门水泥有限公司"/>
        <s v="西安柏通建筑安装工程有限公司"/>
        <s v="达州利森水泥有限公司"/>
        <s v="重庆铜梁西南水泥有限公司"/>
        <s v="阜阳皖润电力有限公司"/>
        <s v="陕西实丰水泥股份有限公司"/>
      </sharedItems>
    </cacheField>
    <cacheField name="合同数" numFmtId="0">
      <sharedItems containsSemiMixedTypes="0" containsString="0" containsNumber="1" containsInteger="1" minValue="1" maxValue="51"/>
    </cacheField>
    <cacheField name="在手合同数(有余额)" numFmtId="0">
      <sharedItems containsSemiMixedTypes="0" containsString="0" containsNumber="1" containsInteger="1" minValue="0" maxValue="45"/>
    </cacheField>
    <cacheField name="回款完结合同数" numFmtId="0">
      <sharedItems containsSemiMixedTypes="0" containsString="0" containsNumber="1" containsInteger="1" minValue="0" maxValue="6"/>
    </cacheField>
    <cacheField name="完结率" numFmtId="0">
      <sharedItems containsSemiMixedTypes="0" containsString="0" containsNumber="1" minValue="0" maxValue="1"/>
    </cacheField>
    <cacheField name="开票总额" numFmtId="0">
      <sharedItems containsSemiMixedTypes="0" containsString="0" containsNumber="1" minValue="-420482.24" maxValue="49968943.829999998"/>
    </cacheField>
    <cacheField name="回款总额" numFmtId="0">
      <sharedItems containsSemiMixedTypes="0" containsString="0" containsNumber="1" minValue="0" maxValue="14290598.92"/>
    </cacheField>
    <cacheField name="未回款余额" numFmtId="0">
      <sharedItems containsSemiMixedTypes="0" containsString="0" containsNumber="1" minValue="0" maxValue="39185447.600000001"/>
    </cacheField>
    <cacheField name="开工后开票_中位数天" numFmtId="0">
      <sharedItems containsString="0" containsBlank="1" containsNumber="1" minValue="6" maxValue="1161"/>
    </cacheField>
    <cacheField name="开票后回款(完结)_中位数天" numFmtId="0">
      <sharedItems containsString="0" containsBlank="1" containsNumber="1" minValue="0" maxValue="912"/>
    </cacheField>
    <cacheField name="开票后回款(至最后回款)_中位数天" numFmtId="0">
      <sharedItems containsString="0" containsBlank="1" containsNumber="1" minValue="0" maxValue="972"/>
    </cacheField>
    <cacheField name="未回款加权逾期天数" numFmtId="0">
      <sharedItems containsString="0" containsBlank="1" containsNumber="1" minValue="2" maxValue="1093"/>
    </cacheField>
    <cacheField name="逾期&gt;90天余额占比" numFmtId="0">
      <sharedItems containsSemiMixedTypes="0" containsString="0" containsNumber="1" minValue="0" maxValue="1"/>
    </cacheField>
    <cacheField name="逾期&gt;180天余额占比" numFmtId="0">
      <sharedItems containsSemiMixedTypes="0" containsString="0" containsNumber="1" minValue="0" maxValue="1"/>
    </cacheField>
    <cacheField name="完结概率(估算)" numFmtId="0">
      <sharedItems containsSemiMixedTypes="0" containsString="0" containsNumber="1" minValue="0.14399999999999999" maxValue="0.95"/>
    </cacheField>
    <cacheField name="金额分层" numFmtId="0">
      <sharedItems count="5">
        <s v="A-大额(≥100万)"/>
        <s v="B-中额(30-100万)"/>
        <s v="C-小额(5-30万)"/>
        <s v="D-零散(&lt;5万)"/>
        <s v="Z-无余额"/>
      </sharedItems>
    </cacheField>
    <cacheField name="回款周期分层(完结中位数)" numFmtId="0">
      <sharedItems count="5">
        <s v="未知/缺数据"/>
        <s v="很慢(&gt;90天)"/>
        <s v="中(31-60天)"/>
        <s v="慢(61-90天)"/>
        <s v="快(≤30天)"/>
      </sharedItems>
    </cacheField>
    <cacheField name="逾期风险分层" numFmtId="0">
      <sharedItems/>
    </cacheField>
    <cacheField name="客户画像标签" numFmtId="0">
      <sharedItems/>
    </cacheField>
    <cacheField name="催收优先级得分(按你公式)" numFmtId="0">
      <sharedItems containsSemiMixedTypes="0" containsString="0" containsNumber="1" minValue="0" maxValue="4710809476.9797173"/>
    </cacheField>
    <cacheField name="催收优先级得分(风险导向备选)" numFmtId="0">
      <sharedItems containsSemiMixedTypes="0" containsString="0" containsNumber="1" minValue="0" maxValue="22527014936.9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n v="2"/>
    <n v="2"/>
    <n v="0"/>
    <n v="0"/>
    <n v="39332794.219999999"/>
    <n v="147346.62"/>
    <n v="39185447.600000001"/>
    <m/>
    <m/>
    <n v="634"/>
    <n v="671.59131378149675"/>
    <n v="1"/>
    <n v="1"/>
    <n v="0.14399999999999999"/>
    <x v="0"/>
    <x v="0"/>
    <s v="极高风险(&gt;180天为主)"/>
    <s v="A-大额(≥100万)｜未知/缺数据｜极高风险(&gt;180天为主)"/>
    <n v="3789591297.8112001"/>
    <n v="22527014936.9888"/>
  </r>
  <r>
    <x v="1"/>
    <n v="51"/>
    <n v="45"/>
    <n v="6"/>
    <n v="0.1176470588235294"/>
    <n v="49968943.829999998"/>
    <n v="14290598.92"/>
    <n v="35678345.710000001"/>
    <m/>
    <n v="413"/>
    <n v="406"/>
    <n v="719.42439144581078"/>
    <n v="0.96994257500847558"/>
    <n v="0.94652177218336608"/>
    <n v="0.18352941176470591"/>
    <x v="0"/>
    <x v="1"/>
    <s v="极高风险(&gt;180天为主)"/>
    <s v="A-大额(≥100万)｜很慢(&gt;90天)｜极高风险(&gt;180天为主)"/>
    <n v="4710809476.9797173"/>
    <n v="20957062673.230289"/>
  </r>
  <r>
    <x v="2"/>
    <n v="1"/>
    <n v="1"/>
    <n v="0"/>
    <n v="0"/>
    <n v="19815339.530000001"/>
    <n v="147346.62"/>
    <n v="19667992.91"/>
    <m/>
    <m/>
    <n v="420"/>
    <n v="459"/>
    <n v="1"/>
    <n v="1"/>
    <n v="0.22190442477876099"/>
    <x v="0"/>
    <x v="0"/>
    <s v="极高风险(&gt;180天为主)"/>
    <s v="A-大额(≥100万)｜未知/缺数据｜极高风险(&gt;180天为主)"/>
    <n v="2003266325.8400519"/>
    <n v="7024342419.8499489"/>
  </r>
  <r>
    <x v="3"/>
    <n v="6"/>
    <n v="6"/>
    <n v="0"/>
    <n v="0"/>
    <n v="20296222.510000002"/>
    <n v="1087032"/>
    <n v="19209190.510000002"/>
    <n v="119"/>
    <m/>
    <n v="230"/>
    <n v="680.85463674543985"/>
    <n v="0.99823001391014887"/>
    <n v="0.95981043555176859"/>
    <n v="0.14399999999999999"/>
    <x v="0"/>
    <x v="0"/>
    <s v="极高风险(&gt;180天为主)"/>
    <s v="A-大额(≥100万)｜未知/缺数据｜极高风险(&gt;180天为主)"/>
    <n v="1883327965.46784"/>
    <n v="11195338461.39216"/>
  </r>
  <r>
    <x v="4"/>
    <n v="1"/>
    <n v="1"/>
    <n v="0"/>
    <n v="0"/>
    <n v="18831571.140000001"/>
    <n v="147346.62"/>
    <n v="18684224.52"/>
    <m/>
    <m/>
    <n v="573"/>
    <n v="612"/>
    <n v="1"/>
    <n v="1"/>
    <n v="0.22190442477876099"/>
    <x v="0"/>
    <x v="0"/>
    <s v="极高风险(&gt;180天为主)"/>
    <s v="A-大额(≥100万)｜未知/缺数据｜极高风险(&gt;180天为主)"/>
    <n v="2537420601.8632669"/>
    <n v="8897324804.3767319"/>
  </r>
  <r>
    <x v="5"/>
    <n v="1"/>
    <n v="1"/>
    <n v="0"/>
    <n v="0"/>
    <n v="9637459.8499999996"/>
    <n v="147346.62"/>
    <n v="9490113.2300000004"/>
    <m/>
    <m/>
    <n v="359"/>
    <n v="398"/>
    <n v="1"/>
    <n v="1"/>
    <n v="0.22190442477876099"/>
    <x v="0"/>
    <x v="0"/>
    <s v="极高风险(&gt;180天为主)"/>
    <s v="A-大额(≥100万)｜未知/缺数据｜极高风险(&gt;180天为主)"/>
    <n v="838147450.72060704"/>
    <n v="2938917614.8193932"/>
  </r>
  <r>
    <x v="6"/>
    <n v="12"/>
    <n v="8"/>
    <n v="4"/>
    <n v="0.33333333333333331"/>
    <n v="9115455.8300000001"/>
    <n v="2560383.7599999998"/>
    <n v="6555072.0700000003"/>
    <n v="60"/>
    <n v="56.5"/>
    <n v="474"/>
    <n v="891.94571634663964"/>
    <n v="1"/>
    <n v="1"/>
    <n v="0.25600000000000001"/>
    <x v="0"/>
    <x v="2"/>
    <s v="极高风险(&gt;180天为主)"/>
    <s v="A-大额(≥100万)｜中(31-60天)｜极高风险(&gt;180天为主)"/>
    <n v="1496772724.01408"/>
    <n v="4349995729.1659203"/>
  </r>
  <r>
    <x v="7"/>
    <n v="2"/>
    <n v="2"/>
    <n v="0"/>
    <n v="0"/>
    <n v="6460000"/>
    <n v="57000"/>
    <n v="6403000"/>
    <n v="88"/>
    <m/>
    <n v="490"/>
    <n v="773.37388724035611"/>
    <n v="1"/>
    <n v="1"/>
    <n v="0.14399999999999999"/>
    <x v="0"/>
    <x v="0"/>
    <s v="极高风险(&gt;180天为主)"/>
    <s v="A-大额(≥100万)｜未知/缺数据｜极高风险(&gt;180天为主)"/>
    <n v="713075472"/>
    <n v="4238837528"/>
  </r>
  <r>
    <x v="8"/>
    <n v="1"/>
    <n v="1"/>
    <n v="0"/>
    <n v="0"/>
    <n v="6219800"/>
    <n v="378059.75"/>
    <n v="5841740.25"/>
    <m/>
    <m/>
    <n v="352"/>
    <n v="815"/>
    <n v="1"/>
    <n v="1"/>
    <n v="0.22190442477876099"/>
    <x v="0"/>
    <x v="0"/>
    <s v="极高风险(&gt;180天为主)"/>
    <s v="A-大额(≥100万)｜未知/缺数据｜极高风险(&gt;180天为主)"/>
    <n v="1056491028.054796"/>
    <n v="3704527275.6952038"/>
  </r>
  <r>
    <x v="9"/>
    <n v="1"/>
    <n v="1"/>
    <n v="0"/>
    <n v="0"/>
    <n v="4023093.88"/>
    <n v="158893.88"/>
    <n v="3864200"/>
    <n v="224"/>
    <m/>
    <n v="491"/>
    <n v="934"/>
    <n v="1"/>
    <n v="1"/>
    <n v="0.22190442477876099"/>
    <x v="0"/>
    <x v="0"/>
    <s v="极高风险(&gt;180天为主)"/>
    <s v="A-大额(≥100万)｜未知/缺数据｜极高风险(&gt;180天为主)"/>
    <n v="800889195.06690264"/>
    <n v="2808273604.9330969"/>
  </r>
  <r>
    <x v="10"/>
    <n v="9"/>
    <n v="5"/>
    <n v="4"/>
    <n v="0.44444444444444442"/>
    <n v="3361212.47"/>
    <n v="536019.81000000006"/>
    <n v="2825192.66"/>
    <n v="352"/>
    <n v="87.5"/>
    <n v="94"/>
    <n v="771.67371709793406"/>
    <n v="1"/>
    <n v="1"/>
    <n v="0.29333333333333328"/>
    <x v="0"/>
    <x v="3"/>
    <s v="极高风险(&gt;180天为主)"/>
    <s v="A-大额(≥100万)｜慢(61-90天)｜极高风险(&gt;180天为主)"/>
    <n v="639503896.96159995"/>
    <n v="1540623024.4984"/>
  </r>
  <r>
    <x v="11"/>
    <n v="16"/>
    <n v="13"/>
    <n v="3"/>
    <n v="0.1875"/>
    <n v="3915375.8"/>
    <n v="1101466.3899999999"/>
    <n v="2813909.41"/>
    <n v="48.5"/>
    <n v="37"/>
    <n v="58"/>
    <n v="909.82801871365143"/>
    <n v="1"/>
    <n v="1"/>
    <n v="0.20699999999999999"/>
    <x v="0"/>
    <x v="2"/>
    <s v="极高风险(&gt;180天为主)"/>
    <s v="A-大额(≥100万)｜中(31-60天)｜极高风险(&gt;180天为主)"/>
    <n v="529955940.03138"/>
    <n v="2030217683.30862"/>
  </r>
  <r>
    <x v="12"/>
    <n v="4"/>
    <n v="4"/>
    <n v="0"/>
    <n v="0"/>
    <n v="2821127.44"/>
    <n v="164800"/>
    <n v="2656327.44"/>
    <n v="104"/>
    <m/>
    <n v="626"/>
    <n v="986.79597222396649"/>
    <n v="1"/>
    <n v="1"/>
    <n v="0.14399999999999999"/>
    <x v="0"/>
    <x v="0"/>
    <s v="极高风险(&gt;180天为主)"/>
    <s v="A-大额(≥100万)｜未知/缺数据｜极高风险(&gt;180天为主)"/>
    <n v="377460463.49279988"/>
    <n v="2243792755.2072001"/>
  </r>
  <r>
    <x v="13"/>
    <n v="4"/>
    <n v="3"/>
    <n v="1"/>
    <n v="0.25"/>
    <n v="2597814"/>
    <n v="445270"/>
    <n v="2152544"/>
    <m/>
    <n v="56"/>
    <n v="56"/>
    <n v="772.88669871556635"/>
    <n v="0.78108972453060188"/>
    <n v="0.78108972453060188"/>
    <n v="0.22800000000000001"/>
    <x v="0"/>
    <x v="2"/>
    <s v="极高风险(&gt;180天为主)"/>
    <s v="A-大额(≥100万)｜中(31-60天)｜极高风险(&gt;180天为主)"/>
    <n v="379317358.72799999"/>
    <n v="1284355267.2720001"/>
  </r>
  <r>
    <x v="14"/>
    <n v="5"/>
    <n v="5"/>
    <n v="0"/>
    <n v="0"/>
    <n v="1989506.48"/>
    <n v="0"/>
    <n v="1989506.48"/>
    <n v="299"/>
    <m/>
    <m/>
    <n v="210.2755952621979"/>
    <n v="0.29610684153187578"/>
    <n v="0.29610684153187578"/>
    <n v="0.18"/>
    <x v="0"/>
    <x v="0"/>
    <s v="极高风险(&gt;180天为主)"/>
    <s v="A-大额(≥100万)｜未知/缺数据｜极高风险(&gt;180天为主)"/>
    <n v="75302038.684799999"/>
    <n v="343042620.67519999"/>
  </r>
  <r>
    <x v="15"/>
    <n v="3"/>
    <n v="3"/>
    <n v="0"/>
    <n v="0"/>
    <n v="1921040"/>
    <n v="35272"/>
    <n v="1885768"/>
    <m/>
    <m/>
    <n v="513.5"/>
    <n v="785.67004212607276"/>
    <n v="1"/>
    <n v="1"/>
    <n v="0.14399999999999999"/>
    <x v="0"/>
    <x v="0"/>
    <s v="极高风险(&gt;180天为主)"/>
    <s v="A-大额(≥100万)｜未知/缺数据｜极高风险(&gt;180天为主)"/>
    <n v="213349165.05599999"/>
    <n v="1268242258.944"/>
  </r>
  <r>
    <x v="16"/>
    <n v="1"/>
    <n v="1"/>
    <n v="0"/>
    <n v="0"/>
    <n v="1591999.96"/>
    <n v="38606"/>
    <n v="1553393.96"/>
    <m/>
    <m/>
    <n v="551"/>
    <n v="966"/>
    <n v="1"/>
    <n v="1"/>
    <n v="0.22190442477876099"/>
    <x v="0"/>
    <x v="0"/>
    <s v="极高风险(&gt;180天为主)"/>
    <s v="A-大额(≥100万)｜未知/缺数据｜极高风险(&gt;180天为主)"/>
    <n v="332985023.38154918"/>
    <n v="1167593541.978451"/>
  </r>
  <r>
    <x v="17"/>
    <n v="4"/>
    <n v="4"/>
    <n v="0"/>
    <n v="0"/>
    <n v="1514000"/>
    <n v="100000"/>
    <n v="1414000"/>
    <m/>
    <m/>
    <n v="565"/>
    <n v="796.3026874115983"/>
    <n v="1"/>
    <n v="1"/>
    <n v="0.14399999999999999"/>
    <x v="0"/>
    <x v="0"/>
    <s v="极高风险(&gt;180天为主)"/>
    <s v="A-大额(≥100万)｜未知/缺数据｜极高风险(&gt;180天为主)"/>
    <n v="162139968"/>
    <n v="963832032"/>
  </r>
  <r>
    <x v="18"/>
    <n v="2"/>
    <n v="2"/>
    <n v="0"/>
    <n v="0"/>
    <n v="1472000"/>
    <n v="161840"/>
    <n v="1310160"/>
    <m/>
    <m/>
    <n v="336"/>
    <n v="927.02491298772668"/>
    <n v="1"/>
    <n v="1"/>
    <n v="0.14399999999999999"/>
    <x v="0"/>
    <x v="0"/>
    <s v="极高风险(&gt;180天为主)"/>
    <s v="A-大额(≥100万)｜未知/缺数据｜极高风险(&gt;180天为主)"/>
    <n v="174895338.24000001"/>
    <n v="1039655621.76"/>
  </r>
  <r>
    <x v="19"/>
    <n v="1"/>
    <n v="1"/>
    <n v="0"/>
    <n v="0"/>
    <n v="1672000"/>
    <n v="414238"/>
    <n v="1257762"/>
    <n v="611"/>
    <m/>
    <n v="752"/>
    <n v="788"/>
    <n v="1"/>
    <n v="1"/>
    <n v="0.22190442477876099"/>
    <x v="0"/>
    <x v="0"/>
    <s v="极高风险(&gt;180天为主)"/>
    <s v="A-大额(≥100万)｜未知/缺数据｜极高风险(&gt;180天为主)"/>
    <n v="219933127.05744421"/>
    <n v="771183328.94255579"/>
  </r>
  <r>
    <x v="20"/>
    <n v="5"/>
    <n v="4"/>
    <n v="1"/>
    <n v="0.2"/>
    <n v="1486086.2"/>
    <n v="473644"/>
    <n v="1012442.2"/>
    <n v="31"/>
    <n v="88"/>
    <n v="686"/>
    <n v="936.27978703376846"/>
    <n v="0.97247250262780438"/>
    <n v="0.97247250262780438"/>
    <n v="0.2112"/>
    <x v="0"/>
    <x v="3"/>
    <s v="极高风险(&gt;180天为主)"/>
    <s v="A-大额(≥100万)｜慢(61-90天)｜极高风险(&gt;180天为主)"/>
    <n v="200202640.15487999"/>
    <n v="747726527.24512005"/>
  </r>
  <r>
    <x v="21"/>
    <n v="7"/>
    <n v="3"/>
    <n v="4"/>
    <n v="0.5714285714285714"/>
    <n v="2151120"/>
    <n v="1209308"/>
    <n v="941812"/>
    <n v="94"/>
    <n v="655.5"/>
    <n v="666"/>
    <n v="762.85662531375692"/>
    <n v="0.9799195593175708"/>
    <n v="0.9799195593175708"/>
    <n v="0.33600000000000002"/>
    <x v="1"/>
    <x v="1"/>
    <s v="极高风险(&gt;180天为主)"/>
    <s v="B-中额(30-100万)｜很慢(&gt;90天)｜极高风险(&gt;180天为主)"/>
    <n v="241405088.06400001"/>
    <n v="477062435.93599999"/>
  </r>
  <r>
    <x v="22"/>
    <n v="5"/>
    <n v="5"/>
    <n v="0"/>
    <n v="0"/>
    <n v="979000"/>
    <n v="112100"/>
    <n v="866900"/>
    <n v="63"/>
    <m/>
    <n v="15"/>
    <n v="1015.766755104395"/>
    <n v="1"/>
    <n v="1"/>
    <n v="0.14399999999999999"/>
    <x v="1"/>
    <x v="0"/>
    <s v="极高风险(&gt;180天为主)"/>
    <s v="B-中额(30-100万)｜未知/缺数据｜极高风险(&gt;180天为主)"/>
    <n v="126801820.8"/>
    <n v="753766379.19999993"/>
  </r>
  <r>
    <x v="23"/>
    <n v="1"/>
    <n v="1"/>
    <n v="0"/>
    <n v="0"/>
    <n v="1359510"/>
    <n v="540000"/>
    <n v="819510"/>
    <m/>
    <m/>
    <n v="335"/>
    <n v="430"/>
    <n v="1"/>
    <n v="1"/>
    <n v="0.22190442477876099"/>
    <x v="1"/>
    <x v="0"/>
    <s v="极高风险(&gt;180天为主)"/>
    <s v="B-中额(30-100万)｜未知/缺数据｜极高风险(&gt;180天为主)"/>
    <n v="78196744.914690256"/>
    <n v="274192555.08530968"/>
  </r>
  <r>
    <x v="24"/>
    <n v="12"/>
    <n v="10"/>
    <n v="2"/>
    <n v="0.16666666666666671"/>
    <n v="1316502.31"/>
    <n v="513890"/>
    <n v="802612.31"/>
    <n v="92"/>
    <n v="17.5"/>
    <n v="20.5"/>
    <n v="819.47399913415234"/>
    <n v="1"/>
    <n v="1"/>
    <n v="0.2"/>
    <x v="1"/>
    <x v="4"/>
    <s v="极高风险(&gt;180天为主)"/>
    <s v="B-中额(30-100万)｜快(≤30天)｜极高风险(&gt;180天为主)"/>
    <n v="131543983.88600001"/>
    <n v="526175935.54400009"/>
  </r>
  <r>
    <x v="25"/>
    <n v="1"/>
    <n v="1"/>
    <n v="0"/>
    <n v="0"/>
    <n v="742932"/>
    <n v="24764.400000000001"/>
    <n v="718167.6"/>
    <m/>
    <m/>
    <n v="717"/>
    <n v="1026"/>
    <n v="1"/>
    <n v="1"/>
    <n v="0.22190442477876099"/>
    <x v="1"/>
    <x v="0"/>
    <s v="极高风险(&gt;180天为主)"/>
    <s v="B-中额(30-100万)｜未知/缺数据｜极高风险(&gt;180天为主)"/>
    <n v="163508046.94523469"/>
    <n v="573331910.65476537"/>
  </r>
  <r>
    <x v="26"/>
    <n v="1"/>
    <n v="1"/>
    <n v="0"/>
    <n v="0"/>
    <n v="666731.03"/>
    <n v="0"/>
    <n v="666731.03"/>
    <m/>
    <m/>
    <m/>
    <n v="32"/>
    <n v="0"/>
    <n v="0"/>
    <n v="0.41607079646017697"/>
    <x v="1"/>
    <x v="0"/>
    <s v="中风险(30-90天)"/>
    <s v="B-中额(30-100万)｜未知/缺数据｜中风险(30-90天)"/>
    <n v="8877033.9416580535"/>
    <n v="12458359.018341949"/>
  </r>
  <r>
    <x v="27"/>
    <n v="2"/>
    <n v="2"/>
    <n v="0"/>
    <n v="0"/>
    <n v="882316.9"/>
    <n v="229793"/>
    <n v="652523.9"/>
    <m/>
    <m/>
    <n v="390"/>
    <n v="832.56638431174702"/>
    <n v="1"/>
    <n v="1"/>
    <n v="0.14399999999999999"/>
    <x v="1"/>
    <x v="0"/>
    <s v="极高风险(&gt;180天为主)"/>
    <s v="B-中额(30-100万)｜未知/缺数据｜极高风险(&gt;180天为主)"/>
    <n v="78230802.83039999"/>
    <n v="465038661.26959997"/>
  </r>
  <r>
    <x v="28"/>
    <n v="2"/>
    <n v="1"/>
    <n v="1"/>
    <n v="0.5"/>
    <n v="2215605.66"/>
    <n v="1591850"/>
    <n v="623755.65999999992"/>
    <n v="212"/>
    <n v="364"/>
    <n v="538"/>
    <n v="785"/>
    <n v="1"/>
    <n v="1"/>
    <n v="0.31199999999999989"/>
    <x v="1"/>
    <x v="1"/>
    <s v="极高风险(&gt;180天为主)"/>
    <s v="B-中额(30-100万)｜很慢(&gt;90天)｜极高风险(&gt;180天为主)"/>
    <n v="152770236.24720001"/>
    <n v="336877956.85280001"/>
  </r>
  <r>
    <x v="29"/>
    <n v="1"/>
    <n v="1"/>
    <n v="0"/>
    <n v="0"/>
    <n v="617999.99"/>
    <n v="0"/>
    <n v="617999.99"/>
    <m/>
    <m/>
    <m/>
    <n v="67"/>
    <n v="0"/>
    <n v="0"/>
    <n v="0.41607079646017697"/>
    <x v="1"/>
    <x v="0"/>
    <s v="中风险(30-90天)"/>
    <s v="B-中额(30-100万)｜未知/缺数据｜中风险(30-90天)"/>
    <n v="17227827.11946265"/>
    <n v="24178172.21053734"/>
  </r>
  <r>
    <x v="30"/>
    <n v="2"/>
    <n v="1"/>
    <n v="1"/>
    <n v="0.5"/>
    <n v="940721.2"/>
    <n v="325543.2"/>
    <n v="615178"/>
    <m/>
    <n v="36"/>
    <n v="36"/>
    <n v="2"/>
    <n v="0"/>
    <n v="0"/>
    <n v="0.64999999999999991"/>
    <x v="1"/>
    <x v="2"/>
    <s v="低风险(&lt;30天)"/>
    <s v="B-中额(30-100万)｜中(31-60天)｜低风险(&lt;30天)"/>
    <n v="799731.39999999991"/>
    <n v="430624.60000000009"/>
  </r>
  <r>
    <x v="31"/>
    <n v="1"/>
    <n v="1"/>
    <n v="0"/>
    <n v="0"/>
    <n v="574986.72"/>
    <n v="0"/>
    <n v="574986.72"/>
    <n v="87"/>
    <m/>
    <m/>
    <n v="984.00000000000011"/>
    <n v="1"/>
    <n v="1"/>
    <n v="0.22190442477876099"/>
    <x v="1"/>
    <x v="0"/>
    <s v="极高风险(&gt;180天为主)"/>
    <s v="B-中额(30-100万)｜未知/缺数据｜极高风险(&gt;180天为主)"/>
    <n v="125550623.7993141"/>
    <n v="440236308.68068588"/>
  </r>
  <r>
    <x v="32"/>
    <n v="5"/>
    <n v="2"/>
    <n v="3"/>
    <n v="0.6"/>
    <n v="786000"/>
    <n v="288000"/>
    <n v="498000"/>
    <n v="147"/>
    <n v="43"/>
    <n v="50.5"/>
    <n v="849.45783132530119"/>
    <n v="1"/>
    <n v="1"/>
    <n v="0.34560000000000002"/>
    <x v="1"/>
    <x v="2"/>
    <s v="极高风险(&gt;180天为主)"/>
    <s v="B-中额(30-100万)｜中(31-60天)｜极高风险(&gt;180天为主)"/>
    <n v="146199168"/>
    <n v="276830832.00000012"/>
  </r>
  <r>
    <x v="33"/>
    <n v="1"/>
    <n v="1"/>
    <n v="0"/>
    <n v="0"/>
    <n v="508229.8"/>
    <n v="28234.98"/>
    <n v="479994.82"/>
    <n v="56"/>
    <m/>
    <n v="691"/>
    <n v="749"/>
    <n v="1"/>
    <n v="1"/>
    <n v="0.22190442477876099"/>
    <x v="1"/>
    <x v="0"/>
    <s v="极高风险(&gt;180天为主)"/>
    <s v="B-中额(30-100万)｜未知/缺数据｜极高风险(&gt;180天为主)"/>
    <n v="79778217.84723483"/>
    <n v="279737902.33276522"/>
  </r>
  <r>
    <x v="34"/>
    <n v="7"/>
    <n v="5"/>
    <n v="1"/>
    <n v="0.14285714285714279"/>
    <n v="948000"/>
    <n v="667346.62"/>
    <n v="400000"/>
    <n v="99"/>
    <n v="588"/>
    <n v="404.5"/>
    <n v="635"/>
    <n v="1"/>
    <n v="0.8"/>
    <n v="0.192"/>
    <x v="1"/>
    <x v="1"/>
    <s v="极高风险(&gt;180天为主)"/>
    <s v="B-中额(30-100万)｜很慢(&gt;90天)｜极高风险(&gt;180天为主)"/>
    <n v="48767999.999999993"/>
    <n v="205232000"/>
  </r>
  <r>
    <x v="35"/>
    <n v="10"/>
    <n v="8"/>
    <n v="2"/>
    <n v="0.2"/>
    <n v="575470"/>
    <n v="183445"/>
    <n v="392025"/>
    <n v="304"/>
    <n v="180"/>
    <n v="90"/>
    <n v="922.71774759262803"/>
    <n v="1"/>
    <n v="0.94713347363050826"/>
    <n v="0.2112"/>
    <x v="1"/>
    <x v="1"/>
    <s v="极高风险(&gt;180天为主)"/>
    <s v="B-中额(30-100万)｜很慢(&gt;90天)｜极高风险(&gt;180天为主)"/>
    <n v="76397043.359999985"/>
    <n v="285331381.63999999"/>
  </r>
  <r>
    <x v="36"/>
    <n v="2"/>
    <n v="2"/>
    <n v="0"/>
    <n v="0"/>
    <n v="486000"/>
    <n v="121610.08"/>
    <n v="364389.92"/>
    <m/>
    <m/>
    <n v="529"/>
    <n v="362.44964492980478"/>
    <n v="0.67068243819697315"/>
    <n v="0.67068243819697315"/>
    <n v="0.14399999999999999"/>
    <x v="1"/>
    <x v="0"/>
    <s v="极高风险(&gt;180天为主)"/>
    <s v="B-中额(30-100万)｜未知/缺数据｜极高风险(&gt;180天为主)"/>
    <n v="19018511.585280001"/>
    <n v="113054485.53472"/>
  </r>
  <r>
    <x v="37"/>
    <n v="1"/>
    <n v="1"/>
    <n v="0"/>
    <n v="0"/>
    <n v="363000"/>
    <n v="0"/>
    <n v="363000"/>
    <m/>
    <m/>
    <m/>
    <n v="660"/>
    <n v="1"/>
    <n v="1"/>
    <n v="0.22190442477876099"/>
    <x v="1"/>
    <x v="0"/>
    <s v="极高风险(&gt;180天为主)"/>
    <s v="B-中额(30-100万)｜未知/缺数据｜极高风险(&gt;180天为主)"/>
    <n v="53163862.088495567"/>
    <n v="186416137.91150439"/>
  </r>
  <r>
    <x v="38"/>
    <n v="1"/>
    <n v="1"/>
    <n v="0"/>
    <n v="0"/>
    <n v="373465"/>
    <n v="31922.5"/>
    <n v="341542.5"/>
    <n v="139"/>
    <m/>
    <n v="431"/>
    <n v="896"/>
    <n v="1"/>
    <n v="1"/>
    <n v="0.22190442477876099"/>
    <x v="1"/>
    <x v="0"/>
    <s v="极高风险(&gt;180天为主)"/>
    <s v="B-中额(30-100万)｜未知/缺数据｜极高风险(&gt;180天为主)"/>
    <n v="67907653.631999999"/>
    <n v="238114426.368"/>
  </r>
  <r>
    <x v="39"/>
    <n v="1"/>
    <n v="1"/>
    <n v="0"/>
    <n v="0"/>
    <n v="338000"/>
    <n v="0"/>
    <n v="338000"/>
    <n v="327"/>
    <m/>
    <m/>
    <n v="1049"/>
    <n v="1"/>
    <n v="1"/>
    <n v="0.22190442477876099"/>
    <x v="1"/>
    <x v="0"/>
    <s v="极高风险(&gt;180天为主)"/>
    <s v="B-中额(30-100万)｜未知/缺数据｜极高风险(&gt;180天为主)"/>
    <n v="78678876.658407077"/>
    <n v="275883123.34159291"/>
  </r>
  <r>
    <x v="40"/>
    <n v="2"/>
    <n v="2"/>
    <n v="0"/>
    <n v="0"/>
    <n v="309800"/>
    <n v="0"/>
    <n v="309800"/>
    <n v="194"/>
    <m/>
    <m/>
    <n v="747.0581020012911"/>
    <n v="1"/>
    <n v="1"/>
    <n v="0.14399999999999999"/>
    <x v="1"/>
    <x v="0"/>
    <s v="极高风险(&gt;180天为主)"/>
    <s v="B-中额(30-100万)｜未知/缺数据｜极高风险(&gt;180天为主)"/>
    <n v="33327158.399999991"/>
    <n v="198111441.59999999"/>
  </r>
  <r>
    <x v="41"/>
    <n v="1"/>
    <n v="1"/>
    <n v="0"/>
    <n v="0"/>
    <n v="329000"/>
    <n v="29000"/>
    <n v="300000"/>
    <m/>
    <m/>
    <n v="401"/>
    <n v="848"/>
    <n v="1"/>
    <n v="1"/>
    <n v="0.22190442477876099"/>
    <x v="1"/>
    <x v="0"/>
    <s v="极高风险(&gt;180天为主)"/>
    <s v="B-中额(30-100万)｜未知/缺数据｜极高风险(&gt;180天为主)"/>
    <n v="56452485.663716808"/>
    <n v="197947514.33628321"/>
  </r>
  <r>
    <x v="42"/>
    <n v="1"/>
    <n v="1"/>
    <n v="0"/>
    <n v="0"/>
    <n v="300000"/>
    <n v="0"/>
    <n v="300000"/>
    <m/>
    <m/>
    <m/>
    <n v="462"/>
    <n v="1"/>
    <n v="1"/>
    <n v="0.22190442477876099"/>
    <x v="1"/>
    <x v="0"/>
    <s v="极高风险(&gt;180天为主)"/>
    <s v="B-中额(30-100万)｜未知/缺数据｜极高风险(&gt;180天为主)"/>
    <n v="30755953.274336278"/>
    <n v="107844046.72566371"/>
  </r>
  <r>
    <x v="43"/>
    <n v="5"/>
    <n v="3"/>
    <n v="2"/>
    <n v="0.4"/>
    <n v="449000"/>
    <n v="150000"/>
    <n v="299000"/>
    <n v="31"/>
    <n v="35"/>
    <n v="35"/>
    <n v="873.11371237458195"/>
    <n v="1"/>
    <n v="1"/>
    <n v="0.27839999999999998"/>
    <x v="2"/>
    <x v="2"/>
    <s v="极高风险(&gt;180天为主)"/>
    <s v="C-小额(5-30万)｜中(31-60天)｜极高风险(&gt;180天为主)"/>
    <n v="72679382.399999991"/>
    <n v="188381617.59999999"/>
  </r>
  <r>
    <x v="44"/>
    <n v="1"/>
    <n v="1"/>
    <n v="0"/>
    <n v="0"/>
    <n v="303800"/>
    <n v="15190"/>
    <n v="288610"/>
    <m/>
    <m/>
    <n v="413"/>
    <n v="1030"/>
    <n v="1"/>
    <n v="1"/>
    <n v="0.22190442477876099"/>
    <x v="2"/>
    <x v="0"/>
    <s v="极高风险(&gt;180天为主)"/>
    <s v="C-小额(5-30万)｜未知/缺数据｜极高风险(&gt;180天为主)"/>
    <n v="65965151.116460167"/>
    <n v="231303148.8835398"/>
  </r>
  <r>
    <x v="45"/>
    <n v="1"/>
    <n v="1"/>
    <n v="0"/>
    <n v="0"/>
    <n v="545000"/>
    <n v="281500"/>
    <n v="263500"/>
    <m/>
    <m/>
    <n v="586"/>
    <n v="714"/>
    <n v="1"/>
    <n v="1"/>
    <n v="0.22190442477876099"/>
    <x v="2"/>
    <x v="0"/>
    <s v="极高风险(&gt;180天为主)"/>
    <s v="C-小额(5-30万)｜未知/缺数据｜极高风险(&gt;180天为主)"/>
    <n v="41748876.573451333"/>
    <n v="146390123.42654869"/>
  </r>
  <r>
    <x v="46"/>
    <n v="6"/>
    <n v="4"/>
    <n v="2"/>
    <n v="0.33333333333333331"/>
    <n v="684000"/>
    <n v="422062.51"/>
    <n v="261937.49"/>
    <n v="61"/>
    <n v="583.5"/>
    <n v="583.5"/>
    <n v="781.48256387430456"/>
    <n v="1"/>
    <n v="1"/>
    <n v="0.25600000000000001"/>
    <x v="2"/>
    <x v="1"/>
    <s v="极高风险(&gt;180天为主)"/>
    <s v="C-小额(5-30万)｜很慢(&gt;90天)｜极高风险(&gt;180天为主)"/>
    <n v="52403092.802560002"/>
    <n v="152296488.45743999"/>
  </r>
  <r>
    <x v="47"/>
    <n v="1"/>
    <n v="1"/>
    <n v="0"/>
    <n v="0"/>
    <n v="266000.02"/>
    <n v="13300"/>
    <n v="252700.02"/>
    <n v="34"/>
    <m/>
    <n v="416"/>
    <n v="787"/>
    <n v="1"/>
    <n v="1"/>
    <n v="0.22190442477876099"/>
    <x v="2"/>
    <x v="0"/>
    <s v="极高风险(&gt;180天为主)"/>
    <s v="C-小额(5-30万)｜未知/缺数据｜极高风险(&gt;180天为主)"/>
    <n v="44131223.780209273"/>
    <n v="154743691.95979071"/>
  </r>
  <r>
    <x v="48"/>
    <n v="1"/>
    <n v="1"/>
    <n v="0"/>
    <n v="0"/>
    <n v="256000"/>
    <n v="10378.19"/>
    <n v="245621.81"/>
    <n v="216"/>
    <m/>
    <n v="465"/>
    <n v="788"/>
    <n v="1"/>
    <n v="1"/>
    <n v="0.22190442477876099"/>
    <x v="2"/>
    <x v="0"/>
    <s v="极高风险(&gt;180天为主)"/>
    <s v="C-小额(5-30万)｜未知/缺数据｜极高风险(&gt;180天为主)"/>
    <n v="42949598.37140049"/>
    <n v="150600387.9085995"/>
  </r>
  <r>
    <x v="49"/>
    <n v="4"/>
    <n v="3"/>
    <n v="0"/>
    <n v="0"/>
    <n v="268300"/>
    <n v="108330"/>
    <n v="244970"/>
    <n v="83"/>
    <m/>
    <n v="639"/>
    <n v="752.99681593664525"/>
    <n v="1"/>
    <n v="1"/>
    <n v="0.14399999999999999"/>
    <x v="2"/>
    <x v="0"/>
    <s v="极高风险(&gt;180天为主)"/>
    <s v="C-小额(5-30万)｜未知/缺数据｜极高风险(&gt;180天为主)"/>
    <n v="26562474.719999999"/>
    <n v="157899155.28"/>
  </r>
  <r>
    <x v="50"/>
    <n v="5"/>
    <n v="2"/>
    <n v="3"/>
    <n v="0.6"/>
    <n v="695000.03"/>
    <n v="455000"/>
    <n v="240000.03"/>
    <n v="101"/>
    <n v="154"/>
    <n v="395"/>
    <n v="967.33332616666758"/>
    <n v="1"/>
    <n v="1"/>
    <n v="0.34560000000000002"/>
    <x v="2"/>
    <x v="1"/>
    <s v="极高风险(&gt;180天为主)"/>
    <s v="C-小额(5-30万)｜很慢(&gt;90天)｜极高风险(&gt;180天为主)"/>
    <n v="80234505.434879988"/>
    <n v="151925521.86511999"/>
  </r>
  <r>
    <x v="51"/>
    <n v="2"/>
    <n v="2"/>
    <n v="0"/>
    <n v="0"/>
    <n v="233004.02"/>
    <n v="0"/>
    <n v="233004.02"/>
    <n v="1161"/>
    <m/>
    <m/>
    <n v="681.99998283291427"/>
    <n v="1"/>
    <n v="1"/>
    <n v="0.14399999999999999"/>
    <x v="2"/>
    <x v="0"/>
    <s v="极高风险(&gt;180天为主)"/>
    <s v="C-小额(5-30万)｜未知/缺数据｜极高风险(&gt;180天为主)"/>
    <n v="22882858.22016"/>
    <n v="136025879.41984001"/>
  </r>
  <r>
    <x v="52"/>
    <n v="1"/>
    <n v="1"/>
    <n v="0"/>
    <n v="0"/>
    <n v="258000"/>
    <n v="25800"/>
    <n v="232200"/>
    <m/>
    <m/>
    <n v="918"/>
    <n v="1033"/>
    <n v="1"/>
    <n v="1"/>
    <n v="0.22190442477876099"/>
    <x v="2"/>
    <x v="0"/>
    <s v="极高风险(&gt;180天为主)"/>
    <s v="C-小额(5-30万)｜未知/缺数据｜极高风险(&gt;180天为主)"/>
    <n v="53226572.278938048"/>
    <n v="186636027.72106189"/>
  </r>
  <r>
    <x v="53"/>
    <n v="2"/>
    <n v="2"/>
    <n v="0"/>
    <n v="0"/>
    <n v="255000"/>
    <n v="27764"/>
    <n v="227236"/>
    <n v="65"/>
    <m/>
    <n v="337"/>
    <n v="754.19485468851769"/>
    <n v="1"/>
    <n v="1"/>
    <n v="0.14399999999999999"/>
    <x v="2"/>
    <x v="0"/>
    <s v="极高风险(&gt;180天为主)"/>
    <s v="C-小额(5-30万)｜未知/缺数据｜极高风险(&gt;180天为主)"/>
    <n v="24678751.967999998"/>
    <n v="146701470.03200001"/>
  </r>
  <r>
    <x v="54"/>
    <n v="1"/>
    <n v="1"/>
    <n v="0"/>
    <n v="0"/>
    <n v="275599.99"/>
    <n v="53000"/>
    <n v="222599.99"/>
    <m/>
    <m/>
    <n v="462"/>
    <n v="981"/>
    <n v="1"/>
    <n v="1"/>
    <n v="0.22190442477876099"/>
    <x v="2"/>
    <x v="0"/>
    <s v="极高风险(&gt;180天为主)"/>
    <s v="C-小额(5-30万)｜未知/缺数据｜极高风险(&gt;180天为主)"/>
    <n v="48457400.204710513"/>
    <n v="169913189.98528951"/>
  </r>
  <r>
    <x v="55"/>
    <n v="1"/>
    <n v="1"/>
    <n v="0"/>
    <n v="0"/>
    <n v="218000"/>
    <n v="0"/>
    <n v="218000"/>
    <m/>
    <m/>
    <m/>
    <n v="848"/>
    <n v="1"/>
    <n v="1"/>
    <n v="0.22190442477876099"/>
    <x v="2"/>
    <x v="0"/>
    <s v="极高风险(&gt;180天为主)"/>
    <s v="C-小额(5-30万)｜未知/缺数据｜极高风险(&gt;180天为主)"/>
    <n v="41022139.582300879"/>
    <n v="143841860.4176991"/>
  </r>
  <r>
    <x v="56"/>
    <n v="1"/>
    <n v="1"/>
    <n v="0"/>
    <n v="0"/>
    <n v="214900"/>
    <n v="0"/>
    <n v="214900"/>
    <n v="276"/>
    <m/>
    <m/>
    <n v="1053"/>
    <n v="1"/>
    <n v="1"/>
    <n v="0.22190442477876099"/>
    <x v="2"/>
    <x v="0"/>
    <s v="极高风险(&gt;180天为主)"/>
    <s v="C-小额(5-30万)｜未知/缺数据｜极高风险(&gt;180天为主)"/>
    <n v="50214685.711858407"/>
    <n v="176075014.28814161"/>
  </r>
  <r>
    <x v="57"/>
    <n v="7"/>
    <n v="6"/>
    <n v="1"/>
    <n v="0.14285714285714279"/>
    <n v="381061.85"/>
    <n v="167814"/>
    <n v="213247.85"/>
    <n v="60.5"/>
    <n v="38"/>
    <n v="38"/>
    <n v="432.02096330631241"/>
    <n v="1"/>
    <n v="0.40213605905053679"/>
    <n v="0.192"/>
    <x v="2"/>
    <x v="2"/>
    <s v="极高风险(&gt;180天为主)"/>
    <s v="C-小额(5-30万)｜中(31-60天)｜极高风险(&gt;180天为主)"/>
    <n v="17688487.98336"/>
    <n v="74439053.596640006"/>
  </r>
  <r>
    <x v="58"/>
    <n v="5"/>
    <n v="3"/>
    <n v="2"/>
    <n v="0.4"/>
    <n v="397140.02"/>
    <n v="194761.49"/>
    <n v="202378.53"/>
    <n v="52"/>
    <n v="189.5"/>
    <n v="330"/>
    <n v="1004.774711082248"/>
    <n v="1"/>
    <n v="1"/>
    <n v="0.27839999999999998"/>
    <x v="2"/>
    <x v="1"/>
    <s v="极高风险(&gt;180天为主)"/>
    <s v="C-小额(5-30万)｜很慢(&gt;90天)｜极高风险(&gt;180天为主)"/>
    <n v="56611200.396384001"/>
    <n v="146733628.61361599"/>
  </r>
  <r>
    <x v="59"/>
    <n v="1"/>
    <n v="1"/>
    <n v="0"/>
    <n v="0"/>
    <n v="396000"/>
    <n v="198000"/>
    <n v="198000"/>
    <n v="62"/>
    <m/>
    <n v="669"/>
    <n v="750"/>
    <n v="1"/>
    <n v="1"/>
    <n v="0.22190442477876099"/>
    <x v="2"/>
    <x v="0"/>
    <s v="极高风险(&gt;180天为主)"/>
    <s v="C-小额(5-30万)｜未知/缺数据｜极高风险(&gt;180天为主)"/>
    <n v="32952807.07964601"/>
    <n v="115547192.92035399"/>
  </r>
  <r>
    <x v="60"/>
    <n v="1"/>
    <n v="1"/>
    <n v="0"/>
    <n v="0"/>
    <n v="203280"/>
    <n v="10000"/>
    <n v="193280"/>
    <n v="75"/>
    <m/>
    <n v="895"/>
    <n v="984"/>
    <n v="1"/>
    <n v="1"/>
    <n v="0.22190442477876099"/>
    <x v="2"/>
    <x v="0"/>
    <s v="极高风险(&gt;180天为主)"/>
    <s v="C-小额(5-30万)｜未知/缺数据｜极高风险(&gt;180天为主)"/>
    <n v="42203452.225699112"/>
    <n v="147984067.7743009"/>
  </r>
  <r>
    <x v="61"/>
    <n v="1"/>
    <n v="1"/>
    <n v="0"/>
    <n v="0"/>
    <n v="190000"/>
    <n v="0"/>
    <n v="190000"/>
    <n v="274"/>
    <m/>
    <m/>
    <n v="990"/>
    <n v="1"/>
    <n v="1"/>
    <n v="0.22190442477876099"/>
    <x v="2"/>
    <x v="0"/>
    <s v="极高风险(&gt;180天为主)"/>
    <s v="C-小额(5-30万)｜未知/缺数据｜极高风险(&gt;180天为主)"/>
    <n v="41740222.300884947"/>
    <n v="146359777.69911501"/>
  </r>
  <r>
    <x v="62"/>
    <n v="4"/>
    <n v="3"/>
    <n v="1"/>
    <n v="0.25"/>
    <n v="266424"/>
    <n v="77424"/>
    <n v="189000"/>
    <n v="59"/>
    <n v="372"/>
    <n v="427.5"/>
    <n v="1012.428571428571"/>
    <n v="1"/>
    <n v="1"/>
    <n v="0.22800000000000001"/>
    <x v="2"/>
    <x v="1"/>
    <s v="极高风险(&gt;180天为主)"/>
    <s v="C-小额(5-30万)｜很慢(&gt;90天)｜极高风险(&gt;180天为主)"/>
    <n v="43627571.999999993"/>
    <n v="147721428"/>
  </r>
  <r>
    <x v="63"/>
    <n v="1"/>
    <n v="1"/>
    <n v="0"/>
    <n v="0"/>
    <n v="235000"/>
    <n v="47000"/>
    <n v="188000"/>
    <m/>
    <m/>
    <m/>
    <n v="365"/>
    <n v="1"/>
    <n v="1"/>
    <n v="0.22190442477876099"/>
    <x v="2"/>
    <x v="0"/>
    <s v="极高风险(&gt;180天为主)"/>
    <s v="C-小额(5-30万)｜未知/缺数据｜极高风险(&gt;180天为主)"/>
    <n v="15227081.62831858"/>
    <n v="53392918.371681407"/>
  </r>
  <r>
    <x v="64"/>
    <n v="1"/>
    <n v="1"/>
    <n v="0"/>
    <n v="0"/>
    <n v="183250"/>
    <n v="0"/>
    <n v="183250"/>
    <m/>
    <m/>
    <m/>
    <n v="912"/>
    <n v="1"/>
    <n v="1"/>
    <n v="0.22190442477876099"/>
    <x v="2"/>
    <x v="0"/>
    <s v="极高风险(&gt;180天为主)"/>
    <s v="C-小额(5-30万)｜未知/缺数据｜极高风险(&gt;180天为主)"/>
    <n v="37085555.08672566"/>
    <n v="130038444.9132743"/>
  </r>
  <r>
    <x v="65"/>
    <n v="1"/>
    <n v="1"/>
    <n v="0"/>
    <n v="0"/>
    <n v="190000"/>
    <n v="9500"/>
    <n v="180500"/>
    <n v="234"/>
    <m/>
    <n v="827"/>
    <n v="935"/>
    <n v="1"/>
    <n v="1"/>
    <n v="0.22190442477876099"/>
    <x v="2"/>
    <x v="0"/>
    <s v="极高风险(&gt;180天为主)"/>
    <s v="C-小额(5-30万)｜未知/缺数据｜极高风险(&gt;180天为主)"/>
    <n v="37450255.008849546"/>
    <n v="131317244.99115039"/>
  </r>
  <r>
    <x v="66"/>
    <n v="1"/>
    <n v="1"/>
    <n v="0"/>
    <n v="0"/>
    <n v="195000"/>
    <n v="19500"/>
    <n v="175500"/>
    <n v="111"/>
    <m/>
    <n v="511"/>
    <n v="949"/>
    <n v="1"/>
    <n v="1"/>
    <n v="0.22190442477876099"/>
    <x v="2"/>
    <x v="0"/>
    <s v="极高风险(&gt;180天为主)"/>
    <s v="C-小额(5-30万)｜未知/缺数据｜极高风险(&gt;180天为主)"/>
    <n v="36958070.994690262"/>
    <n v="129591429.0053097"/>
  </r>
  <r>
    <x v="67"/>
    <n v="1"/>
    <n v="1"/>
    <n v="0"/>
    <n v="0"/>
    <n v="187000"/>
    <n v="18386.78"/>
    <n v="168613.22"/>
    <m/>
    <m/>
    <n v="338"/>
    <n v="717"/>
    <n v="1"/>
    <n v="1"/>
    <n v="0.22190442477876099"/>
    <x v="2"/>
    <x v="0"/>
    <s v="极高风险(&gt;180天为主)"/>
    <s v="C-小额(5-30万)｜未知/缺数据｜极高风险(&gt;180天为主)"/>
    <n v="26827286.049037591"/>
    <n v="94068392.690962404"/>
  </r>
  <r>
    <x v="68"/>
    <n v="2"/>
    <n v="2"/>
    <n v="0"/>
    <n v="0"/>
    <n v="160000"/>
    <n v="0"/>
    <n v="160000"/>
    <n v="57"/>
    <m/>
    <m/>
    <n v="1045.4124999999999"/>
    <n v="1"/>
    <n v="1"/>
    <n v="0.14399999999999999"/>
    <x v="2"/>
    <x v="0"/>
    <s v="极高风险(&gt;180天为主)"/>
    <s v="C-小额(5-30万)｜未知/缺数据｜极高风险(&gt;180天为主)"/>
    <n v="24086304"/>
    <n v="143179696"/>
  </r>
  <r>
    <x v="69"/>
    <n v="3"/>
    <n v="3"/>
    <n v="0"/>
    <n v="0"/>
    <n v="160795"/>
    <n v="1900"/>
    <n v="158895"/>
    <n v="893"/>
    <m/>
    <n v="395"/>
    <n v="749.17643726989525"/>
    <n v="1"/>
    <n v="1"/>
    <n v="0.14399999999999999"/>
    <x v="2"/>
    <x v="0"/>
    <s v="极高风险(&gt;180天为主)"/>
    <s v="C-小额(5-30万)｜未知/缺数据｜极高风险(&gt;180天为主)"/>
    <n v="17141816.16"/>
    <n v="101898573.84"/>
  </r>
  <r>
    <x v="70"/>
    <n v="3"/>
    <n v="3"/>
    <n v="0"/>
    <n v="0"/>
    <n v="202056.4"/>
    <n v="44527.16"/>
    <n v="157529.24"/>
    <m/>
    <m/>
    <n v="336"/>
    <n v="570.84380068106725"/>
    <n v="1"/>
    <n v="1"/>
    <n v="0.14399999999999999"/>
    <x v="2"/>
    <x v="0"/>
    <s v="极高风险(&gt;180天为主)"/>
    <s v="C-小额(5-30万)｜未知/缺数据｜极高风险(&gt;180天为主)"/>
    <n v="12949140.971519999"/>
    <n v="76975449.108479992"/>
  </r>
  <r>
    <x v="71"/>
    <n v="1"/>
    <n v="1"/>
    <n v="0"/>
    <n v="0"/>
    <n v="152000"/>
    <n v="2000"/>
    <n v="150000"/>
    <n v="297"/>
    <m/>
    <n v="592"/>
    <n v="1092"/>
    <n v="1"/>
    <n v="1"/>
    <n v="0.22190442477876099"/>
    <x v="2"/>
    <x v="0"/>
    <s v="极高风险(&gt;180天为主)"/>
    <s v="C-小额(5-30万)｜未知/缺数据｜极高风险(&gt;180天为主)"/>
    <n v="36347944.778761059"/>
    <n v="127452055.2212389"/>
  </r>
  <r>
    <x v="72"/>
    <n v="1"/>
    <n v="1"/>
    <n v="0"/>
    <n v="0"/>
    <n v="158000"/>
    <n v="15800"/>
    <n v="142200"/>
    <m/>
    <m/>
    <n v="531"/>
    <n v="996"/>
    <n v="1"/>
    <n v="1"/>
    <n v="0.22190442477876099"/>
    <x v="2"/>
    <x v="0"/>
    <s v="极高风险(&gt;180天为主)"/>
    <s v="C-小额(5-30万)｜未知/缺数据｜极高风险(&gt;180天为主)"/>
    <n v="31428589.966725659"/>
    <n v="110202610.03327429"/>
  </r>
  <r>
    <x v="73"/>
    <n v="8"/>
    <n v="7"/>
    <n v="1"/>
    <n v="0.125"/>
    <n v="151600"/>
    <n v="9964"/>
    <n v="141636"/>
    <n v="164"/>
    <n v="904"/>
    <n v="904"/>
    <n v="857.14597983563499"/>
    <n v="1"/>
    <n v="1"/>
    <n v="0.186"/>
    <x v="2"/>
    <x v="1"/>
    <s v="极高风险(&gt;180天为主)"/>
    <s v="C-小额(5-30万)｜很慢(&gt;90天)｜极高风险(&gt;180天为主)"/>
    <n v="22580907.408"/>
    <n v="98821820.592000008"/>
  </r>
  <r>
    <x v="74"/>
    <n v="2"/>
    <n v="2"/>
    <n v="0"/>
    <n v="0"/>
    <n v="185520.18"/>
    <n v="50000"/>
    <n v="135520.18"/>
    <n v="120"/>
    <m/>
    <n v="244"/>
    <n v="947.48519017610511"/>
    <n v="1"/>
    <n v="1"/>
    <n v="0.14399999999999999"/>
    <x v="2"/>
    <x v="0"/>
    <s v="极高风险(&gt;180天为主)"/>
    <s v="C-小额(5-30万)｜未知/缺数据｜极高风险(&gt;180天为主)"/>
    <n v="18490084.34688"/>
    <n v="109913279.17312001"/>
  </r>
  <r>
    <x v="75"/>
    <n v="1"/>
    <n v="1"/>
    <n v="0"/>
    <n v="0"/>
    <n v="228000"/>
    <n v="100000"/>
    <n v="128000"/>
    <m/>
    <m/>
    <n v="47"/>
    <n v="51"/>
    <n v="0"/>
    <n v="0"/>
    <n v="0.41607079646017697"/>
    <x v="2"/>
    <x v="0"/>
    <s v="中风险(30-90天)"/>
    <s v="C-小额(5-30万)｜未知/缺数据｜中风险(30-90天)"/>
    <n v="2716110.1592920348"/>
    <n v="3811889.8407079652"/>
  </r>
  <r>
    <x v="76"/>
    <n v="2"/>
    <n v="2"/>
    <n v="0"/>
    <n v="0"/>
    <n v="300900"/>
    <n v="174735.35"/>
    <n v="126164.65"/>
    <m/>
    <m/>
    <n v="427"/>
    <n v="881.94226235320275"/>
    <n v="1"/>
    <n v="1"/>
    <n v="0.14399999999999999"/>
    <x v="2"/>
    <x v="0"/>
    <s v="极高风险(&gt;180天为主)"/>
    <s v="C-小额(5-30万)｜未知/缺数据｜极高风险(&gt;180天为主)"/>
    <n v="16022870.906400001"/>
    <n v="95247065.943599999"/>
  </r>
  <r>
    <x v="77"/>
    <n v="2"/>
    <n v="2"/>
    <n v="0"/>
    <n v="0"/>
    <n v="140000"/>
    <n v="14000"/>
    <n v="126000"/>
    <n v="63"/>
    <m/>
    <n v="681"/>
    <n v="828"/>
    <n v="1"/>
    <n v="1"/>
    <n v="0.14399999999999999"/>
    <x v="2"/>
    <x v="0"/>
    <s v="极高风险(&gt;180天为主)"/>
    <s v="C-小额(5-30万)｜未知/缺数据｜极高风险(&gt;180天为主)"/>
    <n v="15023232"/>
    <n v="89304768"/>
  </r>
  <r>
    <x v="78"/>
    <n v="2"/>
    <n v="2"/>
    <n v="0"/>
    <n v="0"/>
    <n v="132400"/>
    <n v="6620"/>
    <n v="125780"/>
    <n v="414"/>
    <m/>
    <n v="446"/>
    <n v="862"/>
    <n v="1"/>
    <n v="1"/>
    <n v="0.14399999999999999"/>
    <x v="2"/>
    <x v="0"/>
    <s v="极高风险(&gt;180天为主)"/>
    <s v="C-小额(5-30万)｜未知/缺数据｜极高风险(&gt;180天为主)"/>
    <n v="15612819.84"/>
    <n v="92809540.159999996"/>
  </r>
  <r>
    <x v="79"/>
    <n v="2"/>
    <n v="1"/>
    <n v="0"/>
    <n v="0"/>
    <n v="558000"/>
    <n v="432450"/>
    <n v="125550"/>
    <m/>
    <m/>
    <n v="287"/>
    <n v="413"/>
    <n v="1"/>
    <n v="1"/>
    <n v="0.14399999999999999"/>
    <x v="2"/>
    <x v="0"/>
    <s v="极高风险(&gt;180天为主)"/>
    <s v="C-小额(5-30万)｜未知/缺数据｜极高风险(&gt;180天为主)"/>
    <n v="7466709.5999999996"/>
    <n v="44385440.399999999"/>
  </r>
  <r>
    <x v="80"/>
    <n v="2"/>
    <n v="2"/>
    <n v="0"/>
    <n v="0"/>
    <n v="119700"/>
    <n v="0"/>
    <n v="119700"/>
    <n v="87.5"/>
    <m/>
    <m/>
    <n v="1053"/>
    <n v="1"/>
    <n v="1"/>
    <n v="0.14399999999999999"/>
    <x v="2"/>
    <x v="0"/>
    <s v="极高风险(&gt;180天为主)"/>
    <s v="C-小额(5-30万)｜未知/缺数据｜极高风险(&gt;180天为主)"/>
    <n v="18150350.399999999"/>
    <n v="107893749.59999999"/>
  </r>
  <r>
    <x v="81"/>
    <n v="3"/>
    <n v="2"/>
    <n v="1"/>
    <n v="0.33333333333333331"/>
    <n v="312788"/>
    <n v="195688"/>
    <n v="119600"/>
    <n v="201.5"/>
    <n v="676"/>
    <n v="676"/>
    <n v="1043"/>
    <n v="1"/>
    <n v="1"/>
    <n v="0.25600000000000001"/>
    <x v="2"/>
    <x v="1"/>
    <s v="极高风险(&gt;180天为主)"/>
    <s v="C-小额(5-30万)｜很慢(&gt;90天)｜极高风险(&gt;180天为主)"/>
    <n v="31934156.800000001"/>
    <n v="92808643.200000003"/>
  </r>
  <r>
    <x v="82"/>
    <n v="2"/>
    <n v="2"/>
    <n v="0"/>
    <n v="0"/>
    <n v="209000"/>
    <n v="91500"/>
    <n v="117500"/>
    <m/>
    <m/>
    <n v="414"/>
    <n v="990.92765957446807"/>
    <n v="1"/>
    <n v="1"/>
    <n v="0.14399999999999999"/>
    <x v="2"/>
    <x v="0"/>
    <s v="极高风险(&gt;180天为主)"/>
    <s v="C-小额(5-30万)｜未知/缺数据｜极高风险(&gt;180天为主)"/>
    <n v="16766496"/>
    <n v="99667504"/>
  </r>
  <r>
    <x v="83"/>
    <n v="3"/>
    <n v="3"/>
    <n v="0"/>
    <n v="0"/>
    <n v="174320"/>
    <n v="64238.81"/>
    <n v="110081.19"/>
    <m/>
    <m/>
    <n v="587"/>
    <n v="1016"/>
    <n v="1"/>
    <n v="1"/>
    <n v="0.14399999999999999"/>
    <x v="2"/>
    <x v="0"/>
    <s v="极高风险(&gt;180天为主)"/>
    <s v="C-小额(5-30万)｜未知/缺数据｜极高风险(&gt;180天为主)"/>
    <n v="16105318.42176"/>
    <n v="95737170.618239999"/>
  </r>
  <r>
    <x v="84"/>
    <n v="2"/>
    <n v="2"/>
    <n v="0"/>
    <n v="0"/>
    <n v="112000"/>
    <n v="2500"/>
    <n v="109500"/>
    <n v="37"/>
    <m/>
    <n v="348"/>
    <n v="938.51598173515981"/>
    <n v="1"/>
    <n v="1"/>
    <n v="0.14399999999999999"/>
    <x v="2"/>
    <x v="0"/>
    <s v="极高风险(&gt;180天为主)"/>
    <s v="C-小额(5-30万)｜未知/缺数据｜极高风险(&gt;180天为主)"/>
    <n v="14798520"/>
    <n v="87968980"/>
  </r>
  <r>
    <x v="85"/>
    <n v="3"/>
    <n v="3"/>
    <n v="0"/>
    <n v="0"/>
    <n v="188000"/>
    <n v="80000"/>
    <n v="108000"/>
    <n v="38"/>
    <m/>
    <n v="732"/>
    <n v="981.16927777777778"/>
    <n v="1"/>
    <n v="1"/>
    <n v="0.14399999999999999"/>
    <x v="2"/>
    <x v="0"/>
    <s v="极高风险(&gt;180天为主)"/>
    <s v="C-小额(5-30万)｜未知/缺数据｜极高风险(&gt;180天为主)"/>
    <n v="15259144.607999999"/>
    <n v="90707137.392000005"/>
  </r>
  <r>
    <x v="86"/>
    <n v="1"/>
    <n v="1"/>
    <n v="0"/>
    <n v="0"/>
    <n v="692581"/>
    <n v="588000"/>
    <n v="104581"/>
    <m/>
    <m/>
    <n v="337"/>
    <n v="408"/>
    <n v="1"/>
    <n v="1"/>
    <n v="0.22190442477876099"/>
    <x v="2"/>
    <x v="0"/>
    <s v="极高风险(&gt;180天为主)"/>
    <s v="C-小额(5-30万)｜未知/缺数据｜极高风险(&gt;180天为主)"/>
    <n v="9468450.5522973444"/>
    <n v="33200597.447702661"/>
  </r>
  <r>
    <x v="87"/>
    <n v="2"/>
    <n v="2"/>
    <n v="0"/>
    <n v="0"/>
    <n v="103000"/>
    <n v="1500"/>
    <n v="101500"/>
    <n v="34"/>
    <m/>
    <n v="765"/>
    <n v="989.58128078817731"/>
    <n v="1"/>
    <n v="1"/>
    <n v="0.14399999999999999"/>
    <x v="2"/>
    <x v="0"/>
    <s v="极高风险(&gt;180天为主)"/>
    <s v="C-小额(5-30万)｜未知/缺数据｜极高风险(&gt;180天为主)"/>
    <n v="14463720"/>
    <n v="85978780"/>
  </r>
  <r>
    <x v="88"/>
    <n v="1"/>
    <n v="1"/>
    <n v="0"/>
    <n v="0"/>
    <n v="95000"/>
    <n v="0"/>
    <n v="95000"/>
    <n v="254"/>
    <m/>
    <m/>
    <n v="953"/>
    <n v="1"/>
    <n v="1"/>
    <n v="0.22190442477876099"/>
    <x v="2"/>
    <x v="0"/>
    <s v="极高风险(&gt;180天为主)"/>
    <s v="C-小额(5-30万)｜未知/缺数据｜极高风险(&gt;180天为主)"/>
    <n v="20090117.097345129"/>
    <n v="70444882.902654871"/>
  </r>
  <r>
    <x v="89"/>
    <n v="3"/>
    <n v="2"/>
    <n v="1"/>
    <n v="0.33333333333333331"/>
    <n v="131844"/>
    <n v="37384.400000000001"/>
    <n v="94459.6"/>
    <m/>
    <n v="156"/>
    <n v="283"/>
    <n v="861.68834507027339"/>
    <n v="1"/>
    <n v="1"/>
    <n v="0.25600000000000001"/>
    <x v="2"/>
    <x v="1"/>
    <s v="极高风险(&gt;180天为主)"/>
    <s v="C-小额(5-30万)｜很慢(&gt;90天)｜极高风险(&gt;180天为主)"/>
    <n v="20837052.518399999"/>
    <n v="60557683.881600007"/>
  </r>
  <r>
    <x v="90"/>
    <n v="2"/>
    <n v="2"/>
    <n v="0"/>
    <n v="0"/>
    <n v="325666"/>
    <n v="232079.4"/>
    <n v="93586.6"/>
    <n v="134"/>
    <m/>
    <n v="631.5"/>
    <n v="928.28543829992748"/>
    <n v="1"/>
    <n v="1"/>
    <n v="0.14399999999999999"/>
    <x v="2"/>
    <x v="0"/>
    <s v="极高风险(&gt;180天为主)"/>
    <s v="C-小额(5-30万)｜未知/缺数据｜极高风险(&gt;180天为主)"/>
    <n v="12510011.232000001"/>
    <n v="74365066.767999992"/>
  </r>
  <r>
    <x v="91"/>
    <n v="1"/>
    <n v="1"/>
    <n v="0"/>
    <n v="0"/>
    <n v="90946.91"/>
    <n v="0"/>
    <n v="90946.91"/>
    <m/>
    <m/>
    <m/>
    <n v="990"/>
    <n v="1"/>
    <n v="1"/>
    <n v="0.22190442477876099"/>
    <x v="2"/>
    <x v="0"/>
    <s v="极高风险(&gt;180天为主)"/>
    <s v="C-小额(5-30万)｜未知/缺数据｜极高风险(&gt;180天为主)"/>
    <n v="19979706.53146619"/>
    <n v="70057734.368533805"/>
  </r>
  <r>
    <x v="92"/>
    <n v="3"/>
    <n v="3"/>
    <n v="0"/>
    <n v="0"/>
    <n v="108000.02"/>
    <n v="18000"/>
    <n v="90000.01999999999"/>
    <n v="160.5"/>
    <m/>
    <n v="311"/>
    <n v="948.22223283950382"/>
    <n v="1"/>
    <n v="1"/>
    <n v="0.14399999999999999"/>
    <x v="2"/>
    <x v="0"/>
    <s v="极高风险(&gt;180天为主)"/>
    <s v="C-小额(5-30万)｜未知/缺数据｜极高风险(&gt;180天为主)"/>
    <n v="12288962.868480001"/>
    <n v="73051057.05151999"/>
  </r>
  <r>
    <x v="93"/>
    <n v="1"/>
    <n v="1"/>
    <n v="0"/>
    <n v="0"/>
    <n v="89115.04"/>
    <n v="0"/>
    <n v="89115.04"/>
    <m/>
    <m/>
    <m/>
    <n v="1039"/>
    <n v="1"/>
    <n v="1"/>
    <n v="0.22190442477876099"/>
    <x v="2"/>
    <x v="0"/>
    <s v="极高风险(&gt;180天为主)"/>
    <s v="C-小额(5-30万)｜未知/缺数据｜极高风险(&gt;180天为主)"/>
    <n v="20546247.53625939"/>
    <n v="72044279.02374059"/>
  </r>
  <r>
    <x v="94"/>
    <n v="3"/>
    <n v="3"/>
    <n v="1"/>
    <n v="0.33333333333333331"/>
    <n v="255000"/>
    <n v="169592"/>
    <n v="85408"/>
    <n v="49.5"/>
    <n v="455"/>
    <n v="544"/>
    <n v="740.28596852753844"/>
    <n v="1"/>
    <n v="1"/>
    <n v="0.25600000000000001"/>
    <x v="2"/>
    <x v="1"/>
    <s v="极高风险(&gt;180天为主)"/>
    <s v="C-小额(5-30万)｜很慢(&gt;90天)｜极高风险(&gt;180天为主)"/>
    <n v="16185944.063999999"/>
    <n v="47040399.935999997"/>
  </r>
  <r>
    <x v="95"/>
    <n v="4"/>
    <n v="4"/>
    <n v="0"/>
    <n v="0"/>
    <n v="83930"/>
    <n v="0"/>
    <n v="83930"/>
    <n v="16.5"/>
    <m/>
    <m/>
    <n v="994"/>
    <n v="1"/>
    <n v="1"/>
    <n v="0.14399999999999999"/>
    <x v="2"/>
    <x v="0"/>
    <s v="极高风险(&gt;180天为主)"/>
    <s v="C-小额(5-30万)｜未知/缺数据｜极高风险(&gt;180天为主)"/>
    <n v="12013404.48"/>
    <n v="71413015.519999996"/>
  </r>
  <r>
    <x v="96"/>
    <n v="2"/>
    <n v="1"/>
    <n v="1"/>
    <n v="0.5"/>
    <n v="113983.48"/>
    <n v="101393"/>
    <n v="80325"/>
    <m/>
    <n v="158"/>
    <n v="396"/>
    <n v="902"/>
    <n v="1"/>
    <n v="1"/>
    <n v="0.31199999999999989"/>
    <x v="2"/>
    <x v="1"/>
    <s v="极高风险(&gt;180天为主)"/>
    <s v="C-小额(5-30万)｜很慢(&gt;90天)｜极高风险(&gt;180天为主)"/>
    <n v="22605382.800000001"/>
    <n v="49847767.200000003"/>
  </r>
  <r>
    <x v="97"/>
    <n v="2"/>
    <n v="2"/>
    <n v="0"/>
    <n v="0"/>
    <n v="95134.7"/>
    <n v="15875.37"/>
    <n v="79259.329999999987"/>
    <n v="60"/>
    <m/>
    <n v="770.5"/>
    <n v="861.40571135284642"/>
    <n v="1"/>
    <n v="1"/>
    <n v="0.14399999999999999"/>
    <x v="2"/>
    <x v="0"/>
    <s v="极高风险(&gt;180天为主)"/>
    <s v="C-小额(5-30万)｜未知/缺数据｜极高风险(&gt;180天为主)"/>
    <n v="9831519.2937599979"/>
    <n v="58442920.24623999"/>
  </r>
  <r>
    <x v="98"/>
    <n v="1"/>
    <n v="1"/>
    <n v="0"/>
    <n v="0"/>
    <n v="72000"/>
    <n v="0"/>
    <n v="72000"/>
    <n v="6"/>
    <m/>
    <m/>
    <n v="940"/>
    <n v="1"/>
    <n v="1"/>
    <n v="0.22190442477876099"/>
    <x v="2"/>
    <x v="0"/>
    <s v="极高风险(&gt;180天为主)"/>
    <s v="C-小额(5-30万)｜未知/缺数据｜极高风险(&gt;180天为主)"/>
    <n v="15018491.469026551"/>
    <n v="52661508.530973449"/>
  </r>
  <r>
    <x v="99"/>
    <n v="1"/>
    <n v="1"/>
    <n v="0"/>
    <n v="0"/>
    <n v="72000"/>
    <n v="0"/>
    <n v="72000"/>
    <m/>
    <m/>
    <m/>
    <n v="759"/>
    <n v="1"/>
    <n v="1"/>
    <n v="0.22190442477876099"/>
    <x v="2"/>
    <x v="0"/>
    <s v="极高风险(&gt;180天为主)"/>
    <s v="C-小额(5-30万)｜未知/缺数据｜极高风险(&gt;180天为主)"/>
    <n v="12126633.005309731"/>
    <n v="42521366.994690269"/>
  </r>
  <r>
    <x v="100"/>
    <n v="1"/>
    <n v="1"/>
    <n v="0"/>
    <n v="0"/>
    <n v="131220"/>
    <n v="59420"/>
    <n v="71800"/>
    <m/>
    <m/>
    <n v="370"/>
    <n v="830"/>
    <n v="1"/>
    <n v="1"/>
    <n v="0.22190442477876099"/>
    <x v="2"/>
    <x v="0"/>
    <s v="极高风险(&gt;180天为主)"/>
    <s v="C-小额(5-30万)｜未知/缺数据｜极高风险(&gt;180天为主)"/>
    <n v="13224172.290265489"/>
    <n v="46369827.709734507"/>
  </r>
  <r>
    <x v="101"/>
    <n v="1"/>
    <n v="1"/>
    <n v="0"/>
    <n v="0"/>
    <n v="71190"/>
    <n v="0"/>
    <n v="71190"/>
    <m/>
    <m/>
    <m/>
    <n v="1012"/>
    <n v="1"/>
    <n v="1"/>
    <n v="0.22190442477876099"/>
    <x v="2"/>
    <x v="0"/>
    <s v="极高风险(&gt;180天为主)"/>
    <s v="C-小额(5-30万)｜未知/缺数据｜极高风险(&gt;180天为主)"/>
    <n v="15986944.512"/>
    <n v="56057335.487999998"/>
  </r>
  <r>
    <x v="102"/>
    <n v="2"/>
    <n v="1"/>
    <n v="1"/>
    <n v="0.5"/>
    <n v="77973.84"/>
    <n v="20795.25"/>
    <n v="70173"/>
    <n v="57"/>
    <n v="634"/>
    <n v="575.5"/>
    <n v="926"/>
    <n v="1"/>
    <n v="1"/>
    <n v="0.31199999999999989"/>
    <x v="2"/>
    <x v="1"/>
    <s v="极高风险(&gt;180天为主)"/>
    <s v="C-小额(5-30万)｜很慢(&gt;90天)｜极高风险(&gt;180天为主)"/>
    <n v="20273821.776000001"/>
    <n v="44706376.224000007"/>
  </r>
  <r>
    <x v="103"/>
    <n v="1"/>
    <n v="1"/>
    <n v="0"/>
    <n v="0"/>
    <n v="72700"/>
    <n v="2700"/>
    <n v="70000"/>
    <n v="30"/>
    <m/>
    <n v="375"/>
    <n v="995"/>
    <n v="1"/>
    <n v="1"/>
    <n v="0.22190442477876099"/>
    <x v="2"/>
    <x v="0"/>
    <s v="极高风险(&gt;180天为主)"/>
    <s v="C-小额(5-30万)｜未知/缺数据｜极高风险(&gt;180天为主)"/>
    <n v="15455643.185840709"/>
    <n v="54194356.814159296"/>
  </r>
  <r>
    <x v="104"/>
    <n v="3"/>
    <n v="2"/>
    <n v="1"/>
    <n v="0.33333333333333331"/>
    <n v="71152.990000000005"/>
    <n v="4180"/>
    <n v="69693"/>
    <n v="13.5"/>
    <n v="602"/>
    <n v="679.5"/>
    <n v="773.98893719598811"/>
    <n v="1"/>
    <n v="1"/>
    <n v="0.25600000000000001"/>
    <x v="2"/>
    <x v="1"/>
    <s v="极高风险(&gt;180天为主)"/>
    <s v="C-小额(5-30万)｜很慢(&gt;90天)｜极高风险(&gt;180天为主)"/>
    <n v="13809052.415999999"/>
    <n v="40132558.583999999"/>
  </r>
  <r>
    <x v="105"/>
    <n v="1"/>
    <n v="1"/>
    <n v="0"/>
    <n v="0"/>
    <n v="71666.66"/>
    <n v="3583.33"/>
    <n v="68083.33"/>
    <m/>
    <m/>
    <n v="399"/>
    <n v="836"/>
    <n v="1"/>
    <n v="1"/>
    <n v="0.22190442477876099"/>
    <x v="2"/>
    <x v="0"/>
    <s v="极高风险(&gt;180天为主)"/>
    <s v="C-小额(5-30万)｜未知/缺数据｜极高风险(&gt;180天为主)"/>
    <n v="12630281.463042259"/>
    <n v="44287382.416957743"/>
  </r>
  <r>
    <x v="106"/>
    <n v="1"/>
    <n v="1"/>
    <n v="0"/>
    <n v="0"/>
    <n v="68000"/>
    <n v="0"/>
    <n v="68000"/>
    <n v="69"/>
    <m/>
    <m/>
    <n v="1089"/>
    <n v="1"/>
    <n v="1"/>
    <n v="0.22190442477876099"/>
    <x v="2"/>
    <x v="0"/>
    <s v="极高风险(&gt;180天为主)"/>
    <s v="C-小额(5-30万)｜未知/缺数据｜极高风险(&gt;180天为主)"/>
    <n v="16432466.463716811"/>
    <n v="57619533.536283188"/>
  </r>
  <r>
    <x v="107"/>
    <n v="1"/>
    <n v="1"/>
    <n v="0"/>
    <n v="0"/>
    <n v="65686.5"/>
    <n v="0"/>
    <n v="65686.5"/>
    <m/>
    <m/>
    <m/>
    <n v="11"/>
    <n v="0"/>
    <n v="0"/>
    <n v="0.46230088495575222"/>
    <x v="2"/>
    <x v="0"/>
    <s v="低风险(&lt;30天)"/>
    <s v="C-小额(5-30万)｜未知/缺数据｜低风险(&lt;30天)"/>
    <n v="334036.19787610619"/>
    <n v="388515.30212389381"/>
  </r>
  <r>
    <x v="108"/>
    <n v="1"/>
    <n v="1"/>
    <n v="0"/>
    <n v="0"/>
    <n v="65000"/>
    <n v="0"/>
    <n v="65000"/>
    <n v="169"/>
    <m/>
    <m/>
    <n v="1082"/>
    <n v="1"/>
    <n v="1"/>
    <n v="0.22190442477876099"/>
    <x v="2"/>
    <x v="0"/>
    <s v="极高风险(&gt;180天为主)"/>
    <s v="C-小额(5-30万)｜未知/缺数据｜极高风险(&gt;180天为主)"/>
    <n v="15606538.194690259"/>
    <n v="54723461.805309743"/>
  </r>
  <r>
    <x v="109"/>
    <n v="1"/>
    <n v="1"/>
    <n v="0"/>
    <n v="0"/>
    <n v="68000"/>
    <n v="3400"/>
    <n v="64600"/>
    <m/>
    <m/>
    <n v="549"/>
    <n v="955"/>
    <n v="1"/>
    <n v="1"/>
    <n v="0.22190442477876099"/>
    <x v="2"/>
    <x v="0"/>
    <s v="极高风险(&gt;180天为主)"/>
    <s v="C-小额(5-30万)｜未知/缺数据｜极高风险(&gt;180天为主)"/>
    <n v="13689949.677876109"/>
    <n v="48003050.322123893"/>
  </r>
  <r>
    <x v="110"/>
    <n v="2"/>
    <n v="1"/>
    <n v="1"/>
    <n v="0.5"/>
    <n v="169000"/>
    <n v="104400"/>
    <n v="64600"/>
    <n v="98"/>
    <n v="423"/>
    <n v="587"/>
    <n v="832"/>
    <n v="1"/>
    <n v="1"/>
    <n v="0.31199999999999989"/>
    <x v="2"/>
    <x v="1"/>
    <s v="极高风险(&gt;180天为主)"/>
    <s v="C-小额(5-30万)｜很慢(&gt;90天)｜极高风险(&gt;180天为主)"/>
    <n v="16769126.4"/>
    <n v="36978073.600000001"/>
  </r>
  <r>
    <x v="111"/>
    <n v="1"/>
    <n v="1"/>
    <n v="0"/>
    <n v="0"/>
    <n v="215000"/>
    <n v="150500"/>
    <n v="64500"/>
    <m/>
    <m/>
    <n v="250"/>
    <n v="793"/>
    <n v="1"/>
    <n v="1"/>
    <n v="0.22190442477876099"/>
    <x v="2"/>
    <x v="0"/>
    <s v="极高风险(&gt;180天为主)"/>
    <s v="C-小额(5-30万)｜未知/缺数据｜极高风险(&gt;180天为主)"/>
    <n v="11350078.47079646"/>
    <n v="39798421.529203542"/>
  </r>
  <r>
    <x v="112"/>
    <n v="2"/>
    <n v="2"/>
    <n v="0"/>
    <n v="0"/>
    <n v="70004"/>
    <n v="5703.6"/>
    <n v="64300.4"/>
    <n v="159"/>
    <m/>
    <n v="561"/>
    <n v="990"/>
    <n v="1"/>
    <n v="1"/>
    <n v="0.14399999999999999"/>
    <x v="2"/>
    <x v="0"/>
    <s v="极高风险(&gt;180天为主)"/>
    <s v="C-小额(5-30万)｜未知/缺数据｜极高风险(&gt;180天为主)"/>
    <n v="9166665.0240000002"/>
    <n v="54490730.976000004"/>
  </r>
  <r>
    <x v="113"/>
    <n v="2"/>
    <n v="2"/>
    <n v="0"/>
    <n v="0"/>
    <n v="94000"/>
    <n v="30000"/>
    <n v="64000"/>
    <n v="44"/>
    <m/>
    <n v="421"/>
    <n v="770.9"/>
    <n v="1"/>
    <n v="1"/>
    <n v="0.14399999999999999"/>
    <x v="2"/>
    <x v="0"/>
    <s v="极高风险(&gt;180天为主)"/>
    <s v="C-小额(5-30万)｜未知/缺数据｜极高风险(&gt;180天为主)"/>
    <n v="7104614.3999999994"/>
    <n v="42232985.600000001"/>
  </r>
  <r>
    <x v="114"/>
    <n v="1"/>
    <n v="1"/>
    <n v="0"/>
    <n v="0"/>
    <n v="61600"/>
    <n v="0"/>
    <n v="61600"/>
    <n v="129"/>
    <m/>
    <m/>
    <n v="1043"/>
    <n v="1"/>
    <n v="1"/>
    <n v="0.22190442477876099"/>
    <x v="2"/>
    <x v="0"/>
    <s v="极高风险(&gt;180天为主)"/>
    <s v="C-小额(5-30万)｜未知/缺数据｜极高风险(&gt;180天为主)"/>
    <n v="14257093.00672566"/>
    <n v="49991706.993274339"/>
  </r>
  <r>
    <x v="115"/>
    <n v="1"/>
    <n v="1"/>
    <n v="0"/>
    <n v="0"/>
    <n v="60299.1"/>
    <n v="2000"/>
    <n v="58299.1"/>
    <n v="46"/>
    <m/>
    <n v="590"/>
    <n v="990"/>
    <n v="1"/>
    <n v="1"/>
    <n v="0.22190442477876099"/>
    <x v="2"/>
    <x v="0"/>
    <s v="极高风险(&gt;180天为主)"/>
    <s v="C-小额(5-30万)｜未知/缺数据｜极高风险(&gt;180天为主)"/>
    <n v="12807459.96811327"/>
    <n v="44908649.031886727"/>
  </r>
  <r>
    <x v="116"/>
    <n v="1"/>
    <n v="1"/>
    <n v="0"/>
    <n v="0"/>
    <n v="58000"/>
    <n v="0"/>
    <n v="58000"/>
    <n v="60"/>
    <m/>
    <m/>
    <n v="1052"/>
    <n v="1"/>
    <n v="1"/>
    <n v="0.22190442477876099"/>
    <x v="2"/>
    <x v="0"/>
    <s v="极高风险(&gt;180天为主)"/>
    <s v="C-小额(5-30万)｜未知/缺数据｜极高风险(&gt;180天为主)"/>
    <n v="13539720.38230088"/>
    <n v="47476279.617699116"/>
  </r>
  <r>
    <x v="117"/>
    <n v="1"/>
    <n v="1"/>
    <n v="0"/>
    <n v="0"/>
    <n v="58000"/>
    <n v="0"/>
    <n v="58000"/>
    <m/>
    <m/>
    <m/>
    <n v="836"/>
    <n v="1"/>
    <n v="1"/>
    <n v="0.22190442477876099"/>
    <x v="2"/>
    <x v="0"/>
    <s v="极高风险(&gt;180天为主)"/>
    <s v="C-小额(5-30万)｜未知/缺数据｜极高风险(&gt;180天为主)"/>
    <n v="10759701.748672569"/>
    <n v="37728298.251327433"/>
  </r>
  <r>
    <x v="118"/>
    <n v="1"/>
    <n v="1"/>
    <n v="0"/>
    <n v="0"/>
    <n v="57000"/>
    <n v="0"/>
    <n v="57000"/>
    <m/>
    <m/>
    <m/>
    <n v="871"/>
    <n v="1"/>
    <n v="1"/>
    <n v="0.22190442477876099"/>
    <x v="2"/>
    <x v="0"/>
    <s v="极高风险(&gt;180天为主)"/>
    <s v="C-小额(5-30万)｜未知/缺数据｜极高风险(&gt;180天为主)"/>
    <n v="11016888.976991151"/>
    <n v="38630111.023008853"/>
  </r>
  <r>
    <x v="119"/>
    <n v="1"/>
    <n v="1"/>
    <n v="0"/>
    <n v="0"/>
    <n v="92500"/>
    <n v="37000"/>
    <n v="55500"/>
    <m/>
    <m/>
    <n v="447"/>
    <n v="947"/>
    <n v="1"/>
    <n v="1"/>
    <n v="0.22190442477876099"/>
    <x v="2"/>
    <x v="0"/>
    <s v="极高风险(&gt;180天为主)"/>
    <s v="C-小额(5-30万)｜未知/缺数据｜极高风险(&gt;180天为主)"/>
    <n v="11662963.709734511"/>
    <n v="40895536.290265493"/>
  </r>
  <r>
    <x v="120"/>
    <n v="1"/>
    <n v="1"/>
    <n v="0"/>
    <n v="0"/>
    <n v="55000"/>
    <n v="0"/>
    <n v="55000"/>
    <n v="70"/>
    <m/>
    <m/>
    <n v="814"/>
    <n v="1"/>
    <n v="1"/>
    <n v="0.22190442477876099"/>
    <x v="2"/>
    <x v="0"/>
    <s v="极高风险(&gt;180天为主)"/>
    <s v="C-小额(5-30万)｜未知/缺数据｜极高风险(&gt;180天为主)"/>
    <n v="9934661.0973451324"/>
    <n v="34835338.902654871"/>
  </r>
  <r>
    <x v="121"/>
    <n v="2"/>
    <n v="1"/>
    <n v="0"/>
    <n v="0"/>
    <n v="99000"/>
    <n v="89100"/>
    <n v="54450"/>
    <m/>
    <m/>
    <n v="436"/>
    <n v="582"/>
    <n v="1"/>
    <n v="1"/>
    <n v="0.14399999999999999"/>
    <x v="2"/>
    <x v="0"/>
    <s v="极高风险(&gt;180天为主)"/>
    <s v="C-小额(5-30万)｜未知/缺数据｜极高风险(&gt;180天为主)"/>
    <n v="4563345.5999999996"/>
    <n v="27126554.399999999"/>
  </r>
  <r>
    <x v="122"/>
    <n v="3"/>
    <n v="3"/>
    <n v="0"/>
    <n v="0"/>
    <n v="53218.19"/>
    <n v="0"/>
    <n v="53218.19"/>
    <n v="43"/>
    <m/>
    <m/>
    <n v="1050.222589306401"/>
    <n v="1"/>
    <n v="1"/>
    <n v="0.14399999999999999"/>
    <x v="2"/>
    <x v="0"/>
    <s v="极高风险(&gt;180天为主)"/>
    <s v="C-小额(5-30万)｜未知/缺数据｜极高风险(&gt;180天为主)"/>
    <n v="8048296.1231999993"/>
    <n v="47842649.176799998"/>
  </r>
  <r>
    <x v="123"/>
    <n v="1"/>
    <n v="1"/>
    <n v="0"/>
    <n v="0"/>
    <n v="53000"/>
    <n v="0"/>
    <n v="53000"/>
    <m/>
    <m/>
    <m/>
    <n v="869"/>
    <n v="1"/>
    <n v="1"/>
    <n v="0.22190442477876099"/>
    <x v="2"/>
    <x v="0"/>
    <s v="极高风险(&gt;180天为主)"/>
    <s v="C-小额(5-30万)｜未知/缺数据｜极高风险(&gt;180天为主)"/>
    <n v="10220252.0920354"/>
    <n v="35836747.907964602"/>
  </r>
  <r>
    <x v="124"/>
    <n v="2"/>
    <n v="1"/>
    <n v="1"/>
    <n v="0.5"/>
    <n v="89309.239999999991"/>
    <n v="36309.24"/>
    <n v="53000"/>
    <n v="542"/>
    <n v="223"/>
    <n v="223"/>
    <n v="746"/>
    <n v="1"/>
    <n v="1"/>
    <n v="0.31199999999999989"/>
    <x v="2"/>
    <x v="1"/>
    <s v="极高风险(&gt;180天为主)"/>
    <s v="C-小额(5-30万)｜很慢(&gt;90天)｜极高风险(&gt;180天为主)"/>
    <n v="12335856"/>
    <n v="27202144"/>
  </r>
  <r>
    <x v="125"/>
    <n v="1"/>
    <n v="1"/>
    <n v="0"/>
    <n v="0"/>
    <n v="51143"/>
    <n v="0"/>
    <n v="51143"/>
    <m/>
    <m/>
    <m/>
    <n v="1093"/>
    <n v="1"/>
    <n v="1"/>
    <n v="0.22190442477876099"/>
    <x v="2"/>
    <x v="0"/>
    <s v="极高风险(&gt;180天为主)"/>
    <s v="C-小额(5-30万)｜未知/缺数据｜极高风险(&gt;180天为主)"/>
    <n v="12404301.790130969"/>
    <n v="43494997.209869027"/>
  </r>
  <r>
    <x v="126"/>
    <n v="1"/>
    <n v="1"/>
    <n v="0"/>
    <n v="0"/>
    <n v="198000"/>
    <n v="147075"/>
    <n v="50925"/>
    <m/>
    <m/>
    <n v="489"/>
    <n v="912"/>
    <n v="1"/>
    <n v="1"/>
    <n v="0.22190442477876099"/>
    <x v="2"/>
    <x v="0"/>
    <s v="极高风险(&gt;180天为主)"/>
    <s v="C-小额(5-30万)｜未知/缺数据｜极高风险(&gt;180天为主)"/>
    <n v="10306040.342654871"/>
    <n v="36137559.657345131"/>
  </r>
  <r>
    <x v="127"/>
    <n v="1"/>
    <n v="1"/>
    <n v="0"/>
    <n v="0"/>
    <n v="98000"/>
    <n v="48000"/>
    <n v="50000"/>
    <n v="286"/>
    <m/>
    <n v="520"/>
    <n v="1024"/>
    <n v="1"/>
    <n v="1"/>
    <n v="0.22190442477876099"/>
    <x v="2"/>
    <x v="0"/>
    <s v="极高风险(&gt;180天为主)"/>
    <s v="C-小额(5-30万)｜未知/缺数据｜极高风险(&gt;180天为主)"/>
    <n v="11361506.54867257"/>
    <n v="39838493.451327443"/>
  </r>
  <r>
    <x v="128"/>
    <n v="1"/>
    <n v="1"/>
    <n v="0"/>
    <n v="0"/>
    <n v="50000"/>
    <n v="0"/>
    <n v="50000"/>
    <n v="114"/>
    <m/>
    <m/>
    <n v="906"/>
    <n v="1"/>
    <n v="1"/>
    <n v="0.22190442477876099"/>
    <x v="2"/>
    <x v="0"/>
    <s v="极高风险(&gt;180天为主)"/>
    <s v="C-小额(5-30万)｜未知/缺数据｜极高风险(&gt;180天为主)"/>
    <n v="10052270.442477871"/>
    <n v="35247729.557522133"/>
  </r>
  <r>
    <x v="129"/>
    <n v="1"/>
    <n v="1"/>
    <n v="0"/>
    <n v="0"/>
    <n v="50000"/>
    <n v="0"/>
    <n v="50000"/>
    <n v="30"/>
    <m/>
    <m/>
    <n v="860"/>
    <n v="1"/>
    <n v="1"/>
    <n v="0.22190442477876099"/>
    <x v="2"/>
    <x v="0"/>
    <s v="极高风险(&gt;180天为主)"/>
    <s v="C-小额(5-30万)｜未知/缺数据｜极高风险(&gt;180天为主)"/>
    <n v="9541890.2654867247"/>
    <n v="33458109.734513279"/>
  </r>
  <r>
    <x v="130"/>
    <n v="1"/>
    <n v="1"/>
    <n v="0"/>
    <n v="0"/>
    <n v="197457"/>
    <n v="147457"/>
    <n v="50000"/>
    <m/>
    <m/>
    <n v="290"/>
    <n v="477"/>
    <n v="1"/>
    <n v="1"/>
    <n v="0.22190442477876099"/>
    <x v="2"/>
    <x v="0"/>
    <s v="极高风险(&gt;180天为主)"/>
    <s v="C-小额(5-30万)｜未知/缺数据｜极高风险(&gt;180天为主)"/>
    <n v="5292420.5309734512"/>
    <n v="18557579.469026551"/>
  </r>
  <r>
    <x v="131"/>
    <n v="3"/>
    <n v="2"/>
    <n v="1"/>
    <n v="0.33333333333333331"/>
    <n v="138730"/>
    <n v="89292.5"/>
    <n v="49437.5"/>
    <n v="26"/>
    <n v="33"/>
    <n v="41"/>
    <n v="944.34628571428573"/>
    <n v="1"/>
    <n v="1"/>
    <n v="0.25600000000000001"/>
    <x v="3"/>
    <x v="2"/>
    <s v="极高风险(&gt;180天为主)"/>
    <s v="D-零散(&lt;5万)｜中(31-60天)｜极高风险(&gt;180天为主)"/>
    <n v="11951646.592"/>
    <n v="34734472.908"/>
  </r>
  <r>
    <x v="132"/>
    <n v="1"/>
    <n v="1"/>
    <n v="0"/>
    <n v="0"/>
    <n v="48000"/>
    <n v="0"/>
    <n v="48000"/>
    <n v="26"/>
    <m/>
    <m/>
    <n v="1045"/>
    <n v="1"/>
    <n v="1"/>
    <n v="0.22190442477876099"/>
    <x v="3"/>
    <x v="0"/>
    <s v="极高风险(&gt;180天为主)"/>
    <s v="D-零散(&lt;5万)｜未知/缺数据｜极高风险(&gt;180天为主)"/>
    <n v="11130725.946902649"/>
    <n v="39029274.053097337"/>
  </r>
  <r>
    <x v="133"/>
    <n v="1"/>
    <n v="1"/>
    <n v="0"/>
    <n v="0"/>
    <n v="68000"/>
    <n v="20000"/>
    <n v="48000"/>
    <m/>
    <m/>
    <n v="0"/>
    <n v="73"/>
    <n v="0"/>
    <n v="0"/>
    <n v="0.41607079646017697"/>
    <x v="3"/>
    <x v="0"/>
    <s v="中风险(30-90天)"/>
    <s v="D-零散(&lt;5万)｜未知/缺数据｜中风险(30-90天)"/>
    <n v="1457912.0707964599"/>
    <n v="2046087.9292035401"/>
  </r>
  <r>
    <x v="134"/>
    <n v="1"/>
    <n v="1"/>
    <n v="0"/>
    <n v="0"/>
    <n v="46800"/>
    <n v="0"/>
    <n v="46800"/>
    <m/>
    <m/>
    <m/>
    <n v="1033"/>
    <n v="1"/>
    <n v="1"/>
    <n v="0.22190442477876099"/>
    <x v="3"/>
    <x v="0"/>
    <s v="极高风险(&gt;180天为主)"/>
    <s v="D-零散(&lt;5万)｜未知/缺数据｜极高风险(&gt;180天为主)"/>
    <n v="10727836.27327434"/>
    <n v="37616563.726725668"/>
  </r>
  <r>
    <x v="135"/>
    <n v="1"/>
    <n v="1"/>
    <n v="0"/>
    <n v="0"/>
    <n v="48000"/>
    <n v="2400"/>
    <n v="45600"/>
    <m/>
    <m/>
    <n v="526"/>
    <n v="932"/>
    <n v="1"/>
    <n v="1"/>
    <n v="0.22190442477876099"/>
    <x v="3"/>
    <x v="0"/>
    <s v="极高风险(&gt;180天为主)"/>
    <s v="D-零散(&lt;5万)｜未知/缺数据｜极高风险(&gt;180天为主)"/>
    <n v="9430760.5295575205"/>
    <n v="33068439.470442481"/>
  </r>
  <r>
    <x v="136"/>
    <n v="2"/>
    <n v="1"/>
    <n v="1"/>
    <n v="0.5"/>
    <n v="75000"/>
    <n v="29500"/>
    <n v="45500"/>
    <m/>
    <n v="12"/>
    <n v="12"/>
    <n v="101"/>
    <n v="1"/>
    <n v="0"/>
    <n v="0.46800000000000003"/>
    <x v="3"/>
    <x v="4"/>
    <s v="高风险(&gt;90天占比高)"/>
    <s v="D-零散(&lt;5万)｜快(≤30天)｜高风险(&gt;90天占比高)"/>
    <n v="2150694"/>
    <n v="2444806"/>
  </r>
  <r>
    <x v="137"/>
    <n v="1"/>
    <n v="1"/>
    <n v="0"/>
    <n v="0"/>
    <n v="99917.25"/>
    <n v="54479.6"/>
    <n v="45437.65"/>
    <n v="66"/>
    <m/>
    <n v="896"/>
    <n v="995"/>
    <n v="1"/>
    <n v="1"/>
    <n v="0.22190442477876099"/>
    <x v="3"/>
    <x v="0"/>
    <s v="极高风险(&gt;180天为主)"/>
    <s v="D-零散(&lt;5万)｜未知/缺数据｜极高风险(&gt;180天为主)"/>
    <n v="10032401.50861593"/>
    <n v="35178060.241384067"/>
  </r>
  <r>
    <x v="138"/>
    <n v="1"/>
    <n v="1"/>
    <n v="0"/>
    <n v="0"/>
    <n v="45000"/>
    <n v="0"/>
    <n v="45000"/>
    <m/>
    <m/>
    <m/>
    <n v="718"/>
    <n v="1"/>
    <n v="1"/>
    <n v="0.22190442477876099"/>
    <x v="3"/>
    <x v="0"/>
    <s v="极高风险(&gt;180天为主)"/>
    <s v="D-零散(&lt;5万)｜未知/缺数据｜极高风险(&gt;180天为主)"/>
    <n v="7169731.9646017691"/>
    <n v="25140268.03539823"/>
  </r>
  <r>
    <x v="139"/>
    <n v="1"/>
    <n v="1"/>
    <n v="0"/>
    <n v="0"/>
    <n v="45000"/>
    <n v="0"/>
    <n v="45000"/>
    <m/>
    <m/>
    <m/>
    <n v="718"/>
    <n v="1"/>
    <n v="1"/>
    <n v="0.22190442477876099"/>
    <x v="3"/>
    <x v="0"/>
    <s v="极高风险(&gt;180天为主)"/>
    <s v="D-零散(&lt;5万)｜未知/缺数据｜极高风险(&gt;180天为主)"/>
    <n v="7169731.9646017691"/>
    <n v="25140268.03539823"/>
  </r>
  <r>
    <x v="140"/>
    <n v="3"/>
    <n v="3"/>
    <n v="0"/>
    <n v="0"/>
    <n v="105155.4"/>
    <n v="61515.4"/>
    <n v="43640"/>
    <n v="49.5"/>
    <m/>
    <n v="118"/>
    <n v="816.2660403299725"/>
    <n v="1"/>
    <n v="1"/>
    <n v="0.14399999999999999"/>
    <x v="3"/>
    <x v="0"/>
    <s v="极高风险(&gt;180天为主)"/>
    <s v="D-零散(&lt;5万)｜未知/缺数据｜极高风险(&gt;180天为主)"/>
    <n v="5129546.3999999994"/>
    <n v="30492303.600000001"/>
  </r>
  <r>
    <x v="141"/>
    <n v="1"/>
    <n v="1"/>
    <n v="0"/>
    <n v="0"/>
    <n v="42400"/>
    <n v="0"/>
    <n v="42400"/>
    <n v="67"/>
    <m/>
    <m/>
    <n v="1002"/>
    <n v="1"/>
    <n v="1"/>
    <n v="0.22190442477876099"/>
    <x v="3"/>
    <x v="0"/>
    <s v="极高风险(&gt;180天为主)"/>
    <s v="D-零散(&lt;5万)｜未知/缺数据｜极高风险(&gt;180天为主)"/>
    <n v="9427565.1058407072"/>
    <n v="33057234.894159291"/>
  </r>
  <r>
    <x v="142"/>
    <n v="1"/>
    <n v="1"/>
    <n v="0"/>
    <n v="0"/>
    <n v="150000"/>
    <n v="108355.62"/>
    <n v="41644.379999999997"/>
    <n v="26"/>
    <m/>
    <n v="704"/>
    <n v="985"/>
    <n v="1"/>
    <n v="1"/>
    <n v="0.22190442477876099"/>
    <x v="3"/>
    <x v="0"/>
    <s v="极高风险(&gt;180天为主)"/>
    <s v="D-零散(&lt;5万)｜未知/缺数据｜极高风险(&gt;180天为主)"/>
    <n v="9102456.1063306201"/>
    <n v="31917258.19366939"/>
  </r>
  <r>
    <x v="143"/>
    <n v="1"/>
    <n v="1"/>
    <n v="0"/>
    <n v="0"/>
    <n v="43000"/>
    <n v="2150"/>
    <n v="40850"/>
    <m/>
    <m/>
    <n v="610"/>
    <n v="716"/>
    <n v="1"/>
    <n v="1"/>
    <n v="0.22190442477876099"/>
    <x v="3"/>
    <x v="0"/>
    <s v="极高风险(&gt;180天为主)"/>
    <s v="D-零散(&lt;5万)｜未知/缺数据｜极高风险(&gt;180天为主)"/>
    <n v="6490393.75858407"/>
    <n v="22758206.241415929"/>
  </r>
  <r>
    <x v="144"/>
    <n v="2"/>
    <n v="1"/>
    <n v="0"/>
    <n v="0"/>
    <n v="25030"/>
    <n v="89100"/>
    <n v="40450"/>
    <m/>
    <m/>
    <n v="214"/>
    <n v="581"/>
    <n v="1"/>
    <n v="1"/>
    <n v="0.14399999999999999"/>
    <x v="3"/>
    <x v="0"/>
    <s v="极高风险(&gt;180天为主)"/>
    <s v="D-零散(&lt;5万)｜未知/缺数据｜极高风险(&gt;180天为主)"/>
    <n v="3384208.8"/>
    <n v="20117241.199999999"/>
  </r>
  <r>
    <x v="145"/>
    <n v="3"/>
    <n v="1"/>
    <n v="2"/>
    <n v="0.66666666666666663"/>
    <n v="290986.65000000002"/>
    <n v="305208.89"/>
    <n v="40000"/>
    <n v="23"/>
    <n v="558.5"/>
    <n v="558.5"/>
    <n v="1092"/>
    <n v="1"/>
    <n v="1"/>
    <n v="0.36799999999999988"/>
    <x v="3"/>
    <x v="1"/>
    <s v="极高风险(&gt;180天为主)"/>
    <s v="D-零散(&lt;5万)｜很慢(&gt;90天)｜极高风险(&gt;180天为主)"/>
    <n v="16074240"/>
    <n v="27605760"/>
  </r>
  <r>
    <x v="146"/>
    <n v="1"/>
    <n v="1"/>
    <n v="0"/>
    <n v="0"/>
    <n v="40000"/>
    <n v="0"/>
    <n v="40000"/>
    <n v="25"/>
    <m/>
    <m/>
    <n v="998"/>
    <n v="1"/>
    <n v="1"/>
    <n v="0.22190442477876099"/>
    <x v="3"/>
    <x v="0"/>
    <s v="极高风险(&gt;180天为主)"/>
    <s v="D-零散(&lt;5万)｜未知/缺数据｜极高风险(&gt;180天为主)"/>
    <n v="8858424.6371681411"/>
    <n v="31061575.362831861"/>
  </r>
  <r>
    <x v="147"/>
    <n v="2"/>
    <n v="1"/>
    <n v="1"/>
    <n v="0.5"/>
    <n v="98000"/>
    <n v="58000"/>
    <n v="40000"/>
    <n v="323"/>
    <n v="1"/>
    <n v="1"/>
    <n v="931"/>
    <n v="1"/>
    <n v="1"/>
    <n v="0.31199999999999989"/>
    <x v="3"/>
    <x v="4"/>
    <s v="极高风险(&gt;180天为主)"/>
    <s v="D-零散(&lt;5万)｜快(≤30天)｜极高风险(&gt;180天为主)"/>
    <n v="11618880"/>
    <n v="25621120"/>
  </r>
  <r>
    <x v="148"/>
    <n v="1"/>
    <n v="1"/>
    <n v="0"/>
    <n v="0"/>
    <n v="40000"/>
    <n v="0"/>
    <n v="40000"/>
    <n v="24"/>
    <m/>
    <m/>
    <n v="814"/>
    <n v="1"/>
    <n v="1"/>
    <n v="0.22190442477876099"/>
    <x v="3"/>
    <x v="0"/>
    <s v="极高风险(&gt;180天为主)"/>
    <s v="D-零散(&lt;5万)｜未知/缺数据｜极高风险(&gt;180天为主)"/>
    <n v="7225208.0707964599"/>
    <n v="25334791.92920354"/>
  </r>
  <r>
    <x v="149"/>
    <n v="1"/>
    <n v="1"/>
    <n v="0"/>
    <n v="0"/>
    <n v="41822.339999999997"/>
    <n v="2091.12"/>
    <n v="39731.22"/>
    <m/>
    <m/>
    <n v="458"/>
    <n v="836"/>
    <n v="1"/>
    <n v="1"/>
    <n v="0.22190442477876099"/>
    <x v="3"/>
    <x v="0"/>
    <s v="极高风险(&gt;180天为主)"/>
    <s v="D-零散(&lt;5万)｜未知/缺数据｜极高风险(&gt;180天为主)"/>
    <n v="7370622.0226016277"/>
    <n v="25844677.897398371"/>
  </r>
  <r>
    <x v="150"/>
    <n v="1"/>
    <n v="1"/>
    <n v="0"/>
    <n v="0"/>
    <n v="38000"/>
    <n v="0"/>
    <n v="38000"/>
    <n v="43"/>
    <m/>
    <m/>
    <n v="630"/>
    <n v="1"/>
    <n v="1"/>
    <n v="0.22190442477876099"/>
    <x v="3"/>
    <x v="0"/>
    <s v="极高风险(&gt;180天为主)"/>
    <s v="D-零散(&lt;5万)｜未知/缺数据｜极高风险(&gt;180天为主)"/>
    <n v="5312391.9292035392"/>
    <n v="18627608.07079646"/>
  </r>
  <r>
    <x v="151"/>
    <n v="1"/>
    <n v="1"/>
    <n v="0"/>
    <n v="0"/>
    <n v="36500"/>
    <n v="0"/>
    <n v="36500"/>
    <n v="49"/>
    <m/>
    <m/>
    <n v="744"/>
    <n v="1"/>
    <n v="1"/>
    <n v="0.22190442477876099"/>
    <x v="3"/>
    <x v="0"/>
    <s v="极高风险(&gt;180天为主)"/>
    <s v="D-零散(&lt;5万)｜未知/缺数据｜极高风险(&gt;180天为主)"/>
    <n v="6026036.5592920352"/>
    <n v="21129963.44070797"/>
  </r>
  <r>
    <x v="152"/>
    <n v="1"/>
    <n v="1"/>
    <n v="0"/>
    <n v="0"/>
    <n v="35000"/>
    <n v="0"/>
    <n v="35000"/>
    <n v="39"/>
    <m/>
    <m/>
    <n v="968"/>
    <n v="1"/>
    <n v="1"/>
    <n v="0.22190442477876099"/>
    <x v="3"/>
    <x v="0"/>
    <s v="极高风险(&gt;180天为主)"/>
    <s v="D-零散(&lt;5万)｜未知/缺数据｜极高风险(&gt;180天为主)"/>
    <n v="7518121.9115044242"/>
    <n v="26361878.088495571"/>
  </r>
  <r>
    <x v="153"/>
    <n v="1"/>
    <n v="1"/>
    <n v="0"/>
    <n v="0"/>
    <n v="35000"/>
    <n v="0"/>
    <n v="35000"/>
    <m/>
    <m/>
    <m/>
    <n v="716"/>
    <n v="1"/>
    <n v="1"/>
    <n v="0.22190442477876099"/>
    <x v="3"/>
    <x v="0"/>
    <s v="极高风险(&gt;180天为主)"/>
    <s v="D-零散(&lt;5万)｜未知/缺数据｜极高风险(&gt;180天为主)"/>
    <n v="5560924.8849557517"/>
    <n v="19499075.115044251"/>
  </r>
  <r>
    <x v="154"/>
    <n v="1"/>
    <n v="1"/>
    <n v="0"/>
    <n v="0"/>
    <n v="38000"/>
    <n v="3800"/>
    <n v="34200"/>
    <n v="118"/>
    <m/>
    <n v="254"/>
    <n v="870"/>
    <n v="1"/>
    <n v="1"/>
    <n v="0.22190442477876099"/>
    <x v="3"/>
    <x v="0"/>
    <s v="极高风险(&gt;180天为主)"/>
    <s v="D-零散(&lt;5万)｜未知/缺数据｜极高风险(&gt;180天为主)"/>
    <n v="6602544.2548672557"/>
    <n v="23151455.745132741"/>
  </r>
  <r>
    <x v="155"/>
    <n v="1"/>
    <n v="1"/>
    <n v="0"/>
    <n v="0"/>
    <n v="33000"/>
    <n v="0"/>
    <n v="33000"/>
    <n v="10"/>
    <m/>
    <m/>
    <n v="1024"/>
    <n v="1"/>
    <n v="1"/>
    <n v="0.22190442477876099"/>
    <x v="3"/>
    <x v="0"/>
    <s v="极高风险(&gt;180天为主)"/>
    <s v="D-零散(&lt;5万)｜未知/缺数据｜极高风险(&gt;180天为主)"/>
    <n v="7498594.3221238935"/>
    <n v="26293405.677876111"/>
  </r>
  <r>
    <x v="156"/>
    <n v="5"/>
    <n v="3"/>
    <n v="2"/>
    <n v="0.4"/>
    <n v="77794"/>
    <n v="100000"/>
    <n v="32017"/>
    <n v="41"/>
    <n v="424.5"/>
    <n v="543.5"/>
    <n v="409.18448011993632"/>
    <n v="1"/>
    <n v="1"/>
    <n v="0.27839999999999998"/>
    <x v="3"/>
    <x v="1"/>
    <s v="极高风险(&gt;180天为主)"/>
    <s v="D-零散(&lt;5万)｜很慢(&gt;90天)｜极高风险(&gt;180天为主)"/>
    <n v="3647279.2848"/>
    <n v="9453580.2151999995"/>
  </r>
  <r>
    <x v="157"/>
    <n v="1"/>
    <n v="1"/>
    <n v="0"/>
    <n v="0"/>
    <n v="147852"/>
    <n v="117852"/>
    <n v="30000"/>
    <n v="208"/>
    <m/>
    <n v="581"/>
    <n v="949"/>
    <n v="1"/>
    <n v="1"/>
    <n v="0.22190442477876099"/>
    <x v="3"/>
    <x v="0"/>
    <s v="极高风险(&gt;180天为主)"/>
    <s v="D-零散(&lt;5万)｜未知/缺数据｜极高风险(&gt;180天为主)"/>
    <n v="6317618.9734513266"/>
    <n v="22152381.026548669"/>
  </r>
  <r>
    <x v="158"/>
    <n v="1"/>
    <n v="1"/>
    <n v="0"/>
    <n v="0"/>
    <n v="30000"/>
    <n v="0"/>
    <n v="30000"/>
    <n v="334"/>
    <m/>
    <m/>
    <n v="931"/>
    <n v="1"/>
    <n v="1"/>
    <n v="0.22190442477876099"/>
    <x v="3"/>
    <x v="0"/>
    <s v="极高风险(&gt;180天为主)"/>
    <s v="D-零散(&lt;5万)｜未知/缺数据｜极高风险(&gt;180天为主)"/>
    <n v="6197790.5840707961"/>
    <n v="21732209.415929209"/>
  </r>
  <r>
    <x v="159"/>
    <n v="1"/>
    <n v="1"/>
    <n v="0"/>
    <n v="0"/>
    <n v="281267"/>
    <n v="253100"/>
    <n v="28167"/>
    <m/>
    <m/>
    <n v="154"/>
    <n v="311"/>
    <n v="1"/>
    <n v="1"/>
    <n v="0.22190442477876099"/>
    <x v="3"/>
    <x v="0"/>
    <s v="极高风险(&gt;180天为主)"/>
    <s v="D-零散(&lt;5万)｜未知/缺数据｜极高风险(&gt;180天为主)"/>
    <n v="1943868.7810831859"/>
    <n v="6816068.2189168148"/>
  </r>
  <r>
    <x v="160"/>
    <n v="2"/>
    <n v="1"/>
    <n v="1"/>
    <n v="0.5"/>
    <n v="51000"/>
    <n v="24000"/>
    <n v="27000"/>
    <n v="65"/>
    <n v="63"/>
    <n v="63"/>
    <n v="990"/>
    <n v="1"/>
    <n v="1"/>
    <n v="0.31199999999999989"/>
    <x v="3"/>
    <x v="3"/>
    <s v="极高风险(&gt;180天为主)"/>
    <s v="D-零散(&lt;5万)｜慢(61-90天)｜极高风险(&gt;180天为主)"/>
    <n v="8339759.9999999981"/>
    <n v="18390240"/>
  </r>
  <r>
    <x v="161"/>
    <n v="2"/>
    <n v="1"/>
    <n v="1"/>
    <n v="0.5"/>
    <n v="118500"/>
    <n v="91500"/>
    <n v="27000"/>
    <n v="78"/>
    <n v="94"/>
    <n v="403.5"/>
    <n v="967"/>
    <n v="1"/>
    <n v="1"/>
    <n v="0.31199999999999989"/>
    <x v="3"/>
    <x v="1"/>
    <s v="极高风险(&gt;180天为主)"/>
    <s v="D-零散(&lt;5万)｜很慢(&gt;90天)｜极高风险(&gt;180天为主)"/>
    <n v="8146007.9999999981"/>
    <n v="17962992"/>
  </r>
  <r>
    <x v="162"/>
    <n v="1"/>
    <n v="1"/>
    <n v="0"/>
    <n v="0"/>
    <n v="26060"/>
    <n v="0"/>
    <n v="26060"/>
    <m/>
    <m/>
    <m/>
    <n v="809"/>
    <n v="1"/>
    <n v="1"/>
    <n v="0.22190442477876099"/>
    <x v="3"/>
    <x v="0"/>
    <s v="极高风险(&gt;180天为主)"/>
    <s v="D-零散(&lt;5万)｜未知/缺数据｜极高风险(&gt;180天为主)"/>
    <n v="4678308.9115752215"/>
    <n v="16404231.088424779"/>
  </r>
  <r>
    <x v="163"/>
    <n v="1"/>
    <n v="1"/>
    <n v="0"/>
    <n v="0"/>
    <n v="85000"/>
    <n v="59500"/>
    <n v="25500"/>
    <m/>
    <m/>
    <n v="319"/>
    <n v="907"/>
    <n v="1"/>
    <n v="1"/>
    <n v="0.22190442477876099"/>
    <x v="3"/>
    <x v="0"/>
    <s v="极高风险(&gt;180天为主)"/>
    <s v="D-零散(&lt;5万)｜未知/缺数据｜极高风险(&gt;180天为主)"/>
    <n v="5132316.4884955753"/>
    <n v="17996183.51150443"/>
  </r>
  <r>
    <x v="164"/>
    <n v="1"/>
    <n v="1"/>
    <n v="0"/>
    <n v="0"/>
    <n v="25000"/>
    <n v="0"/>
    <n v="25000"/>
    <m/>
    <m/>
    <m/>
    <n v="1012"/>
    <n v="1"/>
    <n v="1"/>
    <n v="0.22190442477876099"/>
    <x v="3"/>
    <x v="0"/>
    <s v="极高风险(&gt;180天为主)"/>
    <s v="D-零散(&lt;5万)｜未知/缺数据｜极高风险(&gt;180天为主)"/>
    <n v="5614181.9469026541"/>
    <n v="19685818.053097341"/>
  </r>
  <r>
    <x v="165"/>
    <n v="1"/>
    <n v="1"/>
    <n v="0"/>
    <n v="0"/>
    <n v="25000"/>
    <n v="0"/>
    <n v="25000"/>
    <m/>
    <m/>
    <m/>
    <n v="781"/>
    <n v="1"/>
    <n v="1"/>
    <n v="0.22190442477876099"/>
    <x v="3"/>
    <x v="0"/>
    <s v="极高风险(&gt;180天为主)"/>
    <s v="D-零散(&lt;5万)｜未知/缺数据｜极高风险(&gt;180天为主)"/>
    <n v="4332683.8938053092"/>
    <n v="15192316.10619469"/>
  </r>
  <r>
    <x v="166"/>
    <n v="3"/>
    <n v="2"/>
    <n v="1"/>
    <n v="0.33333333333333331"/>
    <n v="24808.87"/>
    <n v="13952"/>
    <n v="24805.67"/>
    <m/>
    <n v="235"/>
    <n v="692"/>
    <n v="862"/>
    <n v="1"/>
    <n v="1"/>
    <n v="0.25600000000000001"/>
    <x v="3"/>
    <x v="1"/>
    <s v="极高风险(&gt;180天为主)"/>
    <s v="D-零散(&lt;5万)｜很慢(&gt;90天)｜极高风险(&gt;180天为主)"/>
    <n v="5473916.8102399996"/>
    <n v="15908570.72976"/>
  </r>
  <r>
    <x v="167"/>
    <n v="1"/>
    <n v="1"/>
    <n v="0"/>
    <n v="0"/>
    <n v="23000"/>
    <n v="0"/>
    <n v="23000"/>
    <n v="82"/>
    <m/>
    <m/>
    <n v="1004"/>
    <n v="1"/>
    <n v="1"/>
    <n v="0.22190442477876099"/>
    <x v="3"/>
    <x v="0"/>
    <s v="极高风险(&gt;180天为主)"/>
    <s v="D-零散(&lt;5万)｜未知/缺数据｜极高风险(&gt;180天为主)"/>
    <n v="5124216.9769911496"/>
    <n v="17967783.023008849"/>
  </r>
  <r>
    <x v="168"/>
    <n v="1"/>
    <n v="1"/>
    <n v="0"/>
    <n v="0"/>
    <n v="68000"/>
    <n v="45000"/>
    <n v="23000"/>
    <m/>
    <m/>
    <n v="659"/>
    <n v="855"/>
    <n v="1"/>
    <n v="1"/>
    <n v="0.22190442477876099"/>
    <x v="3"/>
    <x v="0"/>
    <s v="极高风险(&gt;180天为主)"/>
    <s v="D-零散(&lt;5万)｜未知/缺数据｜极高风险(&gt;180天为主)"/>
    <n v="4363750.5132743362"/>
    <n v="15301249.48672566"/>
  </r>
  <r>
    <x v="169"/>
    <n v="3"/>
    <n v="1"/>
    <n v="2"/>
    <n v="0.66666666666666663"/>
    <n v="139000"/>
    <n v="116250"/>
    <n v="22750"/>
    <n v="57"/>
    <n v="712.5"/>
    <n v="685"/>
    <n v="1016"/>
    <n v="1"/>
    <n v="1"/>
    <n v="0.36799999999999988"/>
    <x v="3"/>
    <x v="1"/>
    <s v="极高风险(&gt;180天为主)"/>
    <s v="D-零散(&lt;5万)｜很慢(&gt;90天)｜极高风险(&gt;180天为主)"/>
    <n v="8505951.9999999981"/>
    <n v="14608048"/>
  </r>
  <r>
    <x v="170"/>
    <n v="1"/>
    <n v="1"/>
    <n v="0"/>
    <n v="0"/>
    <n v="132000"/>
    <n v="110340.82"/>
    <n v="21659.179999999989"/>
    <n v="837"/>
    <m/>
    <n v="261"/>
    <n v="602"/>
    <n v="1"/>
    <n v="1"/>
    <n v="0.22190442477876099"/>
    <x v="3"/>
    <x v="0"/>
    <s v="极高风险(&gt;180天为主)"/>
    <s v="D-零散(&lt;5万)｜未知/缺数据｜极高风险(&gt;180天为主)"/>
    <n v="2893373.263205945"/>
    <n v="10145453.09679405"/>
  </r>
  <r>
    <x v="171"/>
    <n v="2"/>
    <n v="1"/>
    <n v="1"/>
    <n v="0.5"/>
    <n v="439344"/>
    <n v="417874"/>
    <n v="21470"/>
    <m/>
    <n v="15"/>
    <n v="16"/>
    <n v="278"/>
    <n v="1"/>
    <n v="1"/>
    <n v="0.31199999999999989"/>
    <x v="3"/>
    <x v="4"/>
    <s v="极高风险(&gt;180天为主)"/>
    <s v="D-零散(&lt;5万)｜快(≤30天)｜极高风险(&gt;180天为主)"/>
    <n v="1862221.92"/>
    <n v="4106438.080000001"/>
  </r>
  <r>
    <x v="172"/>
    <n v="1"/>
    <n v="1"/>
    <n v="0"/>
    <n v="0"/>
    <n v="21320"/>
    <n v="0"/>
    <n v="21320"/>
    <m/>
    <m/>
    <m/>
    <n v="843"/>
    <n v="1"/>
    <n v="1"/>
    <n v="0.22190442477876099"/>
    <x v="3"/>
    <x v="0"/>
    <s v="极高风险(&gt;180天为主)"/>
    <s v="D-零散(&lt;5万)｜未知/缺数据｜极高风险(&gt;180天为主)"/>
    <n v="3988234.969486726"/>
    <n v="13984525.030513279"/>
  </r>
  <r>
    <x v="173"/>
    <n v="1"/>
    <n v="1"/>
    <n v="0"/>
    <n v="0"/>
    <n v="696000"/>
    <n v="674720"/>
    <n v="21280"/>
    <m/>
    <m/>
    <n v="56"/>
    <n v="459"/>
    <n v="1"/>
    <n v="1"/>
    <n v="0.22190442477876099"/>
    <x v="3"/>
    <x v="0"/>
    <s v="极高风险(&gt;180天为主)"/>
    <s v="D-零散(&lt;5万)｜未知/缺数据｜极高风险(&gt;180天为主)"/>
    <n v="2167455.9071150441"/>
    <n v="7600064.0928849559"/>
  </r>
  <r>
    <x v="174"/>
    <n v="2"/>
    <n v="1"/>
    <n v="1"/>
    <n v="0.5"/>
    <n v="45800"/>
    <n v="25800"/>
    <n v="20000"/>
    <n v="46"/>
    <n v="503"/>
    <n v="503"/>
    <n v="899"/>
    <n v="1"/>
    <n v="1"/>
    <n v="0.31199999999999989"/>
    <x v="3"/>
    <x v="1"/>
    <s v="极高风险(&gt;180天为主)"/>
    <s v="D-零散(&lt;5万)｜很慢(&gt;90天)｜极高风险(&gt;180天为主)"/>
    <n v="5609759.9999999991"/>
    <n v="12370240"/>
  </r>
  <r>
    <x v="175"/>
    <n v="1"/>
    <n v="1"/>
    <n v="0"/>
    <n v="0"/>
    <n v="20000"/>
    <n v="0"/>
    <n v="20000"/>
    <m/>
    <m/>
    <m/>
    <n v="827"/>
    <n v="1"/>
    <n v="1"/>
    <n v="0.22190442477876099"/>
    <x v="3"/>
    <x v="0"/>
    <s v="极高风险(&gt;180天为主)"/>
    <s v="D-零散(&lt;5万)｜未知/缺数据｜极高风险(&gt;180天为主)"/>
    <n v="3670299.1858407082"/>
    <n v="12869700.814159291"/>
  </r>
  <r>
    <x v="176"/>
    <n v="6"/>
    <n v="2"/>
    <n v="4"/>
    <n v="0.66666666666666663"/>
    <n v="180886.8"/>
    <n v="164083.44"/>
    <n v="19200"/>
    <n v="245"/>
    <n v="294.5"/>
    <n v="250"/>
    <n v="774.5"/>
    <n v="1"/>
    <n v="1"/>
    <n v="0.36799999999999988"/>
    <x v="3"/>
    <x v="1"/>
    <s v="极高风险(&gt;180天为主)"/>
    <s v="D-零散(&lt;5万)｜很慢(&gt;90天)｜极高风险(&gt;180天为主)"/>
    <n v="5472307.1999999993"/>
    <n v="9398092.8000000026"/>
  </r>
  <r>
    <x v="177"/>
    <n v="1"/>
    <n v="1"/>
    <n v="0"/>
    <n v="0"/>
    <n v="55600"/>
    <n v="36400"/>
    <n v="19200"/>
    <m/>
    <m/>
    <n v="384"/>
    <n v="576"/>
    <n v="1"/>
    <n v="1"/>
    <n v="0.22190442477876099"/>
    <x v="3"/>
    <x v="0"/>
    <s v="极高风险(&gt;180天为主)"/>
    <s v="D-零散(&lt;5万)｜未知/缺数据｜极高风险(&gt;180天为主)"/>
    <n v="2454085.4145132741"/>
    <n v="8605114.585486725"/>
  </r>
  <r>
    <x v="178"/>
    <n v="2"/>
    <n v="2"/>
    <n v="0"/>
    <n v="0"/>
    <n v="186000"/>
    <n v="167400"/>
    <n v="18600"/>
    <m/>
    <m/>
    <n v="71.5"/>
    <n v="238.7741935483871"/>
    <n v="1"/>
    <n v="0.58064516129032262"/>
    <n v="0.14399999999999999"/>
    <x v="3"/>
    <x v="0"/>
    <s v="极高风险(&gt;180天为主)"/>
    <s v="D-零散(&lt;5万)｜未知/缺数据｜极高风险(&gt;180天为主)"/>
    <n v="639532.79999999993"/>
    <n v="3801667.2"/>
  </r>
  <r>
    <x v="179"/>
    <n v="1"/>
    <n v="1"/>
    <n v="0"/>
    <n v="0"/>
    <n v="180000"/>
    <n v="162000"/>
    <n v="18000"/>
    <m/>
    <m/>
    <n v="117"/>
    <n v="250"/>
    <n v="1"/>
    <n v="1"/>
    <n v="0.22190442477876099"/>
    <x v="3"/>
    <x v="0"/>
    <s v="极高风险(&gt;180天为主)"/>
    <s v="D-零散(&lt;5万)｜未知/缺数据｜极高风险(&gt;180天为主)"/>
    <n v="998569.91150442464"/>
    <n v="3501430.0884955749"/>
  </r>
  <r>
    <x v="180"/>
    <n v="1"/>
    <n v="1"/>
    <n v="0"/>
    <n v="0"/>
    <n v="17550"/>
    <n v="0"/>
    <n v="17550"/>
    <n v="36"/>
    <m/>
    <m/>
    <n v="1045"/>
    <n v="1"/>
    <n v="1"/>
    <n v="0.22190442477876099"/>
    <x v="3"/>
    <x v="0"/>
    <s v="极高风险(&gt;180天为主)"/>
    <s v="D-零散(&lt;5万)｜未知/缺数据｜极高风险(&gt;180天为主)"/>
    <n v="4069671.674336283"/>
    <n v="14270078.325663719"/>
  </r>
  <r>
    <x v="181"/>
    <n v="4"/>
    <n v="3"/>
    <n v="1"/>
    <n v="0.25"/>
    <n v="142552.21"/>
    <n v="125500"/>
    <n v="17052.21"/>
    <n v="169"/>
    <n v="40"/>
    <n v="39.5"/>
    <n v="739.86421349490774"/>
    <n v="1"/>
    <n v="1"/>
    <n v="0.22800000000000001"/>
    <x v="3"/>
    <x v="2"/>
    <s v="极高风险(&gt;180天为主)"/>
    <s v="D-零散(&lt;5万)｜中(31-60天)｜极高风险(&gt;180天为主)"/>
    <n v="2876520.9463200001"/>
    <n v="9739798.9936800003"/>
  </r>
  <r>
    <x v="182"/>
    <n v="1"/>
    <n v="1"/>
    <n v="0"/>
    <n v="0"/>
    <n v="56000"/>
    <n v="39700"/>
    <n v="16300"/>
    <m/>
    <m/>
    <n v="270"/>
    <n v="518"/>
    <n v="1"/>
    <n v="1"/>
    <n v="0.22190442477876099"/>
    <x v="3"/>
    <x v="0"/>
    <s v="极高风险(&gt;180天为主)"/>
    <s v="D-零散(&lt;5万)｜未知/缺数据｜极高风险(&gt;180天为主)"/>
    <n v="1873627.8201769909"/>
    <n v="6569772.1798230093"/>
  </r>
  <r>
    <x v="183"/>
    <n v="1"/>
    <n v="1"/>
    <n v="0"/>
    <n v="0"/>
    <n v="16000"/>
    <n v="0"/>
    <n v="16000"/>
    <n v="386"/>
    <m/>
    <m/>
    <n v="860"/>
    <n v="1"/>
    <n v="1"/>
    <n v="0.22190442477876099"/>
    <x v="3"/>
    <x v="0"/>
    <s v="极高风险(&gt;180天为主)"/>
    <s v="D-零散(&lt;5万)｜未知/缺数据｜极高风险(&gt;180天为主)"/>
    <n v="3053404.8849557522"/>
    <n v="10706595.115044249"/>
  </r>
  <r>
    <x v="184"/>
    <n v="2"/>
    <n v="2"/>
    <n v="0"/>
    <n v="0"/>
    <n v="159200"/>
    <n v="143280"/>
    <n v="15920"/>
    <m/>
    <m/>
    <n v="95"/>
    <n v="718"/>
    <n v="1"/>
    <n v="1"/>
    <n v="0.14399999999999999"/>
    <x v="3"/>
    <x v="0"/>
    <s v="极高风险(&gt;180天为主)"/>
    <s v="D-零散(&lt;5万)｜未知/缺数据｜极高风险(&gt;180天为主)"/>
    <n v="1646000.64"/>
    <n v="9784559.3599999994"/>
  </r>
  <r>
    <x v="185"/>
    <n v="1"/>
    <n v="1"/>
    <n v="0"/>
    <n v="0"/>
    <n v="14000"/>
    <n v="0"/>
    <n v="14000"/>
    <n v="32"/>
    <m/>
    <m/>
    <n v="1049"/>
    <n v="1"/>
    <n v="1"/>
    <n v="0.22190442477876099"/>
    <x v="3"/>
    <x v="0"/>
    <s v="极高风险(&gt;180天为主)"/>
    <s v="D-零散(&lt;5万)｜未知/缺数据｜极高风险(&gt;180天为主)"/>
    <n v="3258888.3823008849"/>
    <n v="11427111.617699111"/>
  </r>
  <r>
    <x v="186"/>
    <n v="1"/>
    <n v="1"/>
    <n v="0"/>
    <n v="0"/>
    <n v="33000"/>
    <n v="19800"/>
    <n v="13200"/>
    <m/>
    <m/>
    <n v="105"/>
    <n v="177"/>
    <n v="1"/>
    <n v="0"/>
    <n v="0.33285663716814162"/>
    <x v="3"/>
    <x v="0"/>
    <s v="高风险(&gt;90天占比高)"/>
    <s v="D-零散(&lt;5万)｜未知/缺数据｜高风险(&gt;90天占比高)"/>
    <n v="777686.2470796461"/>
    <n v="1558713.752920354"/>
  </r>
  <r>
    <x v="187"/>
    <n v="1"/>
    <n v="1"/>
    <n v="0"/>
    <n v="0"/>
    <n v="13000"/>
    <n v="0"/>
    <n v="13000"/>
    <n v="775"/>
    <m/>
    <m/>
    <n v="920"/>
    <n v="1"/>
    <n v="1"/>
    <n v="0.22190442477876099"/>
    <x v="3"/>
    <x v="0"/>
    <s v="极高风险(&gt;180天为主)"/>
    <s v="D-零散(&lt;5万)｜未知/缺数据｜极高风险(&gt;180天为主)"/>
    <n v="2653976.9203539821"/>
    <n v="9306023.0796460174"/>
  </r>
  <r>
    <x v="188"/>
    <n v="1"/>
    <n v="1"/>
    <n v="0"/>
    <n v="0"/>
    <n v="13000"/>
    <n v="0"/>
    <n v="13000"/>
    <n v="20"/>
    <m/>
    <m/>
    <n v="813"/>
    <n v="1"/>
    <n v="1"/>
    <n v="0.22190442477876099"/>
    <x v="3"/>
    <x v="0"/>
    <s v="极高风险(&gt;180天为主)"/>
    <s v="D-零散(&lt;5万)｜未知/缺数据｜极高风险(&gt;180天为主)"/>
    <n v="2345307.8654867262"/>
    <n v="8223692.1345132748"/>
  </r>
  <r>
    <x v="189"/>
    <n v="1"/>
    <n v="1"/>
    <n v="0"/>
    <n v="0"/>
    <n v="13000"/>
    <n v="650"/>
    <n v="12350"/>
    <n v="91"/>
    <m/>
    <n v="793"/>
    <n v="963"/>
    <n v="1"/>
    <n v="1"/>
    <n v="0.22190442477876099"/>
    <x v="3"/>
    <x v="0"/>
    <s v="极高风险(&gt;180天为主)"/>
    <s v="D-零散(&lt;5万)｜未知/缺数据｜极高风险(&gt;180天为主)"/>
    <n v="2639120.4191150442"/>
    <n v="9253929.5808849558"/>
  </r>
  <r>
    <x v="190"/>
    <n v="3"/>
    <n v="2"/>
    <n v="1"/>
    <n v="0.33333333333333331"/>
    <n v="209000"/>
    <n v="197000"/>
    <n v="12000"/>
    <m/>
    <n v="401"/>
    <n v="7"/>
    <n v="36"/>
    <n v="0"/>
    <n v="0"/>
    <n v="0.48"/>
    <x v="3"/>
    <x v="1"/>
    <s v="中风险(30-90天)"/>
    <s v="D-零散(&lt;5万)｜很慢(&gt;90天)｜中风险(30-90天)"/>
    <n v="207360"/>
    <n v="224640"/>
  </r>
  <r>
    <x v="191"/>
    <n v="1"/>
    <n v="1"/>
    <n v="0"/>
    <n v="0"/>
    <n v="423534.2"/>
    <n v="412247.18000000011"/>
    <n v="11287.01999999996"/>
    <m/>
    <m/>
    <n v="198"/>
    <n v="296"/>
    <n v="1"/>
    <n v="1"/>
    <n v="0.22190442477876099"/>
    <x v="3"/>
    <x v="0"/>
    <s v="极高风险(&gt;180天为主)"/>
    <s v="D-零散(&lt;5万)｜未知/缺数据｜极高风险(&gt;180天为主)"/>
    <n v="741373.34544764331"/>
    <n v="2599584.5745523451"/>
  </r>
  <r>
    <x v="192"/>
    <n v="2"/>
    <n v="2"/>
    <n v="0"/>
    <n v="0"/>
    <n v="101190"/>
    <n v="90000"/>
    <n v="11190"/>
    <n v="62"/>
    <m/>
    <n v="19"/>
    <n v="463.84986595174257"/>
    <n v="1"/>
    <n v="0.73190348525469173"/>
    <n v="0.14399999999999999"/>
    <x v="3"/>
    <x v="0"/>
    <s v="极高风险(&gt;180天为主)"/>
    <s v="D-零散(&lt;5万)｜未知/缺数据｜极高风险(&gt;180天为主)"/>
    <n v="747429.12"/>
    <n v="4443050.88"/>
  </r>
  <r>
    <x v="193"/>
    <n v="1"/>
    <n v="1"/>
    <n v="0"/>
    <n v="0"/>
    <n v="158000"/>
    <n v="147346.62"/>
    <n v="10653.38"/>
    <m/>
    <m/>
    <n v="972"/>
    <n v="1011"/>
    <n v="1"/>
    <n v="1"/>
    <n v="0.22190442477876099"/>
    <x v="3"/>
    <x v="0"/>
    <s v="极高风险(&gt;180天为主)"/>
    <s v="D-零散(&lt;5万)｜未知/缺数据｜极高风险(&gt;180天为主)"/>
    <n v="2390036.5146189039"/>
    <n v="8380530.6653811019"/>
  </r>
  <r>
    <x v="194"/>
    <n v="1"/>
    <n v="1"/>
    <n v="0"/>
    <n v="0"/>
    <n v="105000"/>
    <n v="94500"/>
    <n v="10500"/>
    <m/>
    <m/>
    <n v="27"/>
    <n v="50"/>
    <n v="0"/>
    <n v="0"/>
    <n v="0.41607079646017697"/>
    <x v="3"/>
    <x v="0"/>
    <s v="中风险(30-90天)"/>
    <s v="D-零散(&lt;5万)｜未知/缺数据｜中风险(30-90天)"/>
    <n v="218437.16814159291"/>
    <n v="306562.83185840712"/>
  </r>
  <r>
    <x v="195"/>
    <n v="1"/>
    <n v="1"/>
    <n v="0"/>
    <n v="0"/>
    <n v="10000"/>
    <n v="0"/>
    <n v="10000"/>
    <n v="11"/>
    <m/>
    <m/>
    <n v="970"/>
    <n v="1"/>
    <n v="1"/>
    <n v="0.22190442477876099"/>
    <x v="3"/>
    <x v="0"/>
    <s v="极高风险(&gt;180天为主)"/>
    <s v="D-零散(&lt;5万)｜未知/缺数据｜极高风险(&gt;180天为主)"/>
    <n v="2152472.9203539821"/>
    <n v="7547527.0796460174"/>
  </r>
  <r>
    <x v="196"/>
    <n v="1"/>
    <n v="1"/>
    <n v="0"/>
    <n v="0"/>
    <n v="10000"/>
    <n v="0"/>
    <n v="10000"/>
    <m/>
    <m/>
    <m/>
    <n v="955"/>
    <n v="1"/>
    <n v="1"/>
    <n v="0.22190442477876099"/>
    <x v="3"/>
    <x v="0"/>
    <s v="极高风险(&gt;180天为主)"/>
    <s v="D-零散(&lt;5万)｜未知/缺数据｜极高风险(&gt;180天为主)"/>
    <n v="2119187.2566371681"/>
    <n v="7430812.7433628319"/>
  </r>
  <r>
    <x v="197"/>
    <n v="1"/>
    <n v="1"/>
    <n v="0"/>
    <n v="0"/>
    <n v="9000"/>
    <n v="0"/>
    <n v="9000"/>
    <m/>
    <m/>
    <m/>
    <n v="623"/>
    <n v="1"/>
    <n v="1"/>
    <n v="0.22190442477876099"/>
    <x v="3"/>
    <x v="0"/>
    <s v="极高风险(&gt;180天为主)"/>
    <s v="D-零散(&lt;5万)｜未知/缺数据｜极高风险(&gt;180天为主)"/>
    <n v="1244218.1097345131"/>
    <n v="4362781.8902654871"/>
  </r>
  <r>
    <x v="198"/>
    <n v="1"/>
    <n v="1"/>
    <n v="0"/>
    <n v="0"/>
    <n v="8000"/>
    <n v="0"/>
    <n v="8000"/>
    <m/>
    <m/>
    <m/>
    <n v="1011"/>
    <n v="1"/>
    <n v="1"/>
    <n v="0.22190442477876099"/>
    <x v="3"/>
    <x v="0"/>
    <s v="极高风险(&gt;180天为主)"/>
    <s v="D-零散(&lt;5万)｜未知/缺数据｜极高风险(&gt;180天为主)"/>
    <n v="1794762.987610619"/>
    <n v="6293237.0123893796"/>
  </r>
  <r>
    <x v="199"/>
    <n v="1"/>
    <n v="1"/>
    <n v="0"/>
    <n v="0"/>
    <n v="8000"/>
    <n v="0"/>
    <n v="8000"/>
    <m/>
    <m/>
    <m/>
    <n v="317"/>
    <n v="1"/>
    <n v="1"/>
    <n v="0.22190442477876099"/>
    <x v="3"/>
    <x v="0"/>
    <s v="极高风险(&gt;180天为主)"/>
    <s v="D-零散(&lt;5万)｜未知/缺数据｜极高风险(&gt;180天为主)"/>
    <n v="562749.62123893807"/>
    <n v="1973250.3787610619"/>
  </r>
  <r>
    <x v="200"/>
    <n v="1"/>
    <n v="1"/>
    <n v="0"/>
    <n v="0"/>
    <n v="73775"/>
    <n v="66397.5"/>
    <n v="7377.5"/>
    <m/>
    <m/>
    <n v="39"/>
    <n v="148"/>
    <n v="1"/>
    <n v="0"/>
    <n v="0.33285663716814162"/>
    <x v="3"/>
    <x v="0"/>
    <s v="高风险(&gt;90天占比高)"/>
    <s v="D-零散(&lt;5万)｜未知/缺数据｜高风险(&gt;90天占比高)"/>
    <n v="363436.17642477882"/>
    <n v="728433.82357522123"/>
  </r>
  <r>
    <x v="201"/>
    <n v="1"/>
    <n v="1"/>
    <n v="0"/>
    <n v="0"/>
    <n v="73104"/>
    <n v="65793.600000000006"/>
    <n v="7310.3999999999942"/>
    <m/>
    <m/>
    <n v="113"/>
    <n v="478"/>
    <n v="1"/>
    <n v="1"/>
    <n v="0.22190442477876099"/>
    <x v="3"/>
    <x v="0"/>
    <s v="极高风险(&gt;180天为主)"/>
    <s v="D-零散(&lt;5万)｜未知/缺数据｜极高风险(&gt;180天为主)"/>
    <n v="775416.43109946838"/>
    <n v="2718954.768900529"/>
  </r>
  <r>
    <x v="202"/>
    <n v="1"/>
    <n v="1"/>
    <n v="0"/>
    <n v="0"/>
    <n v="7000"/>
    <n v="0"/>
    <n v="7000"/>
    <m/>
    <m/>
    <m/>
    <n v="968"/>
    <n v="1"/>
    <n v="1"/>
    <n v="0.22190442477876099"/>
    <x v="3"/>
    <x v="0"/>
    <s v="极高风险(&gt;180天为主)"/>
    <s v="D-零散(&lt;5万)｜未知/缺数据｜极高风险(&gt;180天为主)"/>
    <n v="1503624.3823008849"/>
    <n v="5272375.6176991155"/>
  </r>
  <r>
    <x v="203"/>
    <n v="1"/>
    <n v="1"/>
    <n v="0"/>
    <n v="0"/>
    <n v="5999.99"/>
    <n v="0"/>
    <n v="5999.99"/>
    <n v="31"/>
    <m/>
    <m/>
    <n v="933"/>
    <n v="1"/>
    <n v="1"/>
    <n v="0.22190442477876099"/>
    <x v="3"/>
    <x v="0"/>
    <s v="极高风险(&gt;180天为主)"/>
    <s v="D-零散(&lt;5万)｜未知/缺数据｜极高风险(&gt;180天为主)"/>
    <n v="1242218.8995432211"/>
    <n v="4355771.7704567788"/>
  </r>
  <r>
    <x v="204"/>
    <n v="1"/>
    <n v="1"/>
    <n v="0"/>
    <n v="0"/>
    <n v="18993.599999999999"/>
    <n v="13139.64"/>
    <n v="5853.9599999999991"/>
    <n v="38"/>
    <m/>
    <n v="792"/>
    <n v="921"/>
    <n v="1"/>
    <n v="1"/>
    <n v="0.22190442477876099"/>
    <x v="3"/>
    <x v="0"/>
    <s v="极高风险(&gt;180天为主)"/>
    <s v="D-零散(&lt;5万)｜未知/缺数据｜极高风险(&gt;180天为主)"/>
    <n v="1196397.0759861241"/>
    <n v="4195100.0840138756"/>
  </r>
  <r>
    <x v="205"/>
    <n v="1"/>
    <n v="1"/>
    <n v="0"/>
    <n v="0"/>
    <n v="5607.5"/>
    <n v="0"/>
    <n v="5607.5"/>
    <n v="243"/>
    <m/>
    <m/>
    <n v="959"/>
    <n v="1"/>
    <n v="1"/>
    <n v="0.22190442477876099"/>
    <x v="3"/>
    <x v="0"/>
    <s v="极高风险(&gt;180天为主)"/>
    <s v="D-零散(&lt;5万)｜未知/缺数据｜极高风险(&gt;180天为主)"/>
    <n v="1193311.57040708"/>
    <n v="4184280.92959292"/>
  </r>
  <r>
    <x v="206"/>
    <n v="1"/>
    <n v="1"/>
    <n v="0"/>
    <n v="0"/>
    <n v="5000"/>
    <n v="0"/>
    <n v="5000"/>
    <m/>
    <m/>
    <m/>
    <n v="872"/>
    <n v="1"/>
    <n v="1"/>
    <n v="0.22190442477876099"/>
    <x v="3"/>
    <x v="0"/>
    <s v="极高风险(&gt;180天为主)"/>
    <s v="D-零散(&lt;5万)｜未知/缺数据｜极高风险(&gt;180天为主)"/>
    <n v="967503.29203539819"/>
    <n v="3392496.7079646019"/>
  </r>
  <r>
    <x v="207"/>
    <n v="1"/>
    <n v="1"/>
    <n v="0"/>
    <n v="0"/>
    <n v="5000"/>
    <n v="0"/>
    <n v="5000"/>
    <n v="28"/>
    <m/>
    <m/>
    <n v="864"/>
    <n v="1"/>
    <n v="1"/>
    <n v="0.22190442477876099"/>
    <x v="3"/>
    <x v="0"/>
    <s v="极高风险(&gt;180天为主)"/>
    <s v="D-零散(&lt;5万)｜未知/缺数据｜极高风险(&gt;180天为主)"/>
    <n v="958627.11504424771"/>
    <n v="3361372.8849557522"/>
  </r>
  <r>
    <x v="208"/>
    <n v="1"/>
    <n v="1"/>
    <n v="0"/>
    <n v="0"/>
    <n v="5000"/>
    <n v="0"/>
    <n v="5000"/>
    <m/>
    <m/>
    <m/>
    <n v="742"/>
    <n v="1"/>
    <n v="1"/>
    <n v="0.22190442477876099"/>
    <x v="3"/>
    <x v="0"/>
    <s v="极高风险(&gt;180天为主)"/>
    <s v="D-零散(&lt;5万)｜未知/缺数据｜极高风险(&gt;180天为主)"/>
    <n v="823265.4159292035"/>
    <n v="2886734.5840707971"/>
  </r>
  <r>
    <x v="209"/>
    <n v="1"/>
    <n v="1"/>
    <n v="0"/>
    <n v="0"/>
    <n v="98000"/>
    <n v="93100"/>
    <n v="4900"/>
    <n v="105"/>
    <m/>
    <n v="135"/>
    <n v="632"/>
    <n v="1"/>
    <n v="1"/>
    <n v="0.22190442477876099"/>
    <x v="3"/>
    <x v="0"/>
    <s v="极高风险(&gt;180天为主)"/>
    <s v="D-零散(&lt;5万)｜未知/缺数据｜极高风险(&gt;180天为主)"/>
    <n v="687193.62265486724"/>
    <n v="2409606.3773451331"/>
  </r>
  <r>
    <x v="210"/>
    <n v="1"/>
    <n v="1"/>
    <n v="0"/>
    <n v="0"/>
    <n v="45000"/>
    <n v="40500"/>
    <n v="4500"/>
    <m/>
    <m/>
    <n v="80"/>
    <n v="158"/>
    <n v="1"/>
    <n v="0"/>
    <n v="0.33285663716814162"/>
    <x v="3"/>
    <x v="0"/>
    <s v="高风险(&gt;90天占比高)"/>
    <s v="D-零散(&lt;5万)｜未知/缺数据｜高风险(&gt;90天占比高)"/>
    <n v="236661.06902654871"/>
    <n v="474338.93097345129"/>
  </r>
  <r>
    <x v="211"/>
    <n v="1"/>
    <n v="1"/>
    <n v="0"/>
    <n v="0"/>
    <n v="131200"/>
    <n v="127264"/>
    <n v="3936"/>
    <m/>
    <m/>
    <n v="4"/>
    <n v="235"/>
    <n v="1"/>
    <n v="1"/>
    <n v="0.22190442477876099"/>
    <x v="3"/>
    <x v="0"/>
    <s v="极高风险(&gt;180天为主)"/>
    <s v="D-零散(&lt;5万)｜未知/缺数据｜极高风险(&gt;180天为主)"/>
    <n v="205252.71674336281"/>
    <n v="719707.28325663717"/>
  </r>
  <r>
    <x v="212"/>
    <n v="1"/>
    <n v="1"/>
    <n v="0"/>
    <n v="0"/>
    <n v="39000"/>
    <n v="35100"/>
    <n v="3900"/>
    <m/>
    <m/>
    <n v="80"/>
    <n v="262"/>
    <n v="1"/>
    <n v="1"/>
    <n v="0.22190442477876099"/>
    <x v="3"/>
    <x v="0"/>
    <s v="极高风险(&gt;180天为主)"/>
    <s v="D-零散(&lt;5万)｜未知/缺数据｜极高风险(&gt;180天为主)"/>
    <n v="226741.94123893799"/>
    <n v="795058.05876106198"/>
  </r>
  <r>
    <x v="213"/>
    <n v="1"/>
    <n v="1"/>
    <n v="0"/>
    <n v="0"/>
    <n v="3300"/>
    <n v="0"/>
    <n v="3300"/>
    <n v="211"/>
    <m/>
    <m/>
    <n v="892"/>
    <n v="1"/>
    <n v="1"/>
    <n v="0.22190442477876099"/>
    <x v="3"/>
    <x v="0"/>
    <s v="极高风险(&gt;180天为主)"/>
    <s v="D-零散(&lt;5万)｜未知/缺数据｜极高风险(&gt;180天为主)"/>
    <n v="653197.86477876105"/>
    <n v="2290402.1352212392"/>
  </r>
  <r>
    <x v="214"/>
    <n v="1"/>
    <n v="1"/>
    <n v="0"/>
    <n v="0"/>
    <n v="3000"/>
    <n v="0"/>
    <n v="3000"/>
    <m/>
    <m/>
    <m/>
    <n v="372"/>
    <n v="1"/>
    <n v="1"/>
    <n v="0.22190442477876099"/>
    <x v="3"/>
    <x v="0"/>
    <s v="极高风险(&gt;180天为主)"/>
    <s v="D-零散(&lt;5万)｜未知/缺数据｜极高风险(&gt;180天为主)"/>
    <n v="247645.33805309731"/>
    <n v="868354.66194690263"/>
  </r>
  <r>
    <x v="215"/>
    <n v="1"/>
    <n v="1"/>
    <n v="0"/>
    <n v="0"/>
    <n v="60000"/>
    <n v="58347"/>
    <n v="1653"/>
    <m/>
    <m/>
    <n v="583"/>
    <n v="655"/>
    <n v="1"/>
    <n v="1"/>
    <n v="0.22190442477876099"/>
    <x v="3"/>
    <x v="0"/>
    <s v="极高风险(&gt;180天为主)"/>
    <s v="D-零散(&lt;5万)｜未知/缺数据｜极高风险(&gt;180天为主)"/>
    <n v="240259.2492743363"/>
    <n v="842455.75072566373"/>
  </r>
  <r>
    <x v="216"/>
    <n v="4"/>
    <n v="1"/>
    <n v="3"/>
    <n v="0.75"/>
    <n v="703130"/>
    <n v="1034517.56"/>
    <n v="638.44000000000233"/>
    <m/>
    <n v="341"/>
    <n v="399"/>
    <n v="652"/>
    <n v="1"/>
    <n v="1"/>
    <n v="0.39600000000000002"/>
    <x v="3"/>
    <x v="1"/>
    <s v="极高风险(&gt;180天为主)"/>
    <s v="D-零散(&lt;5万)｜很慢(&gt;90天)｜极高风险(&gt;180天为主)"/>
    <n v="164840.1004800006"/>
    <n v="251422.77952000091"/>
  </r>
  <r>
    <x v="217"/>
    <n v="1"/>
    <n v="1"/>
    <n v="0"/>
    <n v="0"/>
    <n v="3000"/>
    <n v="2700"/>
    <n v="300"/>
    <n v="395"/>
    <m/>
    <n v="344"/>
    <n v="883"/>
    <n v="1"/>
    <n v="1"/>
    <n v="0.22190442477876099"/>
    <x v="3"/>
    <x v="0"/>
    <s v="极高风险(&gt;180天为主)"/>
    <s v="D-零散(&lt;5万)｜未知/缺数据｜极高风险(&gt;180天为主)"/>
    <n v="58782.482123893802"/>
    <n v="206117.5178761062"/>
  </r>
  <r>
    <x v="218"/>
    <n v="2"/>
    <n v="1"/>
    <n v="1"/>
    <n v="0.5"/>
    <n v="424984.63"/>
    <n v="953675.46"/>
    <n v="63"/>
    <m/>
    <n v="482"/>
    <n v="824"/>
    <n v="827"/>
    <n v="1"/>
    <n v="1"/>
    <n v="0.31199999999999989"/>
    <x v="3"/>
    <x v="1"/>
    <s v="极高风险(&gt;180天为主)"/>
    <s v="D-零散(&lt;5万)｜很慢(&gt;90天)｜极高风险(&gt;180天为主)"/>
    <n v="16255.512000000001"/>
    <n v="35845.487999999998"/>
  </r>
  <r>
    <x v="219"/>
    <n v="1"/>
    <n v="1"/>
    <n v="0"/>
    <n v="0"/>
    <n v="58"/>
    <n v="0"/>
    <n v="58"/>
    <m/>
    <m/>
    <m/>
    <n v="701"/>
    <n v="1"/>
    <n v="1"/>
    <n v="0.22190442477876099"/>
    <x v="3"/>
    <x v="0"/>
    <s v="极高风险(&gt;180天为主)"/>
    <s v="D-零散(&lt;5万)｜未知/缺数据｜极高风险(&gt;180天为主)"/>
    <n v="9022.1901026548658"/>
    <n v="31635.809897345131"/>
  </r>
  <r>
    <x v="220"/>
    <n v="2"/>
    <n v="2"/>
    <n v="0"/>
    <n v="0"/>
    <n v="4.18"/>
    <n v="0"/>
    <n v="4.18"/>
    <n v="48.5"/>
    <m/>
    <m/>
    <n v="875"/>
    <n v="1"/>
    <n v="1"/>
    <n v="0.14399999999999999"/>
    <x v="3"/>
    <x v="0"/>
    <s v="极高风险(&gt;180天为主)"/>
    <s v="D-零散(&lt;5万)｜未知/缺数据｜极高风险(&gt;180天为主)"/>
    <n v="526.67999999999995"/>
    <n v="3130.82"/>
  </r>
  <r>
    <x v="221"/>
    <n v="4"/>
    <n v="1"/>
    <n v="0"/>
    <n v="0"/>
    <n v="-420482.24"/>
    <n v="344216.06"/>
    <n v="1.0000000009313229E-2"/>
    <n v="830"/>
    <m/>
    <n v="440"/>
    <n v="295"/>
    <n v="1"/>
    <n v="1"/>
    <n v="0.14399999999999999"/>
    <x v="3"/>
    <x v="0"/>
    <s v="极高风险(&gt;180天为主)"/>
    <s v="D-零散(&lt;5万)｜未知/缺数据｜极高风险(&gt;180天为主)"/>
    <n v="0.42480000039562582"/>
    <n v="2.525200002351776"/>
  </r>
  <r>
    <x v="222"/>
    <n v="1"/>
    <n v="1"/>
    <n v="0"/>
    <n v="0"/>
    <n v="222478.75"/>
    <n v="222478.75"/>
    <n v="2.91038304567337E-11"/>
    <m/>
    <m/>
    <n v="359"/>
    <n v="577"/>
    <n v="1"/>
    <n v="1"/>
    <n v="0.22190442477876099"/>
    <x v="3"/>
    <x v="0"/>
    <s v="极高风险(&gt;180天为主)"/>
    <s v="D-零散(&lt;5万)｜未知/缺数据｜极高风险(&gt;180天为主)"/>
    <n v="3.7264210724197651E-9"/>
    <n v="1.306648910111558E-8"/>
  </r>
  <r>
    <x v="223"/>
    <n v="1"/>
    <n v="0"/>
    <n v="0"/>
    <n v="0"/>
    <n v="0"/>
    <n v="147346.62"/>
    <n v="0"/>
    <m/>
    <m/>
    <m/>
    <m/>
    <n v="0"/>
    <n v="0"/>
    <n v="0.46230088495575222"/>
    <x v="4"/>
    <x v="0"/>
    <s v="低风险(无/很少逾期)"/>
    <s v="Z-无余额｜未知/缺数据｜低风险(无/很少逾期)"/>
    <n v="0"/>
    <n v="0"/>
  </r>
  <r>
    <x v="224"/>
    <n v="2"/>
    <n v="0"/>
    <n v="2"/>
    <n v="1"/>
    <n v="154800"/>
    <n v="154800"/>
    <n v="0"/>
    <n v="298"/>
    <n v="486"/>
    <n v="486"/>
    <m/>
    <n v="0"/>
    <n v="0"/>
    <n v="0.95"/>
    <x v="4"/>
    <x v="1"/>
    <s v="低风险(无/很少逾期)"/>
    <s v="Z-无余额｜很慢(&gt;90天)｜低风险(无/很少逾期)"/>
    <n v="0"/>
    <n v="0"/>
  </r>
  <r>
    <x v="225"/>
    <n v="1"/>
    <n v="0"/>
    <n v="1"/>
    <n v="1"/>
    <n v="70000"/>
    <n v="70000"/>
    <n v="0"/>
    <m/>
    <n v="382"/>
    <n v="382"/>
    <m/>
    <n v="0"/>
    <n v="0"/>
    <n v="0.46230088495575222"/>
    <x v="4"/>
    <x v="1"/>
    <s v="低风险(无/很少逾期)"/>
    <s v="Z-无余额｜很慢(&gt;90天)｜低风险(无/很少逾期)"/>
    <n v="0"/>
    <n v="0"/>
  </r>
  <r>
    <x v="226"/>
    <n v="1"/>
    <n v="0"/>
    <n v="1"/>
    <n v="1"/>
    <n v="25000"/>
    <n v="25000"/>
    <n v="0"/>
    <m/>
    <n v="353"/>
    <n v="353"/>
    <m/>
    <n v="0"/>
    <n v="0"/>
    <n v="0.46230088495575222"/>
    <x v="4"/>
    <x v="1"/>
    <s v="低风险(无/很少逾期)"/>
    <s v="Z-无余额｜很慢(&gt;90天)｜低风险(无/很少逾期)"/>
    <n v="0"/>
    <n v="0"/>
  </r>
  <r>
    <x v="227"/>
    <n v="1"/>
    <n v="0"/>
    <n v="1"/>
    <n v="1"/>
    <n v="1.42"/>
    <n v="58763.86"/>
    <n v="0"/>
    <n v="118"/>
    <n v="172"/>
    <n v="172"/>
    <m/>
    <n v="0"/>
    <n v="0"/>
    <n v="0.46230088495575222"/>
    <x v="4"/>
    <x v="1"/>
    <s v="低风险(无/很少逾期)"/>
    <s v="Z-无余额｜很慢(&gt;90天)｜低风险(无/很少逾期)"/>
    <n v="0"/>
    <n v="0"/>
  </r>
  <r>
    <x v="228"/>
    <n v="2"/>
    <n v="0"/>
    <n v="2"/>
    <n v="1"/>
    <n v="70003.5"/>
    <n v="88488.75"/>
    <n v="0"/>
    <n v="90"/>
    <n v="275.5"/>
    <n v="275.5"/>
    <m/>
    <n v="0"/>
    <n v="0"/>
    <n v="0.95"/>
    <x v="4"/>
    <x v="1"/>
    <s v="低风险(无/很少逾期)"/>
    <s v="Z-无余额｜很慢(&gt;90天)｜低风险(无/很少逾期)"/>
    <n v="0"/>
    <n v="0"/>
  </r>
  <r>
    <x v="229"/>
    <n v="1"/>
    <n v="0"/>
    <n v="1"/>
    <n v="1"/>
    <n v="22275"/>
    <n v="22275"/>
    <n v="0"/>
    <n v="733"/>
    <n v="280"/>
    <n v="280"/>
    <m/>
    <n v="0"/>
    <n v="0"/>
    <n v="0.46230088495575222"/>
    <x v="4"/>
    <x v="1"/>
    <s v="低风险(无/很少逾期)"/>
    <s v="Z-无余额｜很慢(&gt;90天)｜低风险(无/很少逾期)"/>
    <n v="0"/>
    <n v="0"/>
  </r>
  <r>
    <x v="230"/>
    <n v="1"/>
    <n v="0"/>
    <n v="1"/>
    <n v="1"/>
    <n v="40000"/>
    <n v="40000"/>
    <n v="0"/>
    <m/>
    <n v="0"/>
    <n v="0"/>
    <m/>
    <n v="0"/>
    <n v="0"/>
    <n v="0.46230088495575222"/>
    <x v="4"/>
    <x v="4"/>
    <s v="低风险(无/很少逾期)"/>
    <s v="Z-无余额｜快(≤30天)｜低风险(无/很少逾期)"/>
    <n v="0"/>
    <n v="0"/>
  </r>
  <r>
    <x v="231"/>
    <n v="1"/>
    <n v="0"/>
    <n v="0"/>
    <n v="0"/>
    <n v="-92000"/>
    <n v="100000"/>
    <n v="0"/>
    <n v="115"/>
    <m/>
    <n v="834"/>
    <m/>
    <n v="0"/>
    <n v="0"/>
    <n v="0.46230088495575222"/>
    <x v="4"/>
    <x v="0"/>
    <s v="低风险(无/很少逾期)"/>
    <s v="Z-无余额｜未知/缺数据｜低风险(无/很少逾期)"/>
    <n v="0"/>
    <n v="0"/>
  </r>
  <r>
    <x v="232"/>
    <n v="1"/>
    <n v="0"/>
    <n v="1"/>
    <n v="1"/>
    <n v="115000"/>
    <n v="115000"/>
    <n v="0"/>
    <m/>
    <n v="333"/>
    <n v="333"/>
    <m/>
    <n v="0"/>
    <n v="0"/>
    <n v="0.46230088495575222"/>
    <x v="4"/>
    <x v="1"/>
    <s v="低风险(无/很少逾期)"/>
    <s v="Z-无余额｜很慢(&gt;90天)｜低风险(无/很少逾期)"/>
    <n v="0"/>
    <n v="0"/>
  </r>
  <r>
    <x v="233"/>
    <n v="3"/>
    <n v="0"/>
    <n v="3"/>
    <n v="1"/>
    <n v="67003.86"/>
    <n v="155394"/>
    <n v="0"/>
    <n v="22.5"/>
    <n v="652"/>
    <n v="652"/>
    <m/>
    <n v="0"/>
    <n v="0"/>
    <n v="0.95"/>
    <x v="4"/>
    <x v="1"/>
    <s v="低风险(无/很少逾期)"/>
    <s v="Z-无余额｜很慢(&gt;90天)｜低风险(无/很少逾期)"/>
    <n v="0"/>
    <n v="0"/>
  </r>
  <r>
    <x v="234"/>
    <n v="3"/>
    <n v="0"/>
    <n v="3"/>
    <n v="1"/>
    <n v="113000"/>
    <n v="113000"/>
    <n v="0"/>
    <m/>
    <n v="31"/>
    <n v="31"/>
    <m/>
    <n v="0"/>
    <n v="0"/>
    <n v="0.95"/>
    <x v="4"/>
    <x v="2"/>
    <s v="低风险(无/很少逾期)"/>
    <s v="Z-无余额｜中(31-60天)｜低风险(无/很少逾期)"/>
    <n v="0"/>
    <n v="0"/>
  </r>
  <r>
    <x v="235"/>
    <n v="1"/>
    <n v="0"/>
    <n v="1"/>
    <n v="1"/>
    <n v="110000"/>
    <n v="110000"/>
    <n v="0"/>
    <m/>
    <n v="688"/>
    <n v="688"/>
    <m/>
    <n v="0"/>
    <n v="0"/>
    <n v="0.46230088495575222"/>
    <x v="4"/>
    <x v="1"/>
    <s v="低风险(无/很少逾期)"/>
    <s v="Z-无余额｜很慢(&gt;90天)｜低风险(无/很少逾期)"/>
    <n v="0"/>
    <n v="0"/>
  </r>
  <r>
    <x v="236"/>
    <n v="1"/>
    <n v="0"/>
    <n v="1"/>
    <n v="1"/>
    <n v="19667.8"/>
    <n v="237225.15"/>
    <n v="0"/>
    <n v="27"/>
    <n v="495"/>
    <n v="530"/>
    <m/>
    <n v="0"/>
    <n v="0"/>
    <n v="0.46230088495575222"/>
    <x v="4"/>
    <x v="1"/>
    <s v="低风险(无/很少逾期)"/>
    <s v="Z-无余额｜很慢(&gt;90天)｜低风险(无/很少逾期)"/>
    <n v="0"/>
    <n v="0"/>
  </r>
  <r>
    <x v="237"/>
    <n v="1"/>
    <n v="0"/>
    <n v="1"/>
    <n v="1"/>
    <n v="40000"/>
    <n v="40000"/>
    <n v="0"/>
    <m/>
    <n v="55"/>
    <n v="55"/>
    <m/>
    <n v="0"/>
    <n v="0"/>
    <n v="0.46230088495575222"/>
    <x v="4"/>
    <x v="2"/>
    <s v="低风险(无/很少逾期)"/>
    <s v="Z-无余额｜中(31-60天)｜低风险(无/很少逾期)"/>
    <n v="0"/>
    <n v="0"/>
  </r>
  <r>
    <x v="238"/>
    <n v="1"/>
    <n v="0"/>
    <n v="0"/>
    <n v="0"/>
    <n v="60000"/>
    <n v="147346.62"/>
    <n v="0"/>
    <m/>
    <m/>
    <n v="404"/>
    <m/>
    <n v="0"/>
    <n v="0"/>
    <n v="0.46230088495575222"/>
    <x v="4"/>
    <x v="0"/>
    <s v="低风险(无/很少逾期)"/>
    <s v="Z-无余额｜未知/缺数据｜低风险(无/很少逾期)"/>
    <n v="0"/>
    <n v="0"/>
  </r>
  <r>
    <x v="239"/>
    <n v="1"/>
    <n v="0"/>
    <n v="1"/>
    <n v="1"/>
    <n v="15000"/>
    <n v="15000"/>
    <n v="0"/>
    <m/>
    <n v="0"/>
    <n v="0"/>
    <m/>
    <n v="0"/>
    <n v="0"/>
    <n v="0.46230088495575222"/>
    <x v="4"/>
    <x v="4"/>
    <s v="低风险(无/很少逾期)"/>
    <s v="Z-无余额｜快(≤30天)｜低风险(无/很少逾期)"/>
    <n v="0"/>
    <n v="0"/>
  </r>
  <r>
    <x v="240"/>
    <n v="1"/>
    <n v="0"/>
    <n v="0"/>
    <n v="0"/>
    <n v="80000"/>
    <n v="147346.62"/>
    <n v="0"/>
    <m/>
    <m/>
    <n v="273"/>
    <m/>
    <n v="0"/>
    <n v="0"/>
    <n v="0.46230088495575222"/>
    <x v="4"/>
    <x v="0"/>
    <s v="低风险(无/很少逾期)"/>
    <s v="Z-无余额｜未知/缺数据｜低风险(无/很少逾期)"/>
    <n v="0"/>
    <n v="0"/>
  </r>
  <r>
    <x v="241"/>
    <n v="1"/>
    <n v="0"/>
    <n v="1"/>
    <n v="1"/>
    <n v="65000"/>
    <n v="65000"/>
    <n v="0"/>
    <m/>
    <n v="162"/>
    <n v="162"/>
    <m/>
    <n v="0"/>
    <n v="0"/>
    <n v="0.46230088495575222"/>
    <x v="4"/>
    <x v="1"/>
    <s v="低风险(无/很少逾期)"/>
    <s v="Z-无余额｜很慢(&gt;90天)｜低风险(无/很少逾期)"/>
    <n v="0"/>
    <n v="0"/>
  </r>
  <r>
    <x v="242"/>
    <n v="2"/>
    <n v="0"/>
    <n v="2"/>
    <n v="1"/>
    <n v="11.4"/>
    <n v="44118"/>
    <n v="0"/>
    <m/>
    <n v="487"/>
    <n v="487"/>
    <m/>
    <n v="0"/>
    <n v="0"/>
    <n v="0.95"/>
    <x v="4"/>
    <x v="1"/>
    <s v="低风险(无/很少逾期)"/>
    <s v="Z-无余额｜很慢(&gt;90天)｜低风险(无/很少逾期)"/>
    <n v="0"/>
    <n v="0"/>
  </r>
  <r>
    <x v="243"/>
    <n v="1"/>
    <n v="0"/>
    <n v="1"/>
    <n v="1"/>
    <n v="671500"/>
    <n v="671500"/>
    <n v="0"/>
    <m/>
    <n v="7"/>
    <n v="7"/>
    <m/>
    <n v="0"/>
    <n v="0"/>
    <n v="0.46230088495575222"/>
    <x v="4"/>
    <x v="4"/>
    <s v="低风险(无/很少逾期)"/>
    <s v="Z-无余额｜快(≤30天)｜低风险(无/很少逾期)"/>
    <n v="0"/>
    <n v="0"/>
  </r>
  <r>
    <x v="244"/>
    <n v="1"/>
    <n v="0"/>
    <n v="0"/>
    <n v="0"/>
    <n v="12000"/>
    <n v="147346.62"/>
    <n v="0"/>
    <m/>
    <m/>
    <n v="318"/>
    <m/>
    <n v="0"/>
    <n v="0"/>
    <n v="0.46230088495575222"/>
    <x v="4"/>
    <x v="0"/>
    <s v="低风险(无/很少逾期)"/>
    <s v="Z-无余额｜未知/缺数据｜低风险(无/很少逾期)"/>
    <n v="0"/>
    <n v="0"/>
  </r>
  <r>
    <x v="245"/>
    <n v="1"/>
    <n v="0"/>
    <n v="1"/>
    <n v="1"/>
    <n v="61480"/>
    <n v="61480"/>
    <n v="0"/>
    <m/>
    <n v="45"/>
    <n v="45"/>
    <m/>
    <n v="0"/>
    <n v="0"/>
    <n v="0.46230088495575222"/>
    <x v="4"/>
    <x v="2"/>
    <s v="低风险(无/很少逾期)"/>
    <s v="Z-无余额｜中(31-60天)｜低风险(无/很少逾期)"/>
    <n v="0"/>
    <n v="0"/>
  </r>
  <r>
    <x v="246"/>
    <n v="1"/>
    <n v="0"/>
    <n v="1"/>
    <n v="1"/>
    <n v="125000"/>
    <n v="125000"/>
    <n v="0"/>
    <m/>
    <n v="270"/>
    <n v="270"/>
    <m/>
    <n v="0"/>
    <n v="0"/>
    <n v="0.46230088495575222"/>
    <x v="4"/>
    <x v="1"/>
    <s v="低风险(无/很少逾期)"/>
    <s v="Z-无余额｜很慢(&gt;90天)｜低风险(无/很少逾期)"/>
    <n v="0"/>
    <n v="0"/>
  </r>
  <r>
    <x v="247"/>
    <n v="1"/>
    <n v="0"/>
    <n v="1"/>
    <n v="1"/>
    <n v="417187.5"/>
    <n v="417187.5"/>
    <n v="0"/>
    <m/>
    <n v="204"/>
    <n v="204"/>
    <m/>
    <n v="0"/>
    <n v="0"/>
    <n v="0.46230088495575222"/>
    <x v="4"/>
    <x v="1"/>
    <s v="低风险(无/很少逾期)"/>
    <s v="Z-无余额｜很慢(&gt;90天)｜低风险(无/很少逾期)"/>
    <n v="0"/>
    <n v="0"/>
  </r>
  <r>
    <x v="248"/>
    <n v="1"/>
    <n v="0"/>
    <n v="0"/>
    <n v="0"/>
    <n v="10000"/>
    <n v="147346.62"/>
    <n v="0"/>
    <m/>
    <m/>
    <n v="213"/>
    <m/>
    <n v="0"/>
    <n v="0"/>
    <n v="0.46230088495575222"/>
    <x v="4"/>
    <x v="0"/>
    <s v="低风险(无/很少逾期)"/>
    <s v="Z-无余额｜未知/缺数据｜低风险(无/很少逾期)"/>
    <n v="0"/>
    <n v="0"/>
  </r>
  <r>
    <x v="249"/>
    <n v="1"/>
    <n v="0"/>
    <n v="0"/>
    <n v="0"/>
    <n v="20000"/>
    <n v="147346.62"/>
    <n v="0"/>
    <m/>
    <m/>
    <n v="440"/>
    <m/>
    <n v="0"/>
    <n v="0"/>
    <n v="0.46230088495575222"/>
    <x v="4"/>
    <x v="0"/>
    <s v="低风险(无/很少逾期)"/>
    <s v="Z-无余额｜未知/缺数据｜低风险(无/很少逾期)"/>
    <n v="0"/>
    <n v="0"/>
  </r>
  <r>
    <x v="250"/>
    <n v="1"/>
    <n v="0"/>
    <n v="1"/>
    <n v="1"/>
    <n v="3.85"/>
    <n v="59267.05"/>
    <n v="0"/>
    <n v="68"/>
    <n v="532"/>
    <n v="900"/>
    <m/>
    <n v="0"/>
    <n v="0"/>
    <n v="0.46230088495575222"/>
    <x v="4"/>
    <x v="1"/>
    <s v="低风险(无/很少逾期)"/>
    <s v="Z-无余额｜很慢(&gt;90天)｜低风险(无/很少逾期)"/>
    <n v="0"/>
    <n v="0"/>
  </r>
  <r>
    <x v="251"/>
    <n v="1"/>
    <n v="0"/>
    <n v="1"/>
    <n v="1"/>
    <n v="3.5"/>
    <n v="53970"/>
    <n v="0"/>
    <n v="41"/>
    <n v="580"/>
    <n v="580"/>
    <m/>
    <n v="0"/>
    <n v="0"/>
    <n v="0.46230088495575222"/>
    <x v="4"/>
    <x v="1"/>
    <s v="低风险(无/很少逾期)"/>
    <s v="Z-无余额｜很慢(&gt;90天)｜低风险(无/很少逾期)"/>
    <n v="0"/>
    <n v="0"/>
  </r>
  <r>
    <x v="252"/>
    <n v="1"/>
    <n v="0"/>
    <n v="1"/>
    <n v="1"/>
    <n v="89000"/>
    <n v="89000"/>
    <n v="0"/>
    <m/>
    <n v="86"/>
    <n v="86"/>
    <m/>
    <n v="0"/>
    <n v="0"/>
    <n v="0.46230088495575222"/>
    <x v="4"/>
    <x v="3"/>
    <s v="低风险(无/很少逾期)"/>
    <s v="Z-无余额｜慢(61-90天)｜低风险(无/很少逾期)"/>
    <n v="0"/>
    <n v="0"/>
  </r>
  <r>
    <x v="253"/>
    <n v="1"/>
    <n v="0"/>
    <n v="1"/>
    <n v="1"/>
    <n v="32000"/>
    <n v="32000"/>
    <n v="0"/>
    <m/>
    <n v="95"/>
    <n v="95"/>
    <m/>
    <n v="0"/>
    <n v="0"/>
    <n v="0.46230088495575222"/>
    <x v="4"/>
    <x v="1"/>
    <s v="低风险(无/很少逾期)"/>
    <s v="Z-无余额｜很慢(&gt;90天)｜低风险(无/很少逾期)"/>
    <n v="0"/>
    <n v="0"/>
  </r>
  <r>
    <x v="254"/>
    <n v="2"/>
    <n v="0"/>
    <n v="1"/>
    <n v="0.5"/>
    <n v="70669.03"/>
    <n v="218015.65"/>
    <n v="0"/>
    <m/>
    <m/>
    <n v="204.5"/>
    <m/>
    <n v="0"/>
    <n v="0"/>
    <n v="0.64999999999999991"/>
    <x v="4"/>
    <x v="0"/>
    <s v="低风险(无/很少逾期)"/>
    <s v="Z-无余额｜未知/缺数据｜低风险(无/很少逾期)"/>
    <n v="0"/>
    <n v="0"/>
  </r>
  <r>
    <x v="255"/>
    <n v="1"/>
    <n v="0"/>
    <n v="0"/>
    <n v="0"/>
    <n v="98000"/>
    <n v="147346.62"/>
    <n v="0"/>
    <m/>
    <m/>
    <n v="5"/>
    <m/>
    <n v="0"/>
    <n v="0"/>
    <n v="0.46230088495575222"/>
    <x v="4"/>
    <x v="0"/>
    <s v="低风险(无/很少逾期)"/>
    <s v="Z-无余额｜未知/缺数据｜低风险(无/很少逾期)"/>
    <n v="0"/>
    <n v="0"/>
  </r>
  <r>
    <x v="256"/>
    <n v="1"/>
    <n v="0"/>
    <n v="1"/>
    <n v="1"/>
    <n v="15000"/>
    <n v="15000"/>
    <n v="0"/>
    <m/>
    <n v="76"/>
    <n v="76"/>
    <m/>
    <n v="0"/>
    <n v="0"/>
    <n v="0.46230088495575222"/>
    <x v="4"/>
    <x v="3"/>
    <s v="低风险(无/很少逾期)"/>
    <s v="Z-无余额｜慢(61-90天)｜低风险(无/很少逾期)"/>
    <n v="0"/>
    <n v="0"/>
  </r>
  <r>
    <x v="257"/>
    <n v="1"/>
    <n v="0"/>
    <n v="1"/>
    <n v="1"/>
    <n v="150000"/>
    <n v="150000"/>
    <n v="0"/>
    <m/>
    <n v="395"/>
    <n v="395"/>
    <m/>
    <n v="0"/>
    <n v="0"/>
    <n v="0.46230088495575222"/>
    <x v="4"/>
    <x v="1"/>
    <s v="低风险(无/很少逾期)"/>
    <s v="Z-无余额｜很慢(&gt;90天)｜低风险(无/很少逾期)"/>
    <n v="0"/>
    <n v="0"/>
  </r>
  <r>
    <x v="258"/>
    <n v="2"/>
    <n v="0"/>
    <n v="2"/>
    <n v="1"/>
    <n v="89000"/>
    <n v="89000"/>
    <n v="0"/>
    <m/>
    <n v="379.5"/>
    <n v="379.5"/>
    <m/>
    <n v="0"/>
    <n v="0"/>
    <n v="0.95"/>
    <x v="4"/>
    <x v="1"/>
    <s v="低风险(无/很少逾期)"/>
    <s v="Z-无余额｜很慢(&gt;90天)｜低风险(无/很少逾期)"/>
    <n v="0"/>
    <n v="0"/>
  </r>
  <r>
    <x v="259"/>
    <n v="1"/>
    <n v="0"/>
    <n v="1"/>
    <n v="1"/>
    <n v="105"/>
    <n v="36855"/>
    <n v="0"/>
    <n v="18"/>
    <n v="25"/>
    <n v="25"/>
    <m/>
    <n v="0"/>
    <n v="0"/>
    <n v="0.46230088495575222"/>
    <x v="4"/>
    <x v="4"/>
    <s v="低风险(无/很少逾期)"/>
    <s v="Z-无余额｜快(≤30天)｜低风险(无/很少逾期)"/>
    <n v="0"/>
    <n v="0"/>
  </r>
  <r>
    <x v="260"/>
    <n v="1"/>
    <n v="0"/>
    <n v="1"/>
    <n v="1"/>
    <n v="148000"/>
    <n v="148000"/>
    <n v="0"/>
    <m/>
    <n v="0"/>
    <n v="0"/>
    <m/>
    <n v="0"/>
    <n v="0"/>
    <n v="0.46230088495575222"/>
    <x v="4"/>
    <x v="4"/>
    <s v="低风险(无/很少逾期)"/>
    <s v="Z-无余额｜快(≤30天)｜低风险(无/很少逾期)"/>
    <n v="0"/>
    <n v="0"/>
  </r>
  <r>
    <x v="261"/>
    <n v="1"/>
    <n v="0"/>
    <n v="1"/>
    <n v="1"/>
    <n v="30000"/>
    <n v="30000"/>
    <n v="0"/>
    <n v="10"/>
    <n v="912"/>
    <n v="912"/>
    <m/>
    <n v="0"/>
    <n v="0"/>
    <n v="0.46230088495575222"/>
    <x v="4"/>
    <x v="1"/>
    <s v="低风险(无/很少逾期)"/>
    <s v="Z-无余额｜很慢(&gt;90天)｜低风险(无/很少逾期)"/>
    <n v="0"/>
    <n v="0"/>
  </r>
  <r>
    <x v="262"/>
    <n v="1"/>
    <n v="0"/>
    <n v="1"/>
    <n v="1"/>
    <n v="452000"/>
    <n v="452000"/>
    <n v="0"/>
    <m/>
    <n v="329"/>
    <n v="329"/>
    <m/>
    <n v="0"/>
    <n v="0"/>
    <n v="0.46230088495575222"/>
    <x v="4"/>
    <x v="1"/>
    <s v="低风险(无/很少逾期)"/>
    <s v="Z-无余额｜很慢(&gt;90天)｜低风险(无/很少逾期)"/>
    <n v="0"/>
    <n v="0"/>
  </r>
  <r>
    <x v="263"/>
    <n v="1"/>
    <n v="0"/>
    <n v="1"/>
    <n v="1"/>
    <n v="29606"/>
    <n v="45750"/>
    <n v="0"/>
    <m/>
    <n v="13"/>
    <n v="13"/>
    <m/>
    <n v="0"/>
    <n v="0"/>
    <n v="0.46230088495575222"/>
    <x v="4"/>
    <x v="4"/>
    <s v="低风险(无/很少逾期)"/>
    <s v="Z-无余额｜快(≤30天)｜低风险(无/很少逾期)"/>
    <n v="0"/>
    <n v="0"/>
  </r>
  <r>
    <x v="264"/>
    <n v="4"/>
    <n v="0"/>
    <n v="4"/>
    <n v="1"/>
    <n v="279368"/>
    <n v="279368"/>
    <n v="0"/>
    <m/>
    <n v="374"/>
    <n v="374"/>
    <m/>
    <n v="0"/>
    <n v="0"/>
    <n v="0.95"/>
    <x v="4"/>
    <x v="1"/>
    <s v="低风险(无/很少逾期)"/>
    <s v="Z-无余额｜很慢(&gt;90天)｜低风险(无/很少逾期)"/>
    <n v="0"/>
    <n v="0"/>
  </r>
  <r>
    <x v="265"/>
    <n v="1"/>
    <n v="0"/>
    <n v="0"/>
    <n v="0"/>
    <n v="6000"/>
    <n v="147346.62"/>
    <n v="0"/>
    <m/>
    <m/>
    <n v="328"/>
    <m/>
    <n v="0"/>
    <n v="0"/>
    <n v="0.46230088495575222"/>
    <x v="4"/>
    <x v="0"/>
    <s v="低风险(无/很少逾期)"/>
    <s v="Z-无余额｜未知/缺数据｜低风险(无/很少逾期)"/>
    <n v="0"/>
    <n v="0"/>
  </r>
  <r>
    <x v="266"/>
    <n v="2"/>
    <n v="0"/>
    <n v="2"/>
    <n v="1"/>
    <n v="164003.79999999999"/>
    <n v="180000"/>
    <n v="0"/>
    <n v="266.5"/>
    <n v="912"/>
    <n v="912"/>
    <m/>
    <n v="0"/>
    <n v="0"/>
    <n v="0.95"/>
    <x v="4"/>
    <x v="1"/>
    <s v="低风险(无/很少逾期)"/>
    <s v="Z-无余额｜很慢(&gt;90天)｜低风险(无/很少逾期)"/>
    <n v="0"/>
    <n v="0"/>
  </r>
  <r>
    <x v="267"/>
    <n v="2"/>
    <n v="0"/>
    <n v="2"/>
    <n v="1"/>
    <n v="20000"/>
    <n v="20000"/>
    <n v="0"/>
    <m/>
    <n v="27"/>
    <n v="27"/>
    <m/>
    <n v="0"/>
    <n v="0"/>
    <n v="0.95"/>
    <x v="4"/>
    <x v="4"/>
    <s v="低风险(无/很少逾期)"/>
    <s v="Z-无余额｜快(≤30天)｜低风险(无/很少逾期)"/>
    <n v="0"/>
    <n v="0"/>
  </r>
  <r>
    <x v="268"/>
    <n v="1"/>
    <n v="0"/>
    <n v="1"/>
    <n v="1"/>
    <n v="26000"/>
    <n v="26000"/>
    <n v="0"/>
    <m/>
    <n v="26"/>
    <n v="26"/>
    <m/>
    <n v="0"/>
    <n v="0"/>
    <n v="0.46230088495575222"/>
    <x v="4"/>
    <x v="4"/>
    <s v="低风险(无/很少逾期)"/>
    <s v="Z-无余额｜快(≤30天)｜低风险(无/很少逾期)"/>
    <n v="0"/>
    <n v="0"/>
  </r>
  <r>
    <x v="269"/>
    <n v="1"/>
    <n v="0"/>
    <n v="1"/>
    <n v="1"/>
    <n v="2.09"/>
    <n v="5096.6400000000003"/>
    <n v="0"/>
    <n v="25"/>
    <n v="859"/>
    <n v="859"/>
    <m/>
    <n v="0"/>
    <n v="0"/>
    <n v="0.46230088495575222"/>
    <x v="4"/>
    <x v="1"/>
    <s v="低风险(无/很少逾期)"/>
    <s v="Z-无余额｜很慢(&gt;90天)｜低风险(无/很少逾期)"/>
    <n v="0"/>
    <n v="0"/>
  </r>
  <r>
    <x v="270"/>
    <n v="1"/>
    <n v="0"/>
    <n v="1"/>
    <n v="1"/>
    <n v="50000"/>
    <n v="50000"/>
    <n v="0"/>
    <n v="107"/>
    <n v="157"/>
    <n v="157"/>
    <m/>
    <n v="0"/>
    <n v="0"/>
    <n v="0.46230088495575222"/>
    <x v="4"/>
    <x v="1"/>
    <s v="低风险(无/很少逾期)"/>
    <s v="Z-无余额｜很慢(&gt;90天)｜低风险(无/很少逾期)"/>
    <n v="0"/>
    <n v="0"/>
  </r>
  <r>
    <x v="271"/>
    <n v="1"/>
    <n v="0"/>
    <n v="1"/>
    <n v="1"/>
    <n v="99400"/>
    <n v="99400"/>
    <n v="0"/>
    <m/>
    <n v="18"/>
    <n v="18"/>
    <m/>
    <n v="0"/>
    <n v="0"/>
    <n v="0.46230088495575222"/>
    <x v="4"/>
    <x v="4"/>
    <s v="低风险(无/很少逾期)"/>
    <s v="Z-无余额｜快(≤30天)｜低风险(无/很少逾期)"/>
    <n v="0"/>
    <n v="0"/>
  </r>
  <r>
    <x v="272"/>
    <n v="1"/>
    <n v="0"/>
    <n v="1"/>
    <n v="1"/>
    <n v="2.99"/>
    <n v="59590.8"/>
    <n v="0"/>
    <m/>
    <n v="62"/>
    <n v="484"/>
    <m/>
    <n v="0"/>
    <n v="0"/>
    <n v="0.46230088495575222"/>
    <x v="4"/>
    <x v="3"/>
    <s v="低风险(无/很少逾期)"/>
    <s v="Z-无余额｜慢(61-90天)｜低风险(无/很少逾期)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C555C-815C-AF43-9174-DD7501F99C95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1">
    <pivotField axis="axisRow" dataField="1" showAll="0">
      <items count="274">
        <item x="223"/>
        <item x="224"/>
        <item x="35"/>
        <item x="219"/>
        <item x="190"/>
        <item x="178"/>
        <item x="37"/>
        <item x="115"/>
        <item x="159"/>
        <item x="75"/>
        <item x="140"/>
        <item x="148"/>
        <item x="225"/>
        <item x="207"/>
        <item x="221"/>
        <item x="227"/>
        <item x="226"/>
        <item x="7"/>
        <item x="228"/>
        <item x="47"/>
        <item x="74"/>
        <item x="34"/>
        <item x="213"/>
        <item x="126"/>
        <item x="111"/>
        <item x="209"/>
        <item x="137"/>
        <item x="26"/>
        <item x="83"/>
        <item x="30"/>
        <item x="142"/>
        <item x="96"/>
        <item x="94"/>
        <item x="12"/>
        <item x="229"/>
        <item x="230"/>
        <item x="68"/>
        <item x="39"/>
        <item x="231"/>
        <item x="232"/>
        <item x="105"/>
        <item x="173"/>
        <item x="125"/>
        <item x="69"/>
        <item x="195"/>
        <item x="138"/>
        <item x="92"/>
        <item x="172"/>
        <item x="233"/>
        <item x="234"/>
        <item x="97"/>
        <item x="131"/>
        <item x="16"/>
        <item x="127"/>
        <item x="235"/>
        <item x="236"/>
        <item x="52"/>
        <item x="19"/>
        <item x="121"/>
        <item x="65"/>
        <item x="237"/>
        <item x="238"/>
        <item x="130"/>
        <item x="216"/>
        <item x="84"/>
        <item x="24"/>
        <item x="102"/>
        <item x="165"/>
        <item x="58"/>
        <item x="144"/>
        <item x="151"/>
        <item x="28"/>
        <item x="194"/>
        <item x="119"/>
        <item x="239"/>
        <item x="136"/>
        <item x="150"/>
        <item x="70"/>
        <item x="51"/>
        <item x="147"/>
        <item x="155"/>
        <item x="146"/>
        <item x="80"/>
        <item x="63"/>
        <item x="240"/>
        <item x="166"/>
        <item x="241"/>
        <item x="27"/>
        <item x="54"/>
        <item x="177"/>
        <item x="118"/>
        <item x="188"/>
        <item x="222"/>
        <item x="101"/>
        <item x="36"/>
        <item x="242"/>
        <item x="243"/>
        <item x="43"/>
        <item x="42"/>
        <item x="85"/>
        <item x="45"/>
        <item x="120"/>
        <item x="169"/>
        <item x="135"/>
        <item x="104"/>
        <item x="205"/>
        <item x="40"/>
        <item x="156"/>
        <item x="244"/>
        <item x="179"/>
        <item x="143"/>
        <item x="95"/>
        <item x="245"/>
        <item x="89"/>
        <item x="141"/>
        <item x="25"/>
        <item x="15"/>
        <item x="187"/>
        <item x="246"/>
        <item x="139"/>
        <item x="247"/>
        <item x="88"/>
        <item x="93"/>
        <item x="48"/>
        <item x="86"/>
        <item x="248"/>
        <item x="59"/>
        <item x="176"/>
        <item x="49"/>
        <item x="50"/>
        <item x="249"/>
        <item x="217"/>
        <item x="212"/>
        <item x="149"/>
        <item x="6"/>
        <item x="9"/>
        <item x="41"/>
        <item x="17"/>
        <item x="250"/>
        <item x="251"/>
        <item x="8"/>
        <item x="161"/>
        <item x="14"/>
        <item x="3"/>
        <item x="191"/>
        <item x="106"/>
        <item x="100"/>
        <item x="252"/>
        <item x="66"/>
        <item x="253"/>
        <item x="197"/>
        <item x="254"/>
        <item x="255"/>
        <item x="0"/>
        <item x="4"/>
        <item x="256"/>
        <item x="62"/>
        <item x="124"/>
        <item x="77"/>
        <item x="53"/>
        <item x="185"/>
        <item x="257"/>
        <item x="107"/>
        <item x="258"/>
        <item x="152"/>
        <item x="204"/>
        <item x="11"/>
        <item x="76"/>
        <item x="114"/>
        <item x="200"/>
        <item x="32"/>
        <item x="259"/>
        <item x="182"/>
        <item x="13"/>
        <item x="72"/>
        <item x="91"/>
        <item x="174"/>
        <item x="192"/>
        <item x="186"/>
        <item x="99"/>
        <item x="260"/>
        <item x="23"/>
        <item x="38"/>
        <item x="90"/>
        <item x="198"/>
        <item x="123"/>
        <item x="64"/>
        <item x="22"/>
        <item x="261"/>
        <item x="116"/>
        <item x="153"/>
        <item x="189"/>
        <item x="196"/>
        <item x="262"/>
        <item x="46"/>
        <item x="33"/>
        <item x="20"/>
        <item x="18"/>
        <item x="109"/>
        <item x="163"/>
        <item x="5"/>
        <item x="2"/>
        <item x="170"/>
        <item x="98"/>
        <item x="208"/>
        <item x="211"/>
        <item x="202"/>
        <item x="73"/>
        <item x="10"/>
        <item x="160"/>
        <item x="157"/>
        <item x="145"/>
        <item x="263"/>
        <item x="218"/>
        <item x="168"/>
        <item x="60"/>
        <item x="112"/>
        <item x="67"/>
        <item x="132"/>
        <item x="180"/>
        <item x="264"/>
        <item x="167"/>
        <item x="201"/>
        <item x="61"/>
        <item x="265"/>
        <item x="110"/>
        <item x="164"/>
        <item x="87"/>
        <item x="117"/>
        <item x="266"/>
        <item x="57"/>
        <item x="181"/>
        <item x="55"/>
        <item x="108"/>
        <item x="134"/>
        <item x="175"/>
        <item x="29"/>
        <item x="215"/>
        <item x="210"/>
        <item x="78"/>
        <item x="193"/>
        <item x="267"/>
        <item x="44"/>
        <item x="113"/>
        <item x="268"/>
        <item x="183"/>
        <item x="184"/>
        <item x="79"/>
        <item x="82"/>
        <item x="269"/>
        <item x="154"/>
        <item x="158"/>
        <item x="199"/>
        <item x="122"/>
        <item x="81"/>
        <item x="220"/>
        <item x="270"/>
        <item x="128"/>
        <item x="56"/>
        <item x="271"/>
        <item x="129"/>
        <item x="272"/>
        <item x="203"/>
        <item x="71"/>
        <item x="1"/>
        <item x="206"/>
        <item x="21"/>
        <item x="162"/>
        <item x="214"/>
        <item x="31"/>
        <item x="103"/>
        <item x="171"/>
        <item x="1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0"/>
        <item x="1"/>
        <item x="2"/>
        <item x="3"/>
        <item x="4"/>
        <item t="default"/>
      </items>
    </pivotField>
    <pivotField axis="axisRow" showAll="0">
      <items count="6">
        <item sd="0" x="2"/>
        <item sd="0" x="1"/>
        <item sd="0" x="4"/>
        <item sd="0" x="3"/>
        <item sd="0" x="0"/>
        <item t="default"/>
      </items>
    </pivotField>
    <pivotField showAll="0"/>
    <pivotField showAll="0"/>
    <pivotField showAll="0"/>
    <pivotField showAll="0"/>
  </pivotFields>
  <rowFields count="3">
    <field x="16"/>
    <field x="15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客户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2FBA0-2D84-1044-A2B4-CA44A209D257}" name="Table1" displayName="Table1" ref="A1:U274" totalsRowShown="0" headerRowDxfId="11" headerRowBorderDxfId="9" tableBorderDxfId="10">
  <autoFilter ref="A1:U274" xr:uid="{A3F2FBA0-2D84-1044-A2B4-CA44A209D257}"/>
  <tableColumns count="21">
    <tableColumn id="1" xr3:uid="{CAA5D2E0-A91C-624E-885C-0F615DADD470}" name="客户"/>
    <tableColumn id="2" xr3:uid="{18C18A71-5A27-0B41-A53C-C500FE62629A}" name="合同数"/>
    <tableColumn id="3" xr3:uid="{8013B1F2-EC07-8343-95A6-2CE47D280E97}" name="在手合同数(有余额)"/>
    <tableColumn id="4" xr3:uid="{6447425C-89AF-054F-B625-E750E51DE724}" name="回款完结合同数"/>
    <tableColumn id="5" xr3:uid="{9EEE0898-0ED2-B34D-8122-430254A77D8C}" name="完结率"/>
    <tableColumn id="6" xr3:uid="{AE9AF964-0FA0-CB47-AFE3-2BC358BBD3AD}" name="开票总额"/>
    <tableColumn id="7" xr3:uid="{19EE155A-1D9B-0B42-A5FF-B37E4D4402FD}" name="回款总额"/>
    <tableColumn id="8" xr3:uid="{EF0AA295-35D8-DA4C-B185-A256F8A94BAF}" name="未回款余额"/>
    <tableColumn id="9" xr3:uid="{E2B5F278-AFCE-C04B-931F-BFE0F1D29E1C}" name="开工后开票_中位数天"/>
    <tableColumn id="10" xr3:uid="{1E5EE54A-1C25-CF4B-AEC9-9F2A9B0803E4}" name="开票后回款(完结)_中位数天"/>
    <tableColumn id="11" xr3:uid="{A3D120F7-F61A-EB45-AD61-2F1D7CA24876}" name="开票后回款(至最后回款)_中位数天"/>
    <tableColumn id="12" xr3:uid="{E3570170-0275-2B40-A0B6-7F15A109440C}" name="未回款加权逾期天数"/>
    <tableColumn id="13" xr3:uid="{F38EDB60-2B23-FB45-A1CC-C0E773DDF820}" name="逾期&gt;90天余额占比"/>
    <tableColumn id="14" xr3:uid="{A91BF381-7E22-024E-82BB-E4C0C93F773E}" name="逾期&gt;180天余额占比"/>
    <tableColumn id="15" xr3:uid="{5B80126E-168F-B34B-9D3F-95101EA552BB}" name="完结概率(估算)"/>
    <tableColumn id="16" xr3:uid="{DD523DF3-B079-D643-9FD7-DC4E7907D999}" name="金额分层"/>
    <tableColumn id="17" xr3:uid="{5BB0D07C-8EEB-3E41-A1F5-E1657C66634C}" name="回款周期分层(完结中位数)"/>
    <tableColumn id="18" xr3:uid="{20B5A4D6-1523-BA45-BC07-7EE795855A55}" name="逾期风险分层"/>
    <tableColumn id="19" xr3:uid="{E267B84C-D5A2-5346-877A-80882E0680E8}" name="客户画像标签"/>
    <tableColumn id="20" xr3:uid="{D4C945E6-4B46-AD47-A868-D98097179EE7}" name="催收优先级得分(按你公式)"/>
    <tableColumn id="21" xr3:uid="{BC54CF01-47B4-8F46-815C-0443DEBCDDB1}" name="催收优先级得分(风险导向备选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E15CE-5948-C344-B39F-2AE88E690490}" name="Table2" displayName="Table2" ref="A1:G64" totalsRowShown="0" headerRowDxfId="2" dataDxfId="3">
  <autoFilter ref="A1:G64" xr:uid="{A7BE15CE-5948-C344-B39F-2AE88E690490}"/>
  <tableColumns count="7">
    <tableColumn id="1" xr3:uid="{BE078E45-6E4F-2746-B6A9-408045247818}" name="客户" dataDxfId="0"/>
    <tableColumn id="2" xr3:uid="{FC7C11AA-36C3-BE4C-9414-A02ED7613089}" name="合同数" dataDxfId="1"/>
    <tableColumn id="3" xr3:uid="{990A23CA-81A0-6C4E-8D88-551CE2627E05}" name="开票后回款(至最后回款)_均值天" dataDxfId="8"/>
    <tableColumn id="4" xr3:uid="{BC9751FE-A973-A048-8AD5-3A4C85E0A2B1}" name="开票后回款(至最后回款)_中位数天" dataDxfId="7"/>
    <tableColumn id="5" xr3:uid="{6D653135-7E1D-CB4E-9FF8-141B29058BCA}" name="开票总额" dataDxfId="6"/>
    <tableColumn id="6" xr3:uid="{BC44B5FA-771A-4941-AA8F-98C585840BAE}" name="回款总额" dataDxfId="5"/>
    <tableColumn id="7" xr3:uid="{23CF93D9-5630-534E-BDEA-8E5AB8E99028}" name="回款比例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2D93-A1F0-A442-AC1F-1C89AB67CB83}">
  <dimension ref="A3:B9"/>
  <sheetViews>
    <sheetView workbookViewId="0">
      <selection activeCell="A8" sqref="A8"/>
    </sheetView>
  </sheetViews>
  <sheetFormatPr baseColWidth="10" defaultRowHeight="16" x14ac:dyDescent="0.2"/>
  <cols>
    <col min="1" max="1" width="13.83203125" bestFit="1" customWidth="1"/>
    <col min="2" max="2" width="12.33203125" bestFit="1" customWidth="1"/>
  </cols>
  <sheetData>
    <row r="3" spans="1:2" x14ac:dyDescent="0.2">
      <c r="A3" s="3" t="s">
        <v>338</v>
      </c>
      <c r="B3" t="s">
        <v>339</v>
      </c>
    </row>
    <row r="4" spans="1:2" x14ac:dyDescent="0.2">
      <c r="A4" s="2" t="s">
        <v>34</v>
      </c>
      <c r="B4" s="4">
        <v>12</v>
      </c>
    </row>
    <row r="5" spans="1:2" x14ac:dyDescent="0.2">
      <c r="A5" s="2" t="s">
        <v>27</v>
      </c>
      <c r="B5" s="4">
        <v>53</v>
      </c>
    </row>
    <row r="6" spans="1:2" x14ac:dyDescent="0.2">
      <c r="A6" s="2" t="s">
        <v>59</v>
      </c>
      <c r="B6" s="4">
        <v>13</v>
      </c>
    </row>
    <row r="7" spans="1:2" x14ac:dyDescent="0.2">
      <c r="A7" s="2" t="s">
        <v>40</v>
      </c>
      <c r="B7" s="4">
        <v>6</v>
      </c>
    </row>
    <row r="8" spans="1:2" x14ac:dyDescent="0.2">
      <c r="A8" s="2" t="s">
        <v>23</v>
      </c>
      <c r="B8" s="4">
        <v>189</v>
      </c>
    </row>
    <row r="9" spans="1:2" x14ac:dyDescent="0.2">
      <c r="A9" s="2" t="s">
        <v>340</v>
      </c>
      <c r="B9" s="4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E2A3-4FA2-C245-A709-F435B3A4890E}">
  <dimension ref="A1:U274"/>
  <sheetViews>
    <sheetView topLeftCell="A2" workbookViewId="0">
      <selection activeCell="A2" sqref="A2"/>
    </sheetView>
  </sheetViews>
  <sheetFormatPr baseColWidth="10" defaultColWidth="8.83203125" defaultRowHeight="16" x14ac:dyDescent="0.2"/>
  <cols>
    <col min="1" max="1" width="20.5" customWidth="1"/>
    <col min="2" max="2" width="9" customWidth="1"/>
    <col min="3" max="3" width="19.1640625" customWidth="1"/>
    <col min="4" max="4" width="16.33203125" customWidth="1"/>
    <col min="5" max="5" width="9" customWidth="1"/>
    <col min="6" max="7" width="10.83203125" customWidth="1"/>
    <col min="8" max="8" width="12.6640625" customWidth="1"/>
    <col min="9" max="9" width="20.83203125" customWidth="1"/>
    <col min="10" max="10" width="25.5" customWidth="1"/>
    <col min="11" max="11" width="31" customWidth="1"/>
    <col min="12" max="12" width="20" customWidth="1"/>
    <col min="13" max="13" width="19.1640625" customWidth="1"/>
    <col min="14" max="14" width="20.1640625" customWidth="1"/>
    <col min="15" max="15" width="15.5" customWidth="1"/>
    <col min="16" max="16" width="14.5" bestFit="1" customWidth="1"/>
    <col min="17" max="17" width="24.6640625" customWidth="1"/>
    <col min="18" max="18" width="19" bestFit="1" customWidth="1"/>
    <col min="19" max="19" width="46.6640625" bestFit="1" customWidth="1"/>
    <col min="20" max="20" width="24.6640625" customWidth="1"/>
    <col min="21" max="21" width="28.3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2</v>
      </c>
      <c r="C2">
        <v>2</v>
      </c>
      <c r="D2">
        <v>0</v>
      </c>
      <c r="E2">
        <v>0</v>
      </c>
      <c r="F2">
        <v>39332794.219999999</v>
      </c>
      <c r="G2">
        <v>147346.62</v>
      </c>
      <c r="H2">
        <v>39185447.600000001</v>
      </c>
      <c r="K2">
        <v>634</v>
      </c>
      <c r="L2">
        <v>671.59131378149675</v>
      </c>
      <c r="M2">
        <v>1</v>
      </c>
      <c r="N2">
        <v>1</v>
      </c>
      <c r="O2">
        <v>0.14399999999999999</v>
      </c>
      <c r="P2" t="s">
        <v>22</v>
      </c>
      <c r="Q2" t="s">
        <v>23</v>
      </c>
      <c r="R2" t="s">
        <v>24</v>
      </c>
      <c r="S2" t="s">
        <v>25</v>
      </c>
      <c r="T2">
        <v>3789591297.8112001</v>
      </c>
      <c r="U2">
        <v>22527014936.9888</v>
      </c>
    </row>
    <row r="3" spans="1:21" x14ac:dyDescent="0.2">
      <c r="A3" t="s">
        <v>26</v>
      </c>
      <c r="B3">
        <v>51</v>
      </c>
      <c r="C3">
        <v>45</v>
      </c>
      <c r="D3">
        <v>6</v>
      </c>
      <c r="E3">
        <v>0.1176470588235294</v>
      </c>
      <c r="F3">
        <v>49968943.829999998</v>
      </c>
      <c r="G3">
        <v>14290598.92</v>
      </c>
      <c r="H3">
        <v>35678345.710000001</v>
      </c>
      <c r="J3">
        <v>413</v>
      </c>
      <c r="K3">
        <v>406</v>
      </c>
      <c r="L3">
        <v>719.42439144581078</v>
      </c>
      <c r="M3">
        <v>0.96994257500847558</v>
      </c>
      <c r="N3">
        <v>0.94652177218336608</v>
      </c>
      <c r="O3">
        <v>0.18352941176470591</v>
      </c>
      <c r="P3" t="s">
        <v>22</v>
      </c>
      <c r="Q3" t="s">
        <v>27</v>
      </c>
      <c r="R3" t="s">
        <v>24</v>
      </c>
      <c r="S3" t="s">
        <v>28</v>
      </c>
      <c r="T3">
        <v>4710809476.9797173</v>
      </c>
      <c r="U3">
        <v>20957062673.230289</v>
      </c>
    </row>
    <row r="4" spans="1:21" x14ac:dyDescent="0.2">
      <c r="A4" t="s">
        <v>29</v>
      </c>
      <c r="B4">
        <v>1</v>
      </c>
      <c r="C4">
        <v>1</v>
      </c>
      <c r="D4">
        <v>0</v>
      </c>
      <c r="E4">
        <v>0</v>
      </c>
      <c r="F4">
        <v>19815339.530000001</v>
      </c>
      <c r="G4">
        <v>147346.62</v>
      </c>
      <c r="H4">
        <v>19667992.91</v>
      </c>
      <c r="K4">
        <v>420</v>
      </c>
      <c r="L4">
        <v>459</v>
      </c>
      <c r="M4">
        <v>1</v>
      </c>
      <c r="N4">
        <v>1</v>
      </c>
      <c r="O4">
        <v>0.22190442477876099</v>
      </c>
      <c r="P4" t="s">
        <v>22</v>
      </c>
      <c r="Q4" t="s">
        <v>23</v>
      </c>
      <c r="R4" t="s">
        <v>24</v>
      </c>
      <c r="S4" t="s">
        <v>25</v>
      </c>
      <c r="T4">
        <v>2003266325.8400519</v>
      </c>
      <c r="U4">
        <v>7024342419.8499489</v>
      </c>
    </row>
    <row r="5" spans="1:21" x14ac:dyDescent="0.2">
      <c r="A5" t="s">
        <v>30</v>
      </c>
      <c r="B5">
        <v>6</v>
      </c>
      <c r="C5">
        <v>6</v>
      </c>
      <c r="D5">
        <v>0</v>
      </c>
      <c r="E5">
        <v>0</v>
      </c>
      <c r="F5">
        <v>20296222.510000002</v>
      </c>
      <c r="G5">
        <v>1087032</v>
      </c>
      <c r="H5">
        <v>19209190.510000002</v>
      </c>
      <c r="I5">
        <v>119</v>
      </c>
      <c r="K5">
        <v>230</v>
      </c>
      <c r="L5">
        <v>680.85463674543985</v>
      </c>
      <c r="M5">
        <v>0.99823001391014887</v>
      </c>
      <c r="N5">
        <v>0.95981043555176859</v>
      </c>
      <c r="O5">
        <v>0.14399999999999999</v>
      </c>
      <c r="P5" t="s">
        <v>22</v>
      </c>
      <c r="Q5" t="s">
        <v>23</v>
      </c>
      <c r="R5" t="s">
        <v>24</v>
      </c>
      <c r="S5" t="s">
        <v>25</v>
      </c>
      <c r="T5">
        <v>1883327965.46784</v>
      </c>
      <c r="U5">
        <v>11195338461.39216</v>
      </c>
    </row>
    <row r="6" spans="1:21" x14ac:dyDescent="0.2">
      <c r="A6" t="s">
        <v>31</v>
      </c>
      <c r="B6">
        <v>1</v>
      </c>
      <c r="C6">
        <v>1</v>
      </c>
      <c r="D6">
        <v>0</v>
      </c>
      <c r="E6">
        <v>0</v>
      </c>
      <c r="F6">
        <v>18831571.140000001</v>
      </c>
      <c r="G6">
        <v>147346.62</v>
      </c>
      <c r="H6">
        <v>18684224.52</v>
      </c>
      <c r="K6">
        <v>573</v>
      </c>
      <c r="L6">
        <v>612</v>
      </c>
      <c r="M6">
        <v>1</v>
      </c>
      <c r="N6">
        <v>1</v>
      </c>
      <c r="O6">
        <v>0.22190442477876099</v>
      </c>
      <c r="P6" t="s">
        <v>22</v>
      </c>
      <c r="Q6" t="s">
        <v>23</v>
      </c>
      <c r="R6" t="s">
        <v>24</v>
      </c>
      <c r="S6" t="s">
        <v>25</v>
      </c>
      <c r="T6">
        <v>2537420601.8632669</v>
      </c>
      <c r="U6">
        <v>8897324804.3767319</v>
      </c>
    </row>
    <row r="7" spans="1:21" x14ac:dyDescent="0.2">
      <c r="A7" t="s">
        <v>32</v>
      </c>
      <c r="B7">
        <v>1</v>
      </c>
      <c r="C7">
        <v>1</v>
      </c>
      <c r="D7">
        <v>0</v>
      </c>
      <c r="E7">
        <v>0</v>
      </c>
      <c r="F7">
        <v>9637459.8499999996</v>
      </c>
      <c r="G7">
        <v>147346.62</v>
      </c>
      <c r="H7">
        <v>9490113.2300000004</v>
      </c>
      <c r="K7">
        <v>359</v>
      </c>
      <c r="L7">
        <v>398</v>
      </c>
      <c r="M7">
        <v>1</v>
      </c>
      <c r="N7">
        <v>1</v>
      </c>
      <c r="O7">
        <v>0.22190442477876099</v>
      </c>
      <c r="P7" t="s">
        <v>22</v>
      </c>
      <c r="Q7" t="s">
        <v>23</v>
      </c>
      <c r="R7" t="s">
        <v>24</v>
      </c>
      <c r="S7" t="s">
        <v>25</v>
      </c>
      <c r="T7">
        <v>838147450.72060704</v>
      </c>
      <c r="U7">
        <v>2938917614.8193932</v>
      </c>
    </row>
    <row r="8" spans="1:21" x14ac:dyDescent="0.2">
      <c r="A8" t="s">
        <v>33</v>
      </c>
      <c r="B8">
        <v>12</v>
      </c>
      <c r="C8">
        <v>8</v>
      </c>
      <c r="D8">
        <v>4</v>
      </c>
      <c r="E8">
        <v>0.33333333333333331</v>
      </c>
      <c r="F8">
        <v>9115455.8300000001</v>
      </c>
      <c r="G8">
        <v>2560383.7599999998</v>
      </c>
      <c r="H8">
        <v>6555072.0700000003</v>
      </c>
      <c r="I8">
        <v>60</v>
      </c>
      <c r="J8">
        <v>56.5</v>
      </c>
      <c r="K8">
        <v>474</v>
      </c>
      <c r="L8">
        <v>891.94571634663964</v>
      </c>
      <c r="M8">
        <v>1</v>
      </c>
      <c r="N8">
        <v>1</v>
      </c>
      <c r="O8">
        <v>0.25600000000000001</v>
      </c>
      <c r="P8" t="s">
        <v>22</v>
      </c>
      <c r="Q8" t="s">
        <v>34</v>
      </c>
      <c r="R8" t="s">
        <v>24</v>
      </c>
      <c r="S8" t="s">
        <v>35</v>
      </c>
      <c r="T8">
        <v>1496772724.01408</v>
      </c>
      <c r="U8">
        <v>4349995729.1659203</v>
      </c>
    </row>
    <row r="9" spans="1:21" x14ac:dyDescent="0.2">
      <c r="A9" t="s">
        <v>36</v>
      </c>
      <c r="B9">
        <v>2</v>
      </c>
      <c r="C9">
        <v>2</v>
      </c>
      <c r="D9">
        <v>0</v>
      </c>
      <c r="E9">
        <v>0</v>
      </c>
      <c r="F9">
        <v>6460000</v>
      </c>
      <c r="G9">
        <v>57000</v>
      </c>
      <c r="H9">
        <v>6403000</v>
      </c>
      <c r="I9">
        <v>88</v>
      </c>
      <c r="K9">
        <v>490</v>
      </c>
      <c r="L9">
        <v>773.37388724035611</v>
      </c>
      <c r="M9">
        <v>1</v>
      </c>
      <c r="N9">
        <v>1</v>
      </c>
      <c r="O9">
        <v>0.14399999999999999</v>
      </c>
      <c r="P9" t="s">
        <v>22</v>
      </c>
      <c r="Q9" t="s">
        <v>23</v>
      </c>
      <c r="R9" t="s">
        <v>24</v>
      </c>
      <c r="S9" t="s">
        <v>25</v>
      </c>
      <c r="T9">
        <v>713075472</v>
      </c>
      <c r="U9">
        <v>4238837528</v>
      </c>
    </row>
    <row r="10" spans="1:21" x14ac:dyDescent="0.2">
      <c r="A10" t="s">
        <v>37</v>
      </c>
      <c r="B10">
        <v>1</v>
      </c>
      <c r="C10">
        <v>1</v>
      </c>
      <c r="D10">
        <v>0</v>
      </c>
      <c r="E10">
        <v>0</v>
      </c>
      <c r="F10">
        <v>6219800</v>
      </c>
      <c r="G10">
        <v>378059.75</v>
      </c>
      <c r="H10">
        <v>5841740.25</v>
      </c>
      <c r="K10">
        <v>352</v>
      </c>
      <c r="L10">
        <v>815</v>
      </c>
      <c r="M10">
        <v>1</v>
      </c>
      <c r="N10">
        <v>1</v>
      </c>
      <c r="O10">
        <v>0.22190442477876099</v>
      </c>
      <c r="P10" t="s">
        <v>22</v>
      </c>
      <c r="Q10" t="s">
        <v>23</v>
      </c>
      <c r="R10" t="s">
        <v>24</v>
      </c>
      <c r="S10" t="s">
        <v>25</v>
      </c>
      <c r="T10">
        <v>1056491028.054796</v>
      </c>
      <c r="U10">
        <v>3704527275.6952038</v>
      </c>
    </row>
    <row r="11" spans="1:21" x14ac:dyDescent="0.2">
      <c r="A11" t="s">
        <v>38</v>
      </c>
      <c r="B11">
        <v>1</v>
      </c>
      <c r="C11">
        <v>1</v>
      </c>
      <c r="D11">
        <v>0</v>
      </c>
      <c r="E11">
        <v>0</v>
      </c>
      <c r="F11">
        <v>4023093.88</v>
      </c>
      <c r="G11">
        <v>158893.88</v>
      </c>
      <c r="H11">
        <v>3864200</v>
      </c>
      <c r="I11">
        <v>224</v>
      </c>
      <c r="K11">
        <v>491</v>
      </c>
      <c r="L11">
        <v>934</v>
      </c>
      <c r="M11">
        <v>1</v>
      </c>
      <c r="N11">
        <v>1</v>
      </c>
      <c r="O11">
        <v>0.22190442477876099</v>
      </c>
      <c r="P11" t="s">
        <v>22</v>
      </c>
      <c r="Q11" t="s">
        <v>23</v>
      </c>
      <c r="R11" t="s">
        <v>24</v>
      </c>
      <c r="S11" t="s">
        <v>25</v>
      </c>
      <c r="T11">
        <v>800889195.06690264</v>
      </c>
      <c r="U11">
        <v>2808273604.9330969</v>
      </c>
    </row>
    <row r="12" spans="1:21" x14ac:dyDescent="0.2">
      <c r="A12" t="s">
        <v>39</v>
      </c>
      <c r="B12">
        <v>9</v>
      </c>
      <c r="C12">
        <v>5</v>
      </c>
      <c r="D12">
        <v>4</v>
      </c>
      <c r="E12">
        <v>0.44444444444444442</v>
      </c>
      <c r="F12">
        <v>3361212.47</v>
      </c>
      <c r="G12">
        <v>536019.81000000006</v>
      </c>
      <c r="H12">
        <v>2825192.66</v>
      </c>
      <c r="I12">
        <v>352</v>
      </c>
      <c r="J12">
        <v>87.5</v>
      </c>
      <c r="K12">
        <v>94</v>
      </c>
      <c r="L12">
        <v>771.67371709793406</v>
      </c>
      <c r="M12">
        <v>1</v>
      </c>
      <c r="N12">
        <v>1</v>
      </c>
      <c r="O12">
        <v>0.29333333333333328</v>
      </c>
      <c r="P12" t="s">
        <v>22</v>
      </c>
      <c r="Q12" t="s">
        <v>40</v>
      </c>
      <c r="R12" t="s">
        <v>24</v>
      </c>
      <c r="S12" t="s">
        <v>41</v>
      </c>
      <c r="T12">
        <v>639503896.96159995</v>
      </c>
      <c r="U12">
        <v>1540623024.4984</v>
      </c>
    </row>
    <row r="13" spans="1:21" x14ac:dyDescent="0.2">
      <c r="A13" t="s">
        <v>42</v>
      </c>
      <c r="B13">
        <v>16</v>
      </c>
      <c r="C13">
        <v>13</v>
      </c>
      <c r="D13">
        <v>3</v>
      </c>
      <c r="E13">
        <v>0.1875</v>
      </c>
      <c r="F13">
        <v>3915375.8</v>
      </c>
      <c r="G13">
        <v>1101466.3899999999</v>
      </c>
      <c r="H13">
        <v>2813909.41</v>
      </c>
      <c r="I13">
        <v>48.5</v>
      </c>
      <c r="J13">
        <v>37</v>
      </c>
      <c r="K13">
        <v>58</v>
      </c>
      <c r="L13">
        <v>909.82801871365143</v>
      </c>
      <c r="M13">
        <v>1</v>
      </c>
      <c r="N13">
        <v>1</v>
      </c>
      <c r="O13">
        <v>0.20699999999999999</v>
      </c>
      <c r="P13" t="s">
        <v>22</v>
      </c>
      <c r="Q13" t="s">
        <v>34</v>
      </c>
      <c r="R13" t="s">
        <v>24</v>
      </c>
      <c r="S13" t="s">
        <v>35</v>
      </c>
      <c r="T13">
        <v>529955940.03138</v>
      </c>
      <c r="U13">
        <v>2030217683.30862</v>
      </c>
    </row>
    <row r="14" spans="1:21" x14ac:dyDescent="0.2">
      <c r="A14" t="s">
        <v>43</v>
      </c>
      <c r="B14">
        <v>4</v>
      </c>
      <c r="C14">
        <v>4</v>
      </c>
      <c r="D14">
        <v>0</v>
      </c>
      <c r="E14">
        <v>0</v>
      </c>
      <c r="F14">
        <v>2821127.44</v>
      </c>
      <c r="G14">
        <v>164800</v>
      </c>
      <c r="H14">
        <v>2656327.44</v>
      </c>
      <c r="I14">
        <v>104</v>
      </c>
      <c r="K14">
        <v>626</v>
      </c>
      <c r="L14">
        <v>986.79597222396649</v>
      </c>
      <c r="M14">
        <v>1</v>
      </c>
      <c r="N14">
        <v>1</v>
      </c>
      <c r="O14">
        <v>0.14399999999999999</v>
      </c>
      <c r="P14" t="s">
        <v>22</v>
      </c>
      <c r="Q14" t="s">
        <v>23</v>
      </c>
      <c r="R14" t="s">
        <v>24</v>
      </c>
      <c r="S14" t="s">
        <v>25</v>
      </c>
      <c r="T14">
        <v>377460463.49279988</v>
      </c>
      <c r="U14">
        <v>2243792755.2072001</v>
      </c>
    </row>
    <row r="15" spans="1:21" x14ac:dyDescent="0.2">
      <c r="A15" t="s">
        <v>44</v>
      </c>
      <c r="B15">
        <v>4</v>
      </c>
      <c r="C15">
        <v>3</v>
      </c>
      <c r="D15">
        <v>1</v>
      </c>
      <c r="E15">
        <v>0.25</v>
      </c>
      <c r="F15">
        <v>2597814</v>
      </c>
      <c r="G15">
        <v>445270</v>
      </c>
      <c r="H15">
        <v>2152544</v>
      </c>
      <c r="J15">
        <v>56</v>
      </c>
      <c r="K15">
        <v>56</v>
      </c>
      <c r="L15">
        <v>772.88669871556635</v>
      </c>
      <c r="M15">
        <v>0.78108972453060188</v>
      </c>
      <c r="N15">
        <v>0.78108972453060188</v>
      </c>
      <c r="O15">
        <v>0.22800000000000001</v>
      </c>
      <c r="P15" t="s">
        <v>22</v>
      </c>
      <c r="Q15" t="s">
        <v>34</v>
      </c>
      <c r="R15" t="s">
        <v>24</v>
      </c>
      <c r="S15" t="s">
        <v>35</v>
      </c>
      <c r="T15">
        <v>379317358.72799999</v>
      </c>
      <c r="U15">
        <v>1284355267.2720001</v>
      </c>
    </row>
    <row r="16" spans="1:21" x14ac:dyDescent="0.2">
      <c r="A16" t="s">
        <v>45</v>
      </c>
      <c r="B16">
        <v>5</v>
      </c>
      <c r="C16">
        <v>5</v>
      </c>
      <c r="D16">
        <v>0</v>
      </c>
      <c r="E16">
        <v>0</v>
      </c>
      <c r="F16">
        <v>1989506.48</v>
      </c>
      <c r="G16">
        <v>0</v>
      </c>
      <c r="H16">
        <v>1989506.48</v>
      </c>
      <c r="I16">
        <v>299</v>
      </c>
      <c r="L16">
        <v>210.2755952621979</v>
      </c>
      <c r="M16">
        <v>0.29610684153187578</v>
      </c>
      <c r="N16">
        <v>0.29610684153187578</v>
      </c>
      <c r="O16">
        <v>0.18</v>
      </c>
      <c r="P16" t="s">
        <v>22</v>
      </c>
      <c r="Q16" t="s">
        <v>23</v>
      </c>
      <c r="R16" t="s">
        <v>24</v>
      </c>
      <c r="S16" t="s">
        <v>25</v>
      </c>
      <c r="T16">
        <v>75302038.684799999</v>
      </c>
      <c r="U16">
        <v>343042620.67519999</v>
      </c>
    </row>
    <row r="17" spans="1:21" x14ac:dyDescent="0.2">
      <c r="A17" t="s">
        <v>46</v>
      </c>
      <c r="B17">
        <v>3</v>
      </c>
      <c r="C17">
        <v>3</v>
      </c>
      <c r="D17">
        <v>0</v>
      </c>
      <c r="E17">
        <v>0</v>
      </c>
      <c r="F17">
        <v>1921040</v>
      </c>
      <c r="G17">
        <v>35272</v>
      </c>
      <c r="H17">
        <v>1885768</v>
      </c>
      <c r="K17">
        <v>513.5</v>
      </c>
      <c r="L17">
        <v>785.67004212607276</v>
      </c>
      <c r="M17">
        <v>1</v>
      </c>
      <c r="N17">
        <v>1</v>
      </c>
      <c r="O17">
        <v>0.14399999999999999</v>
      </c>
      <c r="P17" t="s">
        <v>22</v>
      </c>
      <c r="Q17" t="s">
        <v>23</v>
      </c>
      <c r="R17" t="s">
        <v>24</v>
      </c>
      <c r="S17" t="s">
        <v>25</v>
      </c>
      <c r="T17">
        <v>213349165.05599999</v>
      </c>
      <c r="U17">
        <v>1268242258.944</v>
      </c>
    </row>
    <row r="18" spans="1:21" x14ac:dyDescent="0.2">
      <c r="A18" t="s">
        <v>47</v>
      </c>
      <c r="B18">
        <v>1</v>
      </c>
      <c r="C18">
        <v>1</v>
      </c>
      <c r="D18">
        <v>0</v>
      </c>
      <c r="E18">
        <v>0</v>
      </c>
      <c r="F18">
        <v>1591999.96</v>
      </c>
      <c r="G18">
        <v>38606</v>
      </c>
      <c r="H18">
        <v>1553393.96</v>
      </c>
      <c r="K18">
        <v>551</v>
      </c>
      <c r="L18">
        <v>966</v>
      </c>
      <c r="M18">
        <v>1</v>
      </c>
      <c r="N18">
        <v>1</v>
      </c>
      <c r="O18">
        <v>0.22190442477876099</v>
      </c>
      <c r="P18" t="s">
        <v>22</v>
      </c>
      <c r="Q18" t="s">
        <v>23</v>
      </c>
      <c r="R18" t="s">
        <v>24</v>
      </c>
      <c r="S18" t="s">
        <v>25</v>
      </c>
      <c r="T18">
        <v>332985023.38154918</v>
      </c>
      <c r="U18">
        <v>1167593541.978451</v>
      </c>
    </row>
    <row r="19" spans="1:21" x14ac:dyDescent="0.2">
      <c r="A19" t="s">
        <v>48</v>
      </c>
      <c r="B19">
        <v>4</v>
      </c>
      <c r="C19">
        <v>4</v>
      </c>
      <c r="D19">
        <v>0</v>
      </c>
      <c r="E19">
        <v>0</v>
      </c>
      <c r="F19">
        <v>1514000</v>
      </c>
      <c r="G19">
        <v>100000</v>
      </c>
      <c r="H19">
        <v>1414000</v>
      </c>
      <c r="K19">
        <v>565</v>
      </c>
      <c r="L19">
        <v>796.3026874115983</v>
      </c>
      <c r="M19">
        <v>1</v>
      </c>
      <c r="N19">
        <v>1</v>
      </c>
      <c r="O19">
        <v>0.14399999999999999</v>
      </c>
      <c r="P19" t="s">
        <v>22</v>
      </c>
      <c r="Q19" t="s">
        <v>23</v>
      </c>
      <c r="R19" t="s">
        <v>24</v>
      </c>
      <c r="S19" t="s">
        <v>25</v>
      </c>
      <c r="T19">
        <v>162139968</v>
      </c>
      <c r="U19">
        <v>963832032</v>
      </c>
    </row>
    <row r="20" spans="1:21" x14ac:dyDescent="0.2">
      <c r="A20" t="s">
        <v>49</v>
      </c>
      <c r="B20">
        <v>2</v>
      </c>
      <c r="C20">
        <v>2</v>
      </c>
      <c r="D20">
        <v>0</v>
      </c>
      <c r="E20">
        <v>0</v>
      </c>
      <c r="F20">
        <v>1472000</v>
      </c>
      <c r="G20">
        <v>161840</v>
      </c>
      <c r="H20">
        <v>1310160</v>
      </c>
      <c r="K20">
        <v>336</v>
      </c>
      <c r="L20">
        <v>927.02491298772668</v>
      </c>
      <c r="M20">
        <v>1</v>
      </c>
      <c r="N20">
        <v>1</v>
      </c>
      <c r="O20">
        <v>0.14399999999999999</v>
      </c>
      <c r="P20" t="s">
        <v>22</v>
      </c>
      <c r="Q20" t="s">
        <v>23</v>
      </c>
      <c r="R20" t="s">
        <v>24</v>
      </c>
      <c r="S20" t="s">
        <v>25</v>
      </c>
      <c r="T20">
        <v>174895338.24000001</v>
      </c>
      <c r="U20">
        <v>1039655621.76</v>
      </c>
    </row>
    <row r="21" spans="1:21" x14ac:dyDescent="0.2">
      <c r="A21" t="s">
        <v>50</v>
      </c>
      <c r="B21">
        <v>1</v>
      </c>
      <c r="C21">
        <v>1</v>
      </c>
      <c r="D21">
        <v>0</v>
      </c>
      <c r="E21">
        <v>0</v>
      </c>
      <c r="F21">
        <v>1672000</v>
      </c>
      <c r="G21">
        <v>414238</v>
      </c>
      <c r="H21">
        <v>1257762</v>
      </c>
      <c r="I21">
        <v>611</v>
      </c>
      <c r="K21">
        <v>752</v>
      </c>
      <c r="L21">
        <v>788</v>
      </c>
      <c r="M21">
        <v>1</v>
      </c>
      <c r="N21">
        <v>1</v>
      </c>
      <c r="O21">
        <v>0.22190442477876099</v>
      </c>
      <c r="P21" t="s">
        <v>22</v>
      </c>
      <c r="Q21" t="s">
        <v>23</v>
      </c>
      <c r="R21" t="s">
        <v>24</v>
      </c>
      <c r="S21" t="s">
        <v>25</v>
      </c>
      <c r="T21">
        <v>219933127.05744421</v>
      </c>
      <c r="U21">
        <v>771183328.94255579</v>
      </c>
    </row>
    <row r="22" spans="1:21" x14ac:dyDescent="0.2">
      <c r="A22" t="s">
        <v>51</v>
      </c>
      <c r="B22">
        <v>5</v>
      </c>
      <c r="C22">
        <v>4</v>
      </c>
      <c r="D22">
        <v>1</v>
      </c>
      <c r="E22">
        <v>0.2</v>
      </c>
      <c r="F22">
        <v>1486086.2</v>
      </c>
      <c r="G22">
        <v>473644</v>
      </c>
      <c r="H22">
        <v>1012442.2</v>
      </c>
      <c r="I22">
        <v>31</v>
      </c>
      <c r="J22">
        <v>88</v>
      </c>
      <c r="K22">
        <v>686</v>
      </c>
      <c r="L22">
        <v>936.27978703376846</v>
      </c>
      <c r="M22">
        <v>0.97247250262780438</v>
      </c>
      <c r="N22">
        <v>0.97247250262780438</v>
      </c>
      <c r="O22">
        <v>0.2112</v>
      </c>
      <c r="P22" t="s">
        <v>22</v>
      </c>
      <c r="Q22" t="s">
        <v>40</v>
      </c>
      <c r="R22" t="s">
        <v>24</v>
      </c>
      <c r="S22" t="s">
        <v>41</v>
      </c>
      <c r="T22">
        <v>200202640.15487999</v>
      </c>
      <c r="U22">
        <v>747726527.24512005</v>
      </c>
    </row>
    <row r="23" spans="1:21" x14ac:dyDescent="0.2">
      <c r="A23" t="s">
        <v>52</v>
      </c>
      <c r="B23">
        <v>7</v>
      </c>
      <c r="C23">
        <v>3</v>
      </c>
      <c r="D23">
        <v>4</v>
      </c>
      <c r="E23">
        <v>0.5714285714285714</v>
      </c>
      <c r="F23">
        <v>2151120</v>
      </c>
      <c r="G23">
        <v>1209308</v>
      </c>
      <c r="H23">
        <v>941812</v>
      </c>
      <c r="I23">
        <v>94</v>
      </c>
      <c r="J23">
        <v>655.5</v>
      </c>
      <c r="K23">
        <v>666</v>
      </c>
      <c r="L23">
        <v>762.85662531375692</v>
      </c>
      <c r="M23">
        <v>0.9799195593175708</v>
      </c>
      <c r="N23">
        <v>0.9799195593175708</v>
      </c>
      <c r="O23">
        <v>0.33600000000000002</v>
      </c>
      <c r="P23" t="s">
        <v>53</v>
      </c>
      <c r="Q23" t="s">
        <v>27</v>
      </c>
      <c r="R23" t="s">
        <v>24</v>
      </c>
      <c r="S23" t="s">
        <v>54</v>
      </c>
      <c r="T23">
        <v>241405088.06400001</v>
      </c>
      <c r="U23">
        <v>477062435.93599999</v>
      </c>
    </row>
    <row r="24" spans="1:21" x14ac:dyDescent="0.2">
      <c r="A24" t="s">
        <v>55</v>
      </c>
      <c r="B24">
        <v>5</v>
      </c>
      <c r="C24">
        <v>5</v>
      </c>
      <c r="D24">
        <v>0</v>
      </c>
      <c r="E24">
        <v>0</v>
      </c>
      <c r="F24">
        <v>979000</v>
      </c>
      <c r="G24">
        <v>112100</v>
      </c>
      <c r="H24">
        <v>866900</v>
      </c>
      <c r="I24">
        <v>63</v>
      </c>
      <c r="K24">
        <v>15</v>
      </c>
      <c r="L24">
        <v>1015.766755104395</v>
      </c>
      <c r="M24">
        <v>1</v>
      </c>
      <c r="N24">
        <v>1</v>
      </c>
      <c r="O24">
        <v>0.14399999999999999</v>
      </c>
      <c r="P24" t="s">
        <v>53</v>
      </c>
      <c r="Q24" t="s">
        <v>23</v>
      </c>
      <c r="R24" t="s">
        <v>24</v>
      </c>
      <c r="S24" t="s">
        <v>56</v>
      </c>
      <c r="T24">
        <v>126801820.8</v>
      </c>
      <c r="U24">
        <v>753766379.19999993</v>
      </c>
    </row>
    <row r="25" spans="1:21" x14ac:dyDescent="0.2">
      <c r="A25" t="s">
        <v>57</v>
      </c>
      <c r="B25">
        <v>1</v>
      </c>
      <c r="C25">
        <v>1</v>
      </c>
      <c r="D25">
        <v>0</v>
      </c>
      <c r="E25">
        <v>0</v>
      </c>
      <c r="F25">
        <v>1359510</v>
      </c>
      <c r="G25">
        <v>540000</v>
      </c>
      <c r="H25">
        <v>819510</v>
      </c>
      <c r="K25">
        <v>335</v>
      </c>
      <c r="L25">
        <v>430</v>
      </c>
      <c r="M25">
        <v>1</v>
      </c>
      <c r="N25">
        <v>1</v>
      </c>
      <c r="O25">
        <v>0.22190442477876099</v>
      </c>
      <c r="P25" t="s">
        <v>53</v>
      </c>
      <c r="Q25" t="s">
        <v>23</v>
      </c>
      <c r="R25" t="s">
        <v>24</v>
      </c>
      <c r="S25" t="s">
        <v>56</v>
      </c>
      <c r="T25">
        <v>78196744.914690256</v>
      </c>
      <c r="U25">
        <v>274192555.08530968</v>
      </c>
    </row>
    <row r="26" spans="1:21" x14ac:dyDescent="0.2">
      <c r="A26" t="s">
        <v>58</v>
      </c>
      <c r="B26">
        <v>12</v>
      </c>
      <c r="C26">
        <v>10</v>
      </c>
      <c r="D26">
        <v>2</v>
      </c>
      <c r="E26">
        <v>0.16666666666666671</v>
      </c>
      <c r="F26">
        <v>1316502.31</v>
      </c>
      <c r="G26">
        <v>513890</v>
      </c>
      <c r="H26">
        <v>802612.31</v>
      </c>
      <c r="I26">
        <v>92</v>
      </c>
      <c r="J26">
        <v>17.5</v>
      </c>
      <c r="K26">
        <v>20.5</v>
      </c>
      <c r="L26">
        <v>819.47399913415234</v>
      </c>
      <c r="M26">
        <v>1</v>
      </c>
      <c r="N26">
        <v>1</v>
      </c>
      <c r="O26">
        <v>0.2</v>
      </c>
      <c r="P26" t="s">
        <v>53</v>
      </c>
      <c r="Q26" t="s">
        <v>59</v>
      </c>
      <c r="R26" t="s">
        <v>24</v>
      </c>
      <c r="S26" t="s">
        <v>60</v>
      </c>
      <c r="T26">
        <v>131543983.88600001</v>
      </c>
      <c r="U26">
        <v>526175935.54400009</v>
      </c>
    </row>
    <row r="27" spans="1:21" x14ac:dyDescent="0.2">
      <c r="A27" t="s">
        <v>61</v>
      </c>
      <c r="B27">
        <v>1</v>
      </c>
      <c r="C27">
        <v>1</v>
      </c>
      <c r="D27">
        <v>0</v>
      </c>
      <c r="E27">
        <v>0</v>
      </c>
      <c r="F27">
        <v>742932</v>
      </c>
      <c r="G27">
        <v>24764.400000000001</v>
      </c>
      <c r="H27">
        <v>718167.6</v>
      </c>
      <c r="K27">
        <v>717</v>
      </c>
      <c r="L27">
        <v>1026</v>
      </c>
      <c r="M27">
        <v>1</v>
      </c>
      <c r="N27">
        <v>1</v>
      </c>
      <c r="O27">
        <v>0.22190442477876099</v>
      </c>
      <c r="P27" t="s">
        <v>53</v>
      </c>
      <c r="Q27" t="s">
        <v>23</v>
      </c>
      <c r="R27" t="s">
        <v>24</v>
      </c>
      <c r="S27" t="s">
        <v>56</v>
      </c>
      <c r="T27">
        <v>163508046.94523469</v>
      </c>
      <c r="U27">
        <v>573331910.65476537</v>
      </c>
    </row>
    <row r="28" spans="1:21" x14ac:dyDescent="0.2">
      <c r="A28" t="s">
        <v>62</v>
      </c>
      <c r="B28">
        <v>1</v>
      </c>
      <c r="C28">
        <v>1</v>
      </c>
      <c r="D28">
        <v>0</v>
      </c>
      <c r="E28">
        <v>0</v>
      </c>
      <c r="F28">
        <v>666731.03</v>
      </c>
      <c r="G28">
        <v>0</v>
      </c>
      <c r="H28">
        <v>666731.03</v>
      </c>
      <c r="L28">
        <v>32</v>
      </c>
      <c r="M28">
        <v>0</v>
      </c>
      <c r="N28">
        <v>0</v>
      </c>
      <c r="O28">
        <v>0.41607079646017697</v>
      </c>
      <c r="P28" t="s">
        <v>53</v>
      </c>
      <c r="Q28" t="s">
        <v>23</v>
      </c>
      <c r="R28" t="s">
        <v>63</v>
      </c>
      <c r="S28" t="s">
        <v>64</v>
      </c>
      <c r="T28">
        <v>8877033.9416580535</v>
      </c>
      <c r="U28">
        <v>12458359.018341949</v>
      </c>
    </row>
    <row r="29" spans="1:21" x14ac:dyDescent="0.2">
      <c r="A29" t="s">
        <v>65</v>
      </c>
      <c r="B29">
        <v>2</v>
      </c>
      <c r="C29">
        <v>2</v>
      </c>
      <c r="D29">
        <v>0</v>
      </c>
      <c r="E29">
        <v>0</v>
      </c>
      <c r="F29">
        <v>882316.9</v>
      </c>
      <c r="G29">
        <v>229793</v>
      </c>
      <c r="H29">
        <v>652523.9</v>
      </c>
      <c r="K29">
        <v>390</v>
      </c>
      <c r="L29">
        <v>832.56638431174702</v>
      </c>
      <c r="M29">
        <v>1</v>
      </c>
      <c r="N29">
        <v>1</v>
      </c>
      <c r="O29">
        <v>0.14399999999999999</v>
      </c>
      <c r="P29" t="s">
        <v>53</v>
      </c>
      <c r="Q29" t="s">
        <v>23</v>
      </c>
      <c r="R29" t="s">
        <v>24</v>
      </c>
      <c r="S29" t="s">
        <v>56</v>
      </c>
      <c r="T29">
        <v>78230802.83039999</v>
      </c>
      <c r="U29">
        <v>465038661.26959997</v>
      </c>
    </row>
    <row r="30" spans="1:21" x14ac:dyDescent="0.2">
      <c r="A30" t="s">
        <v>66</v>
      </c>
      <c r="B30">
        <v>2</v>
      </c>
      <c r="C30">
        <v>1</v>
      </c>
      <c r="D30">
        <v>1</v>
      </c>
      <c r="E30">
        <v>0.5</v>
      </c>
      <c r="F30">
        <v>2215605.66</v>
      </c>
      <c r="G30">
        <v>1591850</v>
      </c>
      <c r="H30">
        <v>623755.65999999992</v>
      </c>
      <c r="I30">
        <v>212</v>
      </c>
      <c r="J30">
        <v>364</v>
      </c>
      <c r="K30">
        <v>538</v>
      </c>
      <c r="L30">
        <v>785</v>
      </c>
      <c r="M30">
        <v>1</v>
      </c>
      <c r="N30">
        <v>1</v>
      </c>
      <c r="O30">
        <v>0.31199999999999989</v>
      </c>
      <c r="P30" t="s">
        <v>53</v>
      </c>
      <c r="Q30" t="s">
        <v>27</v>
      </c>
      <c r="R30" t="s">
        <v>24</v>
      </c>
      <c r="S30" t="s">
        <v>54</v>
      </c>
      <c r="T30">
        <v>152770236.24720001</v>
      </c>
      <c r="U30">
        <v>336877956.85280001</v>
      </c>
    </row>
    <row r="31" spans="1:21" x14ac:dyDescent="0.2">
      <c r="A31" t="s">
        <v>67</v>
      </c>
      <c r="B31">
        <v>1</v>
      </c>
      <c r="C31">
        <v>1</v>
      </c>
      <c r="D31">
        <v>0</v>
      </c>
      <c r="E31">
        <v>0</v>
      </c>
      <c r="F31">
        <v>617999.99</v>
      </c>
      <c r="G31">
        <v>0</v>
      </c>
      <c r="H31">
        <v>617999.99</v>
      </c>
      <c r="L31">
        <v>67</v>
      </c>
      <c r="M31">
        <v>0</v>
      </c>
      <c r="N31">
        <v>0</v>
      </c>
      <c r="O31">
        <v>0.41607079646017697</v>
      </c>
      <c r="P31" t="s">
        <v>53</v>
      </c>
      <c r="Q31" t="s">
        <v>23</v>
      </c>
      <c r="R31" t="s">
        <v>63</v>
      </c>
      <c r="S31" t="s">
        <v>64</v>
      </c>
      <c r="T31">
        <v>17227827.11946265</v>
      </c>
      <c r="U31">
        <v>24178172.21053734</v>
      </c>
    </row>
    <row r="32" spans="1:21" x14ac:dyDescent="0.2">
      <c r="A32" t="s">
        <v>68</v>
      </c>
      <c r="B32">
        <v>2</v>
      </c>
      <c r="C32">
        <v>1</v>
      </c>
      <c r="D32">
        <v>1</v>
      </c>
      <c r="E32">
        <v>0.5</v>
      </c>
      <c r="F32">
        <v>940721.2</v>
      </c>
      <c r="G32">
        <v>325543.2</v>
      </c>
      <c r="H32">
        <v>615178</v>
      </c>
      <c r="J32">
        <v>36</v>
      </c>
      <c r="K32">
        <v>36</v>
      </c>
      <c r="L32">
        <v>2</v>
      </c>
      <c r="M32">
        <v>0</v>
      </c>
      <c r="N32">
        <v>0</v>
      </c>
      <c r="O32">
        <v>0.64999999999999991</v>
      </c>
      <c r="P32" t="s">
        <v>53</v>
      </c>
      <c r="Q32" t="s">
        <v>34</v>
      </c>
      <c r="R32" t="s">
        <v>69</v>
      </c>
      <c r="S32" t="s">
        <v>70</v>
      </c>
      <c r="T32">
        <v>799731.39999999991</v>
      </c>
      <c r="U32">
        <v>430624.60000000009</v>
      </c>
    </row>
    <row r="33" spans="1:21" x14ac:dyDescent="0.2">
      <c r="A33" t="s">
        <v>71</v>
      </c>
      <c r="B33">
        <v>1</v>
      </c>
      <c r="C33">
        <v>1</v>
      </c>
      <c r="D33">
        <v>0</v>
      </c>
      <c r="E33">
        <v>0</v>
      </c>
      <c r="F33">
        <v>574986.72</v>
      </c>
      <c r="G33">
        <v>0</v>
      </c>
      <c r="H33">
        <v>574986.72</v>
      </c>
      <c r="I33">
        <v>87</v>
      </c>
      <c r="L33">
        <v>984.00000000000011</v>
      </c>
      <c r="M33">
        <v>1</v>
      </c>
      <c r="N33">
        <v>1</v>
      </c>
      <c r="O33">
        <v>0.22190442477876099</v>
      </c>
      <c r="P33" t="s">
        <v>53</v>
      </c>
      <c r="Q33" t="s">
        <v>23</v>
      </c>
      <c r="R33" t="s">
        <v>24</v>
      </c>
      <c r="S33" t="s">
        <v>56</v>
      </c>
      <c r="T33">
        <v>125550623.7993141</v>
      </c>
      <c r="U33">
        <v>440236308.68068588</v>
      </c>
    </row>
    <row r="34" spans="1:21" x14ac:dyDescent="0.2">
      <c r="A34" t="s">
        <v>72</v>
      </c>
      <c r="B34">
        <v>5</v>
      </c>
      <c r="C34">
        <v>2</v>
      </c>
      <c r="D34">
        <v>3</v>
      </c>
      <c r="E34">
        <v>0.6</v>
      </c>
      <c r="F34">
        <v>786000</v>
      </c>
      <c r="G34">
        <v>288000</v>
      </c>
      <c r="H34">
        <v>498000</v>
      </c>
      <c r="I34">
        <v>147</v>
      </c>
      <c r="J34">
        <v>43</v>
      </c>
      <c r="K34">
        <v>50.5</v>
      </c>
      <c r="L34">
        <v>849.45783132530119</v>
      </c>
      <c r="M34">
        <v>1</v>
      </c>
      <c r="N34">
        <v>1</v>
      </c>
      <c r="O34">
        <v>0.34560000000000002</v>
      </c>
      <c r="P34" t="s">
        <v>53</v>
      </c>
      <c r="Q34" t="s">
        <v>34</v>
      </c>
      <c r="R34" t="s">
        <v>24</v>
      </c>
      <c r="S34" t="s">
        <v>73</v>
      </c>
      <c r="T34">
        <v>146199168</v>
      </c>
      <c r="U34">
        <v>276830832.00000012</v>
      </c>
    </row>
    <row r="35" spans="1:21" x14ac:dyDescent="0.2">
      <c r="A35" t="s">
        <v>74</v>
      </c>
      <c r="B35">
        <v>1</v>
      </c>
      <c r="C35">
        <v>1</v>
      </c>
      <c r="D35">
        <v>0</v>
      </c>
      <c r="E35">
        <v>0</v>
      </c>
      <c r="F35">
        <v>508229.8</v>
      </c>
      <c r="G35">
        <v>28234.98</v>
      </c>
      <c r="H35">
        <v>479994.82</v>
      </c>
      <c r="I35">
        <v>56</v>
      </c>
      <c r="K35">
        <v>691</v>
      </c>
      <c r="L35">
        <v>749</v>
      </c>
      <c r="M35">
        <v>1</v>
      </c>
      <c r="N35">
        <v>1</v>
      </c>
      <c r="O35">
        <v>0.22190442477876099</v>
      </c>
      <c r="P35" t="s">
        <v>53</v>
      </c>
      <c r="Q35" t="s">
        <v>23</v>
      </c>
      <c r="R35" t="s">
        <v>24</v>
      </c>
      <c r="S35" t="s">
        <v>56</v>
      </c>
      <c r="T35">
        <v>79778217.84723483</v>
      </c>
      <c r="U35">
        <v>279737902.33276522</v>
      </c>
    </row>
    <row r="36" spans="1:21" x14ac:dyDescent="0.2">
      <c r="A36" t="s">
        <v>75</v>
      </c>
      <c r="B36">
        <v>7</v>
      </c>
      <c r="C36">
        <v>5</v>
      </c>
      <c r="D36">
        <v>1</v>
      </c>
      <c r="E36">
        <v>0.14285714285714279</v>
      </c>
      <c r="F36">
        <v>948000</v>
      </c>
      <c r="G36">
        <v>667346.62</v>
      </c>
      <c r="H36">
        <v>400000</v>
      </c>
      <c r="I36">
        <v>99</v>
      </c>
      <c r="J36">
        <v>588</v>
      </c>
      <c r="K36">
        <v>404.5</v>
      </c>
      <c r="L36">
        <v>635</v>
      </c>
      <c r="M36">
        <v>1</v>
      </c>
      <c r="N36">
        <v>0.8</v>
      </c>
      <c r="O36">
        <v>0.192</v>
      </c>
      <c r="P36" t="s">
        <v>53</v>
      </c>
      <c r="Q36" t="s">
        <v>27</v>
      </c>
      <c r="R36" t="s">
        <v>24</v>
      </c>
      <c r="S36" t="s">
        <v>54</v>
      </c>
      <c r="T36">
        <v>48767999.999999993</v>
      </c>
      <c r="U36">
        <v>205232000</v>
      </c>
    </row>
    <row r="37" spans="1:21" x14ac:dyDescent="0.2">
      <c r="A37" t="s">
        <v>76</v>
      </c>
      <c r="B37">
        <v>10</v>
      </c>
      <c r="C37">
        <v>8</v>
      </c>
      <c r="D37">
        <v>2</v>
      </c>
      <c r="E37">
        <v>0.2</v>
      </c>
      <c r="F37">
        <v>575470</v>
      </c>
      <c r="G37">
        <v>183445</v>
      </c>
      <c r="H37">
        <v>392025</v>
      </c>
      <c r="I37">
        <v>304</v>
      </c>
      <c r="J37">
        <v>180</v>
      </c>
      <c r="K37">
        <v>90</v>
      </c>
      <c r="L37">
        <v>922.71774759262803</v>
      </c>
      <c r="M37">
        <v>1</v>
      </c>
      <c r="N37">
        <v>0.94713347363050826</v>
      </c>
      <c r="O37">
        <v>0.2112</v>
      </c>
      <c r="P37" t="s">
        <v>53</v>
      </c>
      <c r="Q37" t="s">
        <v>27</v>
      </c>
      <c r="R37" t="s">
        <v>24</v>
      </c>
      <c r="S37" t="s">
        <v>54</v>
      </c>
      <c r="T37">
        <v>76397043.359999985</v>
      </c>
      <c r="U37">
        <v>285331381.63999999</v>
      </c>
    </row>
    <row r="38" spans="1:21" x14ac:dyDescent="0.2">
      <c r="A38" t="s">
        <v>77</v>
      </c>
      <c r="B38">
        <v>2</v>
      </c>
      <c r="C38">
        <v>2</v>
      </c>
      <c r="D38">
        <v>0</v>
      </c>
      <c r="E38">
        <v>0</v>
      </c>
      <c r="F38">
        <v>486000</v>
      </c>
      <c r="G38">
        <v>121610.08</v>
      </c>
      <c r="H38">
        <v>364389.92</v>
      </c>
      <c r="K38">
        <v>529</v>
      </c>
      <c r="L38">
        <v>362.44964492980478</v>
      </c>
      <c r="M38">
        <v>0.67068243819697315</v>
      </c>
      <c r="N38">
        <v>0.67068243819697315</v>
      </c>
      <c r="O38">
        <v>0.14399999999999999</v>
      </c>
      <c r="P38" t="s">
        <v>53</v>
      </c>
      <c r="Q38" t="s">
        <v>23</v>
      </c>
      <c r="R38" t="s">
        <v>24</v>
      </c>
      <c r="S38" t="s">
        <v>56</v>
      </c>
      <c r="T38">
        <v>19018511.585280001</v>
      </c>
      <c r="U38">
        <v>113054485.53472</v>
      </c>
    </row>
    <row r="39" spans="1:21" x14ac:dyDescent="0.2">
      <c r="A39" t="s">
        <v>78</v>
      </c>
      <c r="B39">
        <v>1</v>
      </c>
      <c r="C39">
        <v>1</v>
      </c>
      <c r="D39">
        <v>0</v>
      </c>
      <c r="E39">
        <v>0</v>
      </c>
      <c r="F39">
        <v>363000</v>
      </c>
      <c r="G39">
        <v>0</v>
      </c>
      <c r="H39">
        <v>363000</v>
      </c>
      <c r="L39">
        <v>660</v>
      </c>
      <c r="M39">
        <v>1</v>
      </c>
      <c r="N39">
        <v>1</v>
      </c>
      <c r="O39">
        <v>0.22190442477876099</v>
      </c>
      <c r="P39" t="s">
        <v>53</v>
      </c>
      <c r="Q39" t="s">
        <v>23</v>
      </c>
      <c r="R39" t="s">
        <v>24</v>
      </c>
      <c r="S39" t="s">
        <v>56</v>
      </c>
      <c r="T39">
        <v>53163862.088495567</v>
      </c>
      <c r="U39">
        <v>186416137.91150439</v>
      </c>
    </row>
    <row r="40" spans="1:21" x14ac:dyDescent="0.2">
      <c r="A40" t="s">
        <v>79</v>
      </c>
      <c r="B40">
        <v>1</v>
      </c>
      <c r="C40">
        <v>1</v>
      </c>
      <c r="D40">
        <v>0</v>
      </c>
      <c r="E40">
        <v>0</v>
      </c>
      <c r="F40">
        <v>373465</v>
      </c>
      <c r="G40">
        <v>31922.5</v>
      </c>
      <c r="H40">
        <v>341542.5</v>
      </c>
      <c r="I40">
        <v>139</v>
      </c>
      <c r="K40">
        <v>431</v>
      </c>
      <c r="L40">
        <v>896</v>
      </c>
      <c r="M40">
        <v>1</v>
      </c>
      <c r="N40">
        <v>1</v>
      </c>
      <c r="O40">
        <v>0.22190442477876099</v>
      </c>
      <c r="P40" t="s">
        <v>53</v>
      </c>
      <c r="Q40" t="s">
        <v>23</v>
      </c>
      <c r="R40" t="s">
        <v>24</v>
      </c>
      <c r="S40" t="s">
        <v>56</v>
      </c>
      <c r="T40">
        <v>67907653.631999999</v>
      </c>
      <c r="U40">
        <v>238114426.368</v>
      </c>
    </row>
    <row r="41" spans="1:21" x14ac:dyDescent="0.2">
      <c r="A41" t="s">
        <v>80</v>
      </c>
      <c r="B41">
        <v>1</v>
      </c>
      <c r="C41">
        <v>1</v>
      </c>
      <c r="D41">
        <v>0</v>
      </c>
      <c r="E41">
        <v>0</v>
      </c>
      <c r="F41">
        <v>338000</v>
      </c>
      <c r="G41">
        <v>0</v>
      </c>
      <c r="H41">
        <v>338000</v>
      </c>
      <c r="I41">
        <v>327</v>
      </c>
      <c r="L41">
        <v>1049</v>
      </c>
      <c r="M41">
        <v>1</v>
      </c>
      <c r="N41">
        <v>1</v>
      </c>
      <c r="O41">
        <v>0.22190442477876099</v>
      </c>
      <c r="P41" t="s">
        <v>53</v>
      </c>
      <c r="Q41" t="s">
        <v>23</v>
      </c>
      <c r="R41" t="s">
        <v>24</v>
      </c>
      <c r="S41" t="s">
        <v>56</v>
      </c>
      <c r="T41">
        <v>78678876.658407077</v>
      </c>
      <c r="U41">
        <v>275883123.34159291</v>
      </c>
    </row>
    <row r="42" spans="1:21" x14ac:dyDescent="0.2">
      <c r="A42" t="s">
        <v>81</v>
      </c>
      <c r="B42">
        <v>2</v>
      </c>
      <c r="C42">
        <v>2</v>
      </c>
      <c r="D42">
        <v>0</v>
      </c>
      <c r="E42">
        <v>0</v>
      </c>
      <c r="F42">
        <v>309800</v>
      </c>
      <c r="G42">
        <v>0</v>
      </c>
      <c r="H42">
        <v>309800</v>
      </c>
      <c r="I42">
        <v>194</v>
      </c>
      <c r="L42">
        <v>747.0581020012911</v>
      </c>
      <c r="M42">
        <v>1</v>
      </c>
      <c r="N42">
        <v>1</v>
      </c>
      <c r="O42">
        <v>0.14399999999999999</v>
      </c>
      <c r="P42" t="s">
        <v>53</v>
      </c>
      <c r="Q42" t="s">
        <v>23</v>
      </c>
      <c r="R42" t="s">
        <v>24</v>
      </c>
      <c r="S42" t="s">
        <v>56</v>
      </c>
      <c r="T42">
        <v>33327158.399999991</v>
      </c>
      <c r="U42">
        <v>198111441.59999999</v>
      </c>
    </row>
    <row r="43" spans="1:21" x14ac:dyDescent="0.2">
      <c r="A43" t="s">
        <v>82</v>
      </c>
      <c r="B43">
        <v>1</v>
      </c>
      <c r="C43">
        <v>1</v>
      </c>
      <c r="D43">
        <v>0</v>
      </c>
      <c r="E43">
        <v>0</v>
      </c>
      <c r="F43">
        <v>329000</v>
      </c>
      <c r="G43">
        <v>29000</v>
      </c>
      <c r="H43">
        <v>300000</v>
      </c>
      <c r="K43">
        <v>401</v>
      </c>
      <c r="L43">
        <v>848</v>
      </c>
      <c r="M43">
        <v>1</v>
      </c>
      <c r="N43">
        <v>1</v>
      </c>
      <c r="O43">
        <v>0.22190442477876099</v>
      </c>
      <c r="P43" t="s">
        <v>53</v>
      </c>
      <c r="Q43" t="s">
        <v>23</v>
      </c>
      <c r="R43" t="s">
        <v>24</v>
      </c>
      <c r="S43" t="s">
        <v>56</v>
      </c>
      <c r="T43">
        <v>56452485.663716808</v>
      </c>
      <c r="U43">
        <v>197947514.33628321</v>
      </c>
    </row>
    <row r="44" spans="1:21" x14ac:dyDescent="0.2">
      <c r="A44" t="s">
        <v>83</v>
      </c>
      <c r="B44">
        <v>1</v>
      </c>
      <c r="C44">
        <v>1</v>
      </c>
      <c r="D44">
        <v>0</v>
      </c>
      <c r="E44">
        <v>0</v>
      </c>
      <c r="F44">
        <v>300000</v>
      </c>
      <c r="G44">
        <v>0</v>
      </c>
      <c r="H44">
        <v>300000</v>
      </c>
      <c r="L44">
        <v>462</v>
      </c>
      <c r="M44">
        <v>1</v>
      </c>
      <c r="N44">
        <v>1</v>
      </c>
      <c r="O44">
        <v>0.22190442477876099</v>
      </c>
      <c r="P44" t="s">
        <v>53</v>
      </c>
      <c r="Q44" t="s">
        <v>23</v>
      </c>
      <c r="R44" t="s">
        <v>24</v>
      </c>
      <c r="S44" t="s">
        <v>56</v>
      </c>
      <c r="T44">
        <v>30755953.274336278</v>
      </c>
      <c r="U44">
        <v>107844046.72566371</v>
      </c>
    </row>
    <row r="45" spans="1:21" x14ac:dyDescent="0.2">
      <c r="A45" t="s">
        <v>84</v>
      </c>
      <c r="B45">
        <v>5</v>
      </c>
      <c r="C45">
        <v>3</v>
      </c>
      <c r="D45">
        <v>2</v>
      </c>
      <c r="E45">
        <v>0.4</v>
      </c>
      <c r="F45">
        <v>449000</v>
      </c>
      <c r="G45">
        <v>150000</v>
      </c>
      <c r="H45">
        <v>299000</v>
      </c>
      <c r="I45">
        <v>31</v>
      </c>
      <c r="J45">
        <v>35</v>
      </c>
      <c r="K45">
        <v>35</v>
      </c>
      <c r="L45">
        <v>873.11371237458195</v>
      </c>
      <c r="M45">
        <v>1</v>
      </c>
      <c r="N45">
        <v>1</v>
      </c>
      <c r="O45">
        <v>0.27839999999999998</v>
      </c>
      <c r="P45" t="s">
        <v>85</v>
      </c>
      <c r="Q45" t="s">
        <v>34</v>
      </c>
      <c r="R45" t="s">
        <v>24</v>
      </c>
      <c r="S45" t="s">
        <v>86</v>
      </c>
      <c r="T45">
        <v>72679382.399999991</v>
      </c>
      <c r="U45">
        <v>188381617.59999999</v>
      </c>
    </row>
    <row r="46" spans="1:21" x14ac:dyDescent="0.2">
      <c r="A46" t="s">
        <v>87</v>
      </c>
      <c r="B46">
        <v>1</v>
      </c>
      <c r="C46">
        <v>1</v>
      </c>
      <c r="D46">
        <v>0</v>
      </c>
      <c r="E46">
        <v>0</v>
      </c>
      <c r="F46">
        <v>303800</v>
      </c>
      <c r="G46">
        <v>15190</v>
      </c>
      <c r="H46">
        <v>288610</v>
      </c>
      <c r="K46">
        <v>413</v>
      </c>
      <c r="L46">
        <v>1030</v>
      </c>
      <c r="M46">
        <v>1</v>
      </c>
      <c r="N46">
        <v>1</v>
      </c>
      <c r="O46">
        <v>0.22190442477876099</v>
      </c>
      <c r="P46" t="s">
        <v>85</v>
      </c>
      <c r="Q46" t="s">
        <v>23</v>
      </c>
      <c r="R46" t="s">
        <v>24</v>
      </c>
      <c r="S46" t="s">
        <v>88</v>
      </c>
      <c r="T46">
        <v>65965151.116460167</v>
      </c>
      <c r="U46">
        <v>231303148.8835398</v>
      </c>
    </row>
    <row r="47" spans="1:21" x14ac:dyDescent="0.2">
      <c r="A47" t="s">
        <v>89</v>
      </c>
      <c r="B47">
        <v>1</v>
      </c>
      <c r="C47">
        <v>1</v>
      </c>
      <c r="D47">
        <v>0</v>
      </c>
      <c r="E47">
        <v>0</v>
      </c>
      <c r="F47">
        <v>545000</v>
      </c>
      <c r="G47">
        <v>281500</v>
      </c>
      <c r="H47">
        <v>263500</v>
      </c>
      <c r="K47">
        <v>586</v>
      </c>
      <c r="L47">
        <v>714</v>
      </c>
      <c r="M47">
        <v>1</v>
      </c>
      <c r="N47">
        <v>1</v>
      </c>
      <c r="O47">
        <v>0.22190442477876099</v>
      </c>
      <c r="P47" t="s">
        <v>85</v>
      </c>
      <c r="Q47" t="s">
        <v>23</v>
      </c>
      <c r="R47" t="s">
        <v>24</v>
      </c>
      <c r="S47" t="s">
        <v>88</v>
      </c>
      <c r="T47">
        <v>41748876.573451333</v>
      </c>
      <c r="U47">
        <v>146390123.42654869</v>
      </c>
    </row>
    <row r="48" spans="1:21" x14ac:dyDescent="0.2">
      <c r="A48" t="s">
        <v>90</v>
      </c>
      <c r="B48">
        <v>6</v>
      </c>
      <c r="C48">
        <v>4</v>
      </c>
      <c r="D48">
        <v>2</v>
      </c>
      <c r="E48">
        <v>0.33333333333333331</v>
      </c>
      <c r="F48">
        <v>684000</v>
      </c>
      <c r="G48">
        <v>422062.51</v>
      </c>
      <c r="H48">
        <v>261937.49</v>
      </c>
      <c r="I48">
        <v>61</v>
      </c>
      <c r="J48">
        <v>583.5</v>
      </c>
      <c r="K48">
        <v>583.5</v>
      </c>
      <c r="L48">
        <v>781.48256387430456</v>
      </c>
      <c r="M48">
        <v>1</v>
      </c>
      <c r="N48">
        <v>1</v>
      </c>
      <c r="O48">
        <v>0.25600000000000001</v>
      </c>
      <c r="P48" t="s">
        <v>85</v>
      </c>
      <c r="Q48" t="s">
        <v>27</v>
      </c>
      <c r="R48" t="s">
        <v>24</v>
      </c>
      <c r="S48" t="s">
        <v>91</v>
      </c>
      <c r="T48">
        <v>52403092.802560002</v>
      </c>
      <c r="U48">
        <v>152296488.45743999</v>
      </c>
    </row>
    <row r="49" spans="1:21" x14ac:dyDescent="0.2">
      <c r="A49" t="s">
        <v>92</v>
      </c>
      <c r="B49">
        <v>1</v>
      </c>
      <c r="C49">
        <v>1</v>
      </c>
      <c r="D49">
        <v>0</v>
      </c>
      <c r="E49">
        <v>0</v>
      </c>
      <c r="F49">
        <v>266000.02</v>
      </c>
      <c r="G49">
        <v>13300</v>
      </c>
      <c r="H49">
        <v>252700.02</v>
      </c>
      <c r="I49">
        <v>34</v>
      </c>
      <c r="K49">
        <v>416</v>
      </c>
      <c r="L49">
        <v>787</v>
      </c>
      <c r="M49">
        <v>1</v>
      </c>
      <c r="N49">
        <v>1</v>
      </c>
      <c r="O49">
        <v>0.22190442477876099</v>
      </c>
      <c r="P49" t="s">
        <v>85</v>
      </c>
      <c r="Q49" t="s">
        <v>23</v>
      </c>
      <c r="R49" t="s">
        <v>24</v>
      </c>
      <c r="S49" t="s">
        <v>88</v>
      </c>
      <c r="T49">
        <v>44131223.780209273</v>
      </c>
      <c r="U49">
        <v>154743691.95979071</v>
      </c>
    </row>
    <row r="50" spans="1:21" x14ac:dyDescent="0.2">
      <c r="A50" t="s">
        <v>93</v>
      </c>
      <c r="B50">
        <v>1</v>
      </c>
      <c r="C50">
        <v>1</v>
      </c>
      <c r="D50">
        <v>0</v>
      </c>
      <c r="E50">
        <v>0</v>
      </c>
      <c r="F50">
        <v>256000</v>
      </c>
      <c r="G50">
        <v>10378.19</v>
      </c>
      <c r="H50">
        <v>245621.81</v>
      </c>
      <c r="I50">
        <v>216</v>
      </c>
      <c r="K50">
        <v>465</v>
      </c>
      <c r="L50">
        <v>788</v>
      </c>
      <c r="M50">
        <v>1</v>
      </c>
      <c r="N50">
        <v>1</v>
      </c>
      <c r="O50">
        <v>0.22190442477876099</v>
      </c>
      <c r="P50" t="s">
        <v>85</v>
      </c>
      <c r="Q50" t="s">
        <v>23</v>
      </c>
      <c r="R50" t="s">
        <v>24</v>
      </c>
      <c r="S50" t="s">
        <v>88</v>
      </c>
      <c r="T50">
        <v>42949598.37140049</v>
      </c>
      <c r="U50">
        <v>150600387.9085995</v>
      </c>
    </row>
    <row r="51" spans="1:21" x14ac:dyDescent="0.2">
      <c r="A51" t="s">
        <v>94</v>
      </c>
      <c r="B51">
        <v>4</v>
      </c>
      <c r="C51">
        <v>3</v>
      </c>
      <c r="D51">
        <v>0</v>
      </c>
      <c r="E51">
        <v>0</v>
      </c>
      <c r="F51">
        <v>268300</v>
      </c>
      <c r="G51">
        <v>108330</v>
      </c>
      <c r="H51">
        <v>244970</v>
      </c>
      <c r="I51">
        <v>83</v>
      </c>
      <c r="K51">
        <v>639</v>
      </c>
      <c r="L51">
        <v>752.99681593664525</v>
      </c>
      <c r="M51">
        <v>1</v>
      </c>
      <c r="N51">
        <v>1</v>
      </c>
      <c r="O51">
        <v>0.14399999999999999</v>
      </c>
      <c r="P51" t="s">
        <v>85</v>
      </c>
      <c r="Q51" t="s">
        <v>23</v>
      </c>
      <c r="R51" t="s">
        <v>24</v>
      </c>
      <c r="S51" t="s">
        <v>88</v>
      </c>
      <c r="T51">
        <v>26562474.719999999</v>
      </c>
      <c r="U51">
        <v>157899155.28</v>
      </c>
    </row>
    <row r="52" spans="1:21" x14ac:dyDescent="0.2">
      <c r="A52" t="s">
        <v>95</v>
      </c>
      <c r="B52">
        <v>5</v>
      </c>
      <c r="C52">
        <v>2</v>
      </c>
      <c r="D52">
        <v>3</v>
      </c>
      <c r="E52">
        <v>0.6</v>
      </c>
      <c r="F52">
        <v>695000.03</v>
      </c>
      <c r="G52">
        <v>455000</v>
      </c>
      <c r="H52">
        <v>240000.03</v>
      </c>
      <c r="I52">
        <v>101</v>
      </c>
      <c r="J52">
        <v>154</v>
      </c>
      <c r="K52">
        <v>395</v>
      </c>
      <c r="L52">
        <v>967.33332616666758</v>
      </c>
      <c r="M52">
        <v>1</v>
      </c>
      <c r="N52">
        <v>1</v>
      </c>
      <c r="O52">
        <v>0.34560000000000002</v>
      </c>
      <c r="P52" t="s">
        <v>85</v>
      </c>
      <c r="Q52" t="s">
        <v>27</v>
      </c>
      <c r="R52" t="s">
        <v>24</v>
      </c>
      <c r="S52" t="s">
        <v>91</v>
      </c>
      <c r="T52">
        <v>80234505.434879988</v>
      </c>
      <c r="U52">
        <v>151925521.86511999</v>
      </c>
    </row>
    <row r="53" spans="1:21" x14ac:dyDescent="0.2">
      <c r="A53" t="s">
        <v>96</v>
      </c>
      <c r="B53">
        <v>2</v>
      </c>
      <c r="C53">
        <v>2</v>
      </c>
      <c r="D53">
        <v>0</v>
      </c>
      <c r="E53">
        <v>0</v>
      </c>
      <c r="F53">
        <v>233004.02</v>
      </c>
      <c r="G53">
        <v>0</v>
      </c>
      <c r="H53">
        <v>233004.02</v>
      </c>
      <c r="I53">
        <v>1161</v>
      </c>
      <c r="L53">
        <v>681.99998283291427</v>
      </c>
      <c r="M53">
        <v>1</v>
      </c>
      <c r="N53">
        <v>1</v>
      </c>
      <c r="O53">
        <v>0.14399999999999999</v>
      </c>
      <c r="P53" t="s">
        <v>85</v>
      </c>
      <c r="Q53" t="s">
        <v>23</v>
      </c>
      <c r="R53" t="s">
        <v>24</v>
      </c>
      <c r="S53" t="s">
        <v>88</v>
      </c>
      <c r="T53">
        <v>22882858.22016</v>
      </c>
      <c r="U53">
        <v>136025879.41984001</v>
      </c>
    </row>
    <row r="54" spans="1:21" x14ac:dyDescent="0.2">
      <c r="A54" t="s">
        <v>97</v>
      </c>
      <c r="B54">
        <v>1</v>
      </c>
      <c r="C54">
        <v>1</v>
      </c>
      <c r="D54">
        <v>0</v>
      </c>
      <c r="E54">
        <v>0</v>
      </c>
      <c r="F54">
        <v>258000</v>
      </c>
      <c r="G54">
        <v>25800</v>
      </c>
      <c r="H54">
        <v>232200</v>
      </c>
      <c r="K54">
        <v>918</v>
      </c>
      <c r="L54">
        <v>1033</v>
      </c>
      <c r="M54">
        <v>1</v>
      </c>
      <c r="N54">
        <v>1</v>
      </c>
      <c r="O54">
        <v>0.22190442477876099</v>
      </c>
      <c r="P54" t="s">
        <v>85</v>
      </c>
      <c r="Q54" t="s">
        <v>23</v>
      </c>
      <c r="R54" t="s">
        <v>24</v>
      </c>
      <c r="S54" t="s">
        <v>88</v>
      </c>
      <c r="T54">
        <v>53226572.278938048</v>
      </c>
      <c r="U54">
        <v>186636027.72106189</v>
      </c>
    </row>
    <row r="55" spans="1:21" x14ac:dyDescent="0.2">
      <c r="A55" t="s">
        <v>98</v>
      </c>
      <c r="B55">
        <v>2</v>
      </c>
      <c r="C55">
        <v>2</v>
      </c>
      <c r="D55">
        <v>0</v>
      </c>
      <c r="E55">
        <v>0</v>
      </c>
      <c r="F55">
        <v>255000</v>
      </c>
      <c r="G55">
        <v>27764</v>
      </c>
      <c r="H55">
        <v>227236</v>
      </c>
      <c r="I55">
        <v>65</v>
      </c>
      <c r="K55">
        <v>337</v>
      </c>
      <c r="L55">
        <v>754.19485468851769</v>
      </c>
      <c r="M55">
        <v>1</v>
      </c>
      <c r="N55">
        <v>1</v>
      </c>
      <c r="O55">
        <v>0.14399999999999999</v>
      </c>
      <c r="P55" t="s">
        <v>85</v>
      </c>
      <c r="Q55" t="s">
        <v>23</v>
      </c>
      <c r="R55" t="s">
        <v>24</v>
      </c>
      <c r="S55" t="s">
        <v>88</v>
      </c>
      <c r="T55">
        <v>24678751.967999998</v>
      </c>
      <c r="U55">
        <v>146701470.03200001</v>
      </c>
    </row>
    <row r="56" spans="1:21" x14ac:dyDescent="0.2">
      <c r="A56" t="s">
        <v>99</v>
      </c>
      <c r="B56">
        <v>1</v>
      </c>
      <c r="C56">
        <v>1</v>
      </c>
      <c r="D56">
        <v>0</v>
      </c>
      <c r="E56">
        <v>0</v>
      </c>
      <c r="F56">
        <v>275599.99</v>
      </c>
      <c r="G56">
        <v>53000</v>
      </c>
      <c r="H56">
        <v>222599.99</v>
      </c>
      <c r="K56">
        <v>462</v>
      </c>
      <c r="L56">
        <v>981</v>
      </c>
      <c r="M56">
        <v>1</v>
      </c>
      <c r="N56">
        <v>1</v>
      </c>
      <c r="O56">
        <v>0.22190442477876099</v>
      </c>
      <c r="P56" t="s">
        <v>85</v>
      </c>
      <c r="Q56" t="s">
        <v>23</v>
      </c>
      <c r="R56" t="s">
        <v>24</v>
      </c>
      <c r="S56" t="s">
        <v>88</v>
      </c>
      <c r="T56">
        <v>48457400.204710513</v>
      </c>
      <c r="U56">
        <v>169913189.98528951</v>
      </c>
    </row>
    <row r="57" spans="1:21" x14ac:dyDescent="0.2">
      <c r="A57" t="s">
        <v>100</v>
      </c>
      <c r="B57">
        <v>1</v>
      </c>
      <c r="C57">
        <v>1</v>
      </c>
      <c r="D57">
        <v>0</v>
      </c>
      <c r="E57">
        <v>0</v>
      </c>
      <c r="F57">
        <v>218000</v>
      </c>
      <c r="G57">
        <v>0</v>
      </c>
      <c r="H57">
        <v>218000</v>
      </c>
      <c r="L57">
        <v>848</v>
      </c>
      <c r="M57">
        <v>1</v>
      </c>
      <c r="N57">
        <v>1</v>
      </c>
      <c r="O57">
        <v>0.22190442477876099</v>
      </c>
      <c r="P57" t="s">
        <v>85</v>
      </c>
      <c r="Q57" t="s">
        <v>23</v>
      </c>
      <c r="R57" t="s">
        <v>24</v>
      </c>
      <c r="S57" t="s">
        <v>88</v>
      </c>
      <c r="T57">
        <v>41022139.582300879</v>
      </c>
      <c r="U57">
        <v>143841860.4176991</v>
      </c>
    </row>
    <row r="58" spans="1:21" x14ac:dyDescent="0.2">
      <c r="A58" t="s">
        <v>101</v>
      </c>
      <c r="B58">
        <v>1</v>
      </c>
      <c r="C58">
        <v>1</v>
      </c>
      <c r="D58">
        <v>0</v>
      </c>
      <c r="E58">
        <v>0</v>
      </c>
      <c r="F58">
        <v>214900</v>
      </c>
      <c r="G58">
        <v>0</v>
      </c>
      <c r="H58">
        <v>214900</v>
      </c>
      <c r="I58">
        <v>276</v>
      </c>
      <c r="L58">
        <v>1053</v>
      </c>
      <c r="M58">
        <v>1</v>
      </c>
      <c r="N58">
        <v>1</v>
      </c>
      <c r="O58">
        <v>0.22190442477876099</v>
      </c>
      <c r="P58" t="s">
        <v>85</v>
      </c>
      <c r="Q58" t="s">
        <v>23</v>
      </c>
      <c r="R58" t="s">
        <v>24</v>
      </c>
      <c r="S58" t="s">
        <v>88</v>
      </c>
      <c r="T58">
        <v>50214685.711858407</v>
      </c>
      <c r="U58">
        <v>176075014.28814161</v>
      </c>
    </row>
    <row r="59" spans="1:21" x14ac:dyDescent="0.2">
      <c r="A59" t="s">
        <v>102</v>
      </c>
      <c r="B59">
        <v>7</v>
      </c>
      <c r="C59">
        <v>6</v>
      </c>
      <c r="D59">
        <v>1</v>
      </c>
      <c r="E59">
        <v>0.14285714285714279</v>
      </c>
      <c r="F59">
        <v>381061.85</v>
      </c>
      <c r="G59">
        <v>167814</v>
      </c>
      <c r="H59">
        <v>213247.85</v>
      </c>
      <c r="I59">
        <v>60.5</v>
      </c>
      <c r="J59">
        <v>38</v>
      </c>
      <c r="K59">
        <v>38</v>
      </c>
      <c r="L59">
        <v>432.02096330631241</v>
      </c>
      <c r="M59">
        <v>1</v>
      </c>
      <c r="N59">
        <v>0.40213605905053679</v>
      </c>
      <c r="O59">
        <v>0.192</v>
      </c>
      <c r="P59" t="s">
        <v>85</v>
      </c>
      <c r="Q59" t="s">
        <v>34</v>
      </c>
      <c r="R59" t="s">
        <v>24</v>
      </c>
      <c r="S59" t="s">
        <v>86</v>
      </c>
      <c r="T59">
        <v>17688487.98336</v>
      </c>
      <c r="U59">
        <v>74439053.596640006</v>
      </c>
    </row>
    <row r="60" spans="1:21" x14ac:dyDescent="0.2">
      <c r="A60" t="s">
        <v>103</v>
      </c>
      <c r="B60">
        <v>5</v>
      </c>
      <c r="C60">
        <v>3</v>
      </c>
      <c r="D60">
        <v>2</v>
      </c>
      <c r="E60">
        <v>0.4</v>
      </c>
      <c r="F60">
        <v>397140.02</v>
      </c>
      <c r="G60">
        <v>194761.49</v>
      </c>
      <c r="H60">
        <v>202378.53</v>
      </c>
      <c r="I60">
        <v>52</v>
      </c>
      <c r="J60">
        <v>189.5</v>
      </c>
      <c r="K60">
        <v>330</v>
      </c>
      <c r="L60">
        <v>1004.774711082248</v>
      </c>
      <c r="M60">
        <v>1</v>
      </c>
      <c r="N60">
        <v>1</v>
      </c>
      <c r="O60">
        <v>0.27839999999999998</v>
      </c>
      <c r="P60" t="s">
        <v>85</v>
      </c>
      <c r="Q60" t="s">
        <v>27</v>
      </c>
      <c r="R60" t="s">
        <v>24</v>
      </c>
      <c r="S60" t="s">
        <v>91</v>
      </c>
      <c r="T60">
        <v>56611200.396384001</v>
      </c>
      <c r="U60">
        <v>146733628.61361599</v>
      </c>
    </row>
    <row r="61" spans="1:21" x14ac:dyDescent="0.2">
      <c r="A61" t="s">
        <v>104</v>
      </c>
      <c r="B61">
        <v>1</v>
      </c>
      <c r="C61">
        <v>1</v>
      </c>
      <c r="D61">
        <v>0</v>
      </c>
      <c r="E61">
        <v>0</v>
      </c>
      <c r="F61">
        <v>396000</v>
      </c>
      <c r="G61">
        <v>198000</v>
      </c>
      <c r="H61">
        <v>198000</v>
      </c>
      <c r="I61">
        <v>62</v>
      </c>
      <c r="K61">
        <v>669</v>
      </c>
      <c r="L61">
        <v>750</v>
      </c>
      <c r="M61">
        <v>1</v>
      </c>
      <c r="N61">
        <v>1</v>
      </c>
      <c r="O61">
        <v>0.22190442477876099</v>
      </c>
      <c r="P61" t="s">
        <v>85</v>
      </c>
      <c r="Q61" t="s">
        <v>23</v>
      </c>
      <c r="R61" t="s">
        <v>24</v>
      </c>
      <c r="S61" t="s">
        <v>88</v>
      </c>
      <c r="T61">
        <v>32952807.07964601</v>
      </c>
      <c r="U61">
        <v>115547192.92035399</v>
      </c>
    </row>
    <row r="62" spans="1:21" x14ac:dyDescent="0.2">
      <c r="A62" t="s">
        <v>105</v>
      </c>
      <c r="B62">
        <v>1</v>
      </c>
      <c r="C62">
        <v>1</v>
      </c>
      <c r="D62">
        <v>0</v>
      </c>
      <c r="E62">
        <v>0</v>
      </c>
      <c r="F62">
        <v>203280</v>
      </c>
      <c r="G62">
        <v>10000</v>
      </c>
      <c r="H62">
        <v>193280</v>
      </c>
      <c r="I62">
        <v>75</v>
      </c>
      <c r="K62">
        <v>895</v>
      </c>
      <c r="L62">
        <v>984</v>
      </c>
      <c r="M62">
        <v>1</v>
      </c>
      <c r="N62">
        <v>1</v>
      </c>
      <c r="O62">
        <v>0.22190442477876099</v>
      </c>
      <c r="P62" t="s">
        <v>85</v>
      </c>
      <c r="Q62" t="s">
        <v>23</v>
      </c>
      <c r="R62" t="s">
        <v>24</v>
      </c>
      <c r="S62" t="s">
        <v>88</v>
      </c>
      <c r="T62">
        <v>42203452.225699112</v>
      </c>
      <c r="U62">
        <v>147984067.7743009</v>
      </c>
    </row>
    <row r="63" spans="1:21" x14ac:dyDescent="0.2">
      <c r="A63" t="s">
        <v>106</v>
      </c>
      <c r="B63">
        <v>1</v>
      </c>
      <c r="C63">
        <v>1</v>
      </c>
      <c r="D63">
        <v>0</v>
      </c>
      <c r="E63">
        <v>0</v>
      </c>
      <c r="F63">
        <v>190000</v>
      </c>
      <c r="G63">
        <v>0</v>
      </c>
      <c r="H63">
        <v>190000</v>
      </c>
      <c r="I63">
        <v>274</v>
      </c>
      <c r="L63">
        <v>990</v>
      </c>
      <c r="M63">
        <v>1</v>
      </c>
      <c r="N63">
        <v>1</v>
      </c>
      <c r="O63">
        <v>0.22190442477876099</v>
      </c>
      <c r="P63" t="s">
        <v>85</v>
      </c>
      <c r="Q63" t="s">
        <v>23</v>
      </c>
      <c r="R63" t="s">
        <v>24</v>
      </c>
      <c r="S63" t="s">
        <v>88</v>
      </c>
      <c r="T63">
        <v>41740222.300884947</v>
      </c>
      <c r="U63">
        <v>146359777.69911501</v>
      </c>
    </row>
    <row r="64" spans="1:21" x14ac:dyDescent="0.2">
      <c r="A64" t="s">
        <v>107</v>
      </c>
      <c r="B64">
        <v>4</v>
      </c>
      <c r="C64">
        <v>3</v>
      </c>
      <c r="D64">
        <v>1</v>
      </c>
      <c r="E64">
        <v>0.25</v>
      </c>
      <c r="F64">
        <v>266424</v>
      </c>
      <c r="G64">
        <v>77424</v>
      </c>
      <c r="H64">
        <v>189000</v>
      </c>
      <c r="I64">
        <v>59</v>
      </c>
      <c r="J64">
        <v>372</v>
      </c>
      <c r="K64">
        <v>427.5</v>
      </c>
      <c r="L64">
        <v>1012.428571428571</v>
      </c>
      <c r="M64">
        <v>1</v>
      </c>
      <c r="N64">
        <v>1</v>
      </c>
      <c r="O64">
        <v>0.22800000000000001</v>
      </c>
      <c r="P64" t="s">
        <v>85</v>
      </c>
      <c r="Q64" t="s">
        <v>27</v>
      </c>
      <c r="R64" t="s">
        <v>24</v>
      </c>
      <c r="S64" t="s">
        <v>91</v>
      </c>
      <c r="T64">
        <v>43627571.999999993</v>
      </c>
      <c r="U64">
        <v>147721428</v>
      </c>
    </row>
    <row r="65" spans="1:21" x14ac:dyDescent="0.2">
      <c r="A65" t="s">
        <v>108</v>
      </c>
      <c r="B65">
        <v>1</v>
      </c>
      <c r="C65">
        <v>1</v>
      </c>
      <c r="D65">
        <v>0</v>
      </c>
      <c r="E65">
        <v>0</v>
      </c>
      <c r="F65">
        <v>235000</v>
      </c>
      <c r="G65">
        <v>47000</v>
      </c>
      <c r="H65">
        <v>188000</v>
      </c>
      <c r="L65">
        <v>365</v>
      </c>
      <c r="M65">
        <v>1</v>
      </c>
      <c r="N65">
        <v>1</v>
      </c>
      <c r="O65">
        <v>0.22190442477876099</v>
      </c>
      <c r="P65" t="s">
        <v>85</v>
      </c>
      <c r="Q65" t="s">
        <v>23</v>
      </c>
      <c r="R65" t="s">
        <v>24</v>
      </c>
      <c r="S65" t="s">
        <v>88</v>
      </c>
      <c r="T65">
        <v>15227081.62831858</v>
      </c>
      <c r="U65">
        <v>53392918.371681407</v>
      </c>
    </row>
    <row r="66" spans="1:21" x14ac:dyDescent="0.2">
      <c r="A66" t="s">
        <v>109</v>
      </c>
      <c r="B66">
        <v>1</v>
      </c>
      <c r="C66">
        <v>1</v>
      </c>
      <c r="D66">
        <v>0</v>
      </c>
      <c r="E66">
        <v>0</v>
      </c>
      <c r="F66">
        <v>183250</v>
      </c>
      <c r="G66">
        <v>0</v>
      </c>
      <c r="H66">
        <v>183250</v>
      </c>
      <c r="L66">
        <v>912</v>
      </c>
      <c r="M66">
        <v>1</v>
      </c>
      <c r="N66">
        <v>1</v>
      </c>
      <c r="O66">
        <v>0.22190442477876099</v>
      </c>
      <c r="P66" t="s">
        <v>85</v>
      </c>
      <c r="Q66" t="s">
        <v>23</v>
      </c>
      <c r="R66" t="s">
        <v>24</v>
      </c>
      <c r="S66" t="s">
        <v>88</v>
      </c>
      <c r="T66">
        <v>37085555.08672566</v>
      </c>
      <c r="U66">
        <v>130038444.9132743</v>
      </c>
    </row>
    <row r="67" spans="1:21" x14ac:dyDescent="0.2">
      <c r="A67" t="s">
        <v>110</v>
      </c>
      <c r="B67">
        <v>1</v>
      </c>
      <c r="C67">
        <v>1</v>
      </c>
      <c r="D67">
        <v>0</v>
      </c>
      <c r="E67">
        <v>0</v>
      </c>
      <c r="F67">
        <v>190000</v>
      </c>
      <c r="G67">
        <v>9500</v>
      </c>
      <c r="H67">
        <v>180500</v>
      </c>
      <c r="I67">
        <v>234</v>
      </c>
      <c r="K67">
        <v>827</v>
      </c>
      <c r="L67">
        <v>935</v>
      </c>
      <c r="M67">
        <v>1</v>
      </c>
      <c r="N67">
        <v>1</v>
      </c>
      <c r="O67">
        <v>0.22190442477876099</v>
      </c>
      <c r="P67" t="s">
        <v>85</v>
      </c>
      <c r="Q67" t="s">
        <v>23</v>
      </c>
      <c r="R67" t="s">
        <v>24</v>
      </c>
      <c r="S67" t="s">
        <v>88</v>
      </c>
      <c r="T67">
        <v>37450255.008849546</v>
      </c>
      <c r="U67">
        <v>131317244.99115039</v>
      </c>
    </row>
    <row r="68" spans="1:21" x14ac:dyDescent="0.2">
      <c r="A68" t="s">
        <v>111</v>
      </c>
      <c r="B68">
        <v>1</v>
      </c>
      <c r="C68">
        <v>1</v>
      </c>
      <c r="D68">
        <v>0</v>
      </c>
      <c r="E68">
        <v>0</v>
      </c>
      <c r="F68">
        <v>195000</v>
      </c>
      <c r="G68">
        <v>19500</v>
      </c>
      <c r="H68">
        <v>175500</v>
      </c>
      <c r="I68">
        <v>111</v>
      </c>
      <c r="K68">
        <v>511</v>
      </c>
      <c r="L68">
        <v>949</v>
      </c>
      <c r="M68">
        <v>1</v>
      </c>
      <c r="N68">
        <v>1</v>
      </c>
      <c r="O68">
        <v>0.22190442477876099</v>
      </c>
      <c r="P68" t="s">
        <v>85</v>
      </c>
      <c r="Q68" t="s">
        <v>23</v>
      </c>
      <c r="R68" t="s">
        <v>24</v>
      </c>
      <c r="S68" t="s">
        <v>88</v>
      </c>
      <c r="T68">
        <v>36958070.994690262</v>
      </c>
      <c r="U68">
        <v>129591429.0053097</v>
      </c>
    </row>
    <row r="69" spans="1:21" x14ac:dyDescent="0.2">
      <c r="A69" t="s">
        <v>112</v>
      </c>
      <c r="B69">
        <v>1</v>
      </c>
      <c r="C69">
        <v>1</v>
      </c>
      <c r="D69">
        <v>0</v>
      </c>
      <c r="E69">
        <v>0</v>
      </c>
      <c r="F69">
        <v>187000</v>
      </c>
      <c r="G69">
        <v>18386.78</v>
      </c>
      <c r="H69">
        <v>168613.22</v>
      </c>
      <c r="K69">
        <v>338</v>
      </c>
      <c r="L69">
        <v>717</v>
      </c>
      <c r="M69">
        <v>1</v>
      </c>
      <c r="N69">
        <v>1</v>
      </c>
      <c r="O69">
        <v>0.22190442477876099</v>
      </c>
      <c r="P69" t="s">
        <v>85</v>
      </c>
      <c r="Q69" t="s">
        <v>23</v>
      </c>
      <c r="R69" t="s">
        <v>24</v>
      </c>
      <c r="S69" t="s">
        <v>88</v>
      </c>
      <c r="T69">
        <v>26827286.049037591</v>
      </c>
      <c r="U69">
        <v>94068392.690962404</v>
      </c>
    </row>
    <row r="70" spans="1:21" x14ac:dyDescent="0.2">
      <c r="A70" t="s">
        <v>113</v>
      </c>
      <c r="B70">
        <v>2</v>
      </c>
      <c r="C70">
        <v>2</v>
      </c>
      <c r="D70">
        <v>0</v>
      </c>
      <c r="E70">
        <v>0</v>
      </c>
      <c r="F70">
        <v>160000</v>
      </c>
      <c r="G70">
        <v>0</v>
      </c>
      <c r="H70">
        <v>160000</v>
      </c>
      <c r="I70">
        <v>57</v>
      </c>
      <c r="L70">
        <v>1045.4124999999999</v>
      </c>
      <c r="M70">
        <v>1</v>
      </c>
      <c r="N70">
        <v>1</v>
      </c>
      <c r="O70">
        <v>0.14399999999999999</v>
      </c>
      <c r="P70" t="s">
        <v>85</v>
      </c>
      <c r="Q70" t="s">
        <v>23</v>
      </c>
      <c r="R70" t="s">
        <v>24</v>
      </c>
      <c r="S70" t="s">
        <v>88</v>
      </c>
      <c r="T70">
        <v>24086304</v>
      </c>
      <c r="U70">
        <v>143179696</v>
      </c>
    </row>
    <row r="71" spans="1:21" x14ac:dyDescent="0.2">
      <c r="A71" t="s">
        <v>114</v>
      </c>
      <c r="B71">
        <v>3</v>
      </c>
      <c r="C71">
        <v>3</v>
      </c>
      <c r="D71">
        <v>0</v>
      </c>
      <c r="E71">
        <v>0</v>
      </c>
      <c r="F71">
        <v>160795</v>
      </c>
      <c r="G71">
        <v>1900</v>
      </c>
      <c r="H71">
        <v>158895</v>
      </c>
      <c r="I71">
        <v>893</v>
      </c>
      <c r="K71">
        <v>395</v>
      </c>
      <c r="L71">
        <v>749.17643726989525</v>
      </c>
      <c r="M71">
        <v>1</v>
      </c>
      <c r="N71">
        <v>1</v>
      </c>
      <c r="O71">
        <v>0.14399999999999999</v>
      </c>
      <c r="P71" t="s">
        <v>85</v>
      </c>
      <c r="Q71" t="s">
        <v>23</v>
      </c>
      <c r="R71" t="s">
        <v>24</v>
      </c>
      <c r="S71" t="s">
        <v>88</v>
      </c>
      <c r="T71">
        <v>17141816.16</v>
      </c>
      <c r="U71">
        <v>101898573.84</v>
      </c>
    </row>
    <row r="72" spans="1:21" x14ac:dyDescent="0.2">
      <c r="A72" t="s">
        <v>115</v>
      </c>
      <c r="B72">
        <v>3</v>
      </c>
      <c r="C72">
        <v>3</v>
      </c>
      <c r="D72">
        <v>0</v>
      </c>
      <c r="E72">
        <v>0</v>
      </c>
      <c r="F72">
        <v>202056.4</v>
      </c>
      <c r="G72">
        <v>44527.16</v>
      </c>
      <c r="H72">
        <v>157529.24</v>
      </c>
      <c r="K72">
        <v>336</v>
      </c>
      <c r="L72">
        <v>570.84380068106725</v>
      </c>
      <c r="M72">
        <v>1</v>
      </c>
      <c r="N72">
        <v>1</v>
      </c>
      <c r="O72">
        <v>0.14399999999999999</v>
      </c>
      <c r="P72" t="s">
        <v>85</v>
      </c>
      <c r="Q72" t="s">
        <v>23</v>
      </c>
      <c r="R72" t="s">
        <v>24</v>
      </c>
      <c r="S72" t="s">
        <v>88</v>
      </c>
      <c r="T72">
        <v>12949140.971519999</v>
      </c>
      <c r="U72">
        <v>76975449.108479992</v>
      </c>
    </row>
    <row r="73" spans="1:21" x14ac:dyDescent="0.2">
      <c r="A73" t="s">
        <v>116</v>
      </c>
      <c r="B73">
        <v>1</v>
      </c>
      <c r="C73">
        <v>1</v>
      </c>
      <c r="D73">
        <v>0</v>
      </c>
      <c r="E73">
        <v>0</v>
      </c>
      <c r="F73">
        <v>152000</v>
      </c>
      <c r="G73">
        <v>2000</v>
      </c>
      <c r="H73">
        <v>150000</v>
      </c>
      <c r="I73">
        <v>297</v>
      </c>
      <c r="K73">
        <v>592</v>
      </c>
      <c r="L73">
        <v>1092</v>
      </c>
      <c r="M73">
        <v>1</v>
      </c>
      <c r="N73">
        <v>1</v>
      </c>
      <c r="O73">
        <v>0.22190442477876099</v>
      </c>
      <c r="P73" t="s">
        <v>85</v>
      </c>
      <c r="Q73" t="s">
        <v>23</v>
      </c>
      <c r="R73" t="s">
        <v>24</v>
      </c>
      <c r="S73" t="s">
        <v>88</v>
      </c>
      <c r="T73">
        <v>36347944.778761059</v>
      </c>
      <c r="U73">
        <v>127452055.2212389</v>
      </c>
    </row>
    <row r="74" spans="1:21" x14ac:dyDescent="0.2">
      <c r="A74" t="s">
        <v>117</v>
      </c>
      <c r="B74">
        <v>1</v>
      </c>
      <c r="C74">
        <v>1</v>
      </c>
      <c r="D74">
        <v>0</v>
      </c>
      <c r="E74">
        <v>0</v>
      </c>
      <c r="F74">
        <v>158000</v>
      </c>
      <c r="G74">
        <v>15800</v>
      </c>
      <c r="H74">
        <v>142200</v>
      </c>
      <c r="K74">
        <v>531</v>
      </c>
      <c r="L74">
        <v>996</v>
      </c>
      <c r="M74">
        <v>1</v>
      </c>
      <c r="N74">
        <v>1</v>
      </c>
      <c r="O74">
        <v>0.22190442477876099</v>
      </c>
      <c r="P74" t="s">
        <v>85</v>
      </c>
      <c r="Q74" t="s">
        <v>23</v>
      </c>
      <c r="R74" t="s">
        <v>24</v>
      </c>
      <c r="S74" t="s">
        <v>88</v>
      </c>
      <c r="T74">
        <v>31428589.966725659</v>
      </c>
      <c r="U74">
        <v>110202610.03327429</v>
      </c>
    </row>
    <row r="75" spans="1:21" x14ac:dyDescent="0.2">
      <c r="A75" t="s">
        <v>118</v>
      </c>
      <c r="B75">
        <v>8</v>
      </c>
      <c r="C75">
        <v>7</v>
      </c>
      <c r="D75">
        <v>1</v>
      </c>
      <c r="E75">
        <v>0.125</v>
      </c>
      <c r="F75">
        <v>151600</v>
      </c>
      <c r="G75">
        <v>9964</v>
      </c>
      <c r="H75">
        <v>141636</v>
      </c>
      <c r="I75">
        <v>164</v>
      </c>
      <c r="J75">
        <v>904</v>
      </c>
      <c r="K75">
        <v>904</v>
      </c>
      <c r="L75">
        <v>857.14597983563499</v>
      </c>
      <c r="M75">
        <v>1</v>
      </c>
      <c r="N75">
        <v>1</v>
      </c>
      <c r="O75">
        <v>0.186</v>
      </c>
      <c r="P75" t="s">
        <v>85</v>
      </c>
      <c r="Q75" t="s">
        <v>27</v>
      </c>
      <c r="R75" t="s">
        <v>24</v>
      </c>
      <c r="S75" t="s">
        <v>91</v>
      </c>
      <c r="T75">
        <v>22580907.408</v>
      </c>
      <c r="U75">
        <v>98821820.592000008</v>
      </c>
    </row>
    <row r="76" spans="1:21" x14ac:dyDescent="0.2">
      <c r="A76" t="s">
        <v>119</v>
      </c>
      <c r="B76">
        <v>2</v>
      </c>
      <c r="C76">
        <v>2</v>
      </c>
      <c r="D76">
        <v>0</v>
      </c>
      <c r="E76">
        <v>0</v>
      </c>
      <c r="F76">
        <v>185520.18</v>
      </c>
      <c r="G76">
        <v>50000</v>
      </c>
      <c r="H76">
        <v>135520.18</v>
      </c>
      <c r="I76">
        <v>120</v>
      </c>
      <c r="K76">
        <v>244</v>
      </c>
      <c r="L76">
        <v>947.48519017610511</v>
      </c>
      <c r="M76">
        <v>1</v>
      </c>
      <c r="N76">
        <v>1</v>
      </c>
      <c r="O76">
        <v>0.14399999999999999</v>
      </c>
      <c r="P76" t="s">
        <v>85</v>
      </c>
      <c r="Q76" t="s">
        <v>23</v>
      </c>
      <c r="R76" t="s">
        <v>24</v>
      </c>
      <c r="S76" t="s">
        <v>88</v>
      </c>
      <c r="T76">
        <v>18490084.34688</v>
      </c>
      <c r="U76">
        <v>109913279.17312001</v>
      </c>
    </row>
    <row r="77" spans="1:21" x14ac:dyDescent="0.2">
      <c r="A77" t="s">
        <v>120</v>
      </c>
      <c r="B77">
        <v>1</v>
      </c>
      <c r="C77">
        <v>1</v>
      </c>
      <c r="D77">
        <v>0</v>
      </c>
      <c r="E77">
        <v>0</v>
      </c>
      <c r="F77">
        <v>228000</v>
      </c>
      <c r="G77">
        <v>100000</v>
      </c>
      <c r="H77">
        <v>128000</v>
      </c>
      <c r="K77">
        <v>47</v>
      </c>
      <c r="L77">
        <v>51</v>
      </c>
      <c r="M77">
        <v>0</v>
      </c>
      <c r="N77">
        <v>0</v>
      </c>
      <c r="O77">
        <v>0.41607079646017697</v>
      </c>
      <c r="P77" t="s">
        <v>85</v>
      </c>
      <c r="Q77" t="s">
        <v>23</v>
      </c>
      <c r="R77" t="s">
        <v>63</v>
      </c>
      <c r="S77" t="s">
        <v>121</v>
      </c>
      <c r="T77">
        <v>2716110.1592920348</v>
      </c>
      <c r="U77">
        <v>3811889.8407079652</v>
      </c>
    </row>
    <row r="78" spans="1:21" x14ac:dyDescent="0.2">
      <c r="A78" t="s">
        <v>122</v>
      </c>
      <c r="B78">
        <v>2</v>
      </c>
      <c r="C78">
        <v>2</v>
      </c>
      <c r="D78">
        <v>0</v>
      </c>
      <c r="E78">
        <v>0</v>
      </c>
      <c r="F78">
        <v>300900</v>
      </c>
      <c r="G78">
        <v>174735.35</v>
      </c>
      <c r="H78">
        <v>126164.65</v>
      </c>
      <c r="K78">
        <v>427</v>
      </c>
      <c r="L78">
        <v>881.94226235320275</v>
      </c>
      <c r="M78">
        <v>1</v>
      </c>
      <c r="N78">
        <v>1</v>
      </c>
      <c r="O78">
        <v>0.14399999999999999</v>
      </c>
      <c r="P78" t="s">
        <v>85</v>
      </c>
      <c r="Q78" t="s">
        <v>23</v>
      </c>
      <c r="R78" t="s">
        <v>24</v>
      </c>
      <c r="S78" t="s">
        <v>88</v>
      </c>
      <c r="T78">
        <v>16022870.906400001</v>
      </c>
      <c r="U78">
        <v>95247065.943599999</v>
      </c>
    </row>
    <row r="79" spans="1:21" x14ac:dyDescent="0.2">
      <c r="A79" t="s">
        <v>123</v>
      </c>
      <c r="B79">
        <v>2</v>
      </c>
      <c r="C79">
        <v>2</v>
      </c>
      <c r="D79">
        <v>0</v>
      </c>
      <c r="E79">
        <v>0</v>
      </c>
      <c r="F79">
        <v>140000</v>
      </c>
      <c r="G79">
        <v>14000</v>
      </c>
      <c r="H79">
        <v>126000</v>
      </c>
      <c r="I79">
        <v>63</v>
      </c>
      <c r="K79">
        <v>681</v>
      </c>
      <c r="L79">
        <v>828</v>
      </c>
      <c r="M79">
        <v>1</v>
      </c>
      <c r="N79">
        <v>1</v>
      </c>
      <c r="O79">
        <v>0.14399999999999999</v>
      </c>
      <c r="P79" t="s">
        <v>85</v>
      </c>
      <c r="Q79" t="s">
        <v>23</v>
      </c>
      <c r="R79" t="s">
        <v>24</v>
      </c>
      <c r="S79" t="s">
        <v>88</v>
      </c>
      <c r="T79">
        <v>15023232</v>
      </c>
      <c r="U79">
        <v>89304768</v>
      </c>
    </row>
    <row r="80" spans="1:21" x14ac:dyDescent="0.2">
      <c r="A80" t="s">
        <v>124</v>
      </c>
      <c r="B80">
        <v>2</v>
      </c>
      <c r="C80">
        <v>2</v>
      </c>
      <c r="D80">
        <v>0</v>
      </c>
      <c r="E80">
        <v>0</v>
      </c>
      <c r="F80">
        <v>132400</v>
      </c>
      <c r="G80">
        <v>6620</v>
      </c>
      <c r="H80">
        <v>125780</v>
      </c>
      <c r="I80">
        <v>414</v>
      </c>
      <c r="K80">
        <v>446</v>
      </c>
      <c r="L80">
        <v>862</v>
      </c>
      <c r="M80">
        <v>1</v>
      </c>
      <c r="N80">
        <v>1</v>
      </c>
      <c r="O80">
        <v>0.14399999999999999</v>
      </c>
      <c r="P80" t="s">
        <v>85</v>
      </c>
      <c r="Q80" t="s">
        <v>23</v>
      </c>
      <c r="R80" t="s">
        <v>24</v>
      </c>
      <c r="S80" t="s">
        <v>88</v>
      </c>
      <c r="T80">
        <v>15612819.84</v>
      </c>
      <c r="U80">
        <v>92809540.159999996</v>
      </c>
    </row>
    <row r="81" spans="1:21" x14ac:dyDescent="0.2">
      <c r="A81" t="s">
        <v>125</v>
      </c>
      <c r="B81">
        <v>2</v>
      </c>
      <c r="C81">
        <v>1</v>
      </c>
      <c r="D81">
        <v>0</v>
      </c>
      <c r="E81">
        <v>0</v>
      </c>
      <c r="F81">
        <v>558000</v>
      </c>
      <c r="G81">
        <v>432450</v>
      </c>
      <c r="H81">
        <v>125550</v>
      </c>
      <c r="K81">
        <v>287</v>
      </c>
      <c r="L81">
        <v>413</v>
      </c>
      <c r="M81">
        <v>1</v>
      </c>
      <c r="N81">
        <v>1</v>
      </c>
      <c r="O81">
        <v>0.14399999999999999</v>
      </c>
      <c r="P81" t="s">
        <v>85</v>
      </c>
      <c r="Q81" t="s">
        <v>23</v>
      </c>
      <c r="R81" t="s">
        <v>24</v>
      </c>
      <c r="S81" t="s">
        <v>88</v>
      </c>
      <c r="T81">
        <v>7466709.5999999996</v>
      </c>
      <c r="U81">
        <v>44385440.399999999</v>
      </c>
    </row>
    <row r="82" spans="1:21" x14ac:dyDescent="0.2">
      <c r="A82" t="s">
        <v>126</v>
      </c>
      <c r="B82">
        <v>2</v>
      </c>
      <c r="C82">
        <v>2</v>
      </c>
      <c r="D82">
        <v>0</v>
      </c>
      <c r="E82">
        <v>0</v>
      </c>
      <c r="F82">
        <v>119700</v>
      </c>
      <c r="G82">
        <v>0</v>
      </c>
      <c r="H82">
        <v>119700</v>
      </c>
      <c r="I82">
        <v>87.5</v>
      </c>
      <c r="L82">
        <v>1053</v>
      </c>
      <c r="M82">
        <v>1</v>
      </c>
      <c r="N82">
        <v>1</v>
      </c>
      <c r="O82">
        <v>0.14399999999999999</v>
      </c>
      <c r="P82" t="s">
        <v>85</v>
      </c>
      <c r="Q82" t="s">
        <v>23</v>
      </c>
      <c r="R82" t="s">
        <v>24</v>
      </c>
      <c r="S82" t="s">
        <v>88</v>
      </c>
      <c r="T82">
        <v>18150350.399999999</v>
      </c>
      <c r="U82">
        <v>107893749.59999999</v>
      </c>
    </row>
    <row r="83" spans="1:21" x14ac:dyDescent="0.2">
      <c r="A83" t="s">
        <v>127</v>
      </c>
      <c r="B83">
        <v>3</v>
      </c>
      <c r="C83">
        <v>2</v>
      </c>
      <c r="D83">
        <v>1</v>
      </c>
      <c r="E83">
        <v>0.33333333333333331</v>
      </c>
      <c r="F83">
        <v>312788</v>
      </c>
      <c r="G83">
        <v>195688</v>
      </c>
      <c r="H83">
        <v>119600</v>
      </c>
      <c r="I83">
        <v>201.5</v>
      </c>
      <c r="J83">
        <v>676</v>
      </c>
      <c r="K83">
        <v>676</v>
      </c>
      <c r="L83">
        <v>1043</v>
      </c>
      <c r="M83">
        <v>1</v>
      </c>
      <c r="N83">
        <v>1</v>
      </c>
      <c r="O83">
        <v>0.25600000000000001</v>
      </c>
      <c r="P83" t="s">
        <v>85</v>
      </c>
      <c r="Q83" t="s">
        <v>27</v>
      </c>
      <c r="R83" t="s">
        <v>24</v>
      </c>
      <c r="S83" t="s">
        <v>91</v>
      </c>
      <c r="T83">
        <v>31934156.800000001</v>
      </c>
      <c r="U83">
        <v>92808643.200000003</v>
      </c>
    </row>
    <row r="84" spans="1:21" x14ac:dyDescent="0.2">
      <c r="A84" t="s">
        <v>128</v>
      </c>
      <c r="B84">
        <v>2</v>
      </c>
      <c r="C84">
        <v>2</v>
      </c>
      <c r="D84">
        <v>0</v>
      </c>
      <c r="E84">
        <v>0</v>
      </c>
      <c r="F84">
        <v>209000</v>
      </c>
      <c r="G84">
        <v>91500</v>
      </c>
      <c r="H84">
        <v>117500</v>
      </c>
      <c r="K84">
        <v>414</v>
      </c>
      <c r="L84">
        <v>990.92765957446807</v>
      </c>
      <c r="M84">
        <v>1</v>
      </c>
      <c r="N84">
        <v>1</v>
      </c>
      <c r="O84">
        <v>0.14399999999999999</v>
      </c>
      <c r="P84" t="s">
        <v>85</v>
      </c>
      <c r="Q84" t="s">
        <v>23</v>
      </c>
      <c r="R84" t="s">
        <v>24</v>
      </c>
      <c r="S84" t="s">
        <v>88</v>
      </c>
      <c r="T84">
        <v>16766496</v>
      </c>
      <c r="U84">
        <v>99667504</v>
      </c>
    </row>
    <row r="85" spans="1:21" x14ac:dyDescent="0.2">
      <c r="A85" t="s">
        <v>129</v>
      </c>
      <c r="B85">
        <v>3</v>
      </c>
      <c r="C85">
        <v>3</v>
      </c>
      <c r="D85">
        <v>0</v>
      </c>
      <c r="E85">
        <v>0</v>
      </c>
      <c r="F85">
        <v>174320</v>
      </c>
      <c r="G85">
        <v>64238.81</v>
      </c>
      <c r="H85">
        <v>110081.19</v>
      </c>
      <c r="K85">
        <v>587</v>
      </c>
      <c r="L85">
        <v>1016</v>
      </c>
      <c r="M85">
        <v>1</v>
      </c>
      <c r="N85">
        <v>1</v>
      </c>
      <c r="O85">
        <v>0.14399999999999999</v>
      </c>
      <c r="P85" t="s">
        <v>85</v>
      </c>
      <c r="Q85" t="s">
        <v>23</v>
      </c>
      <c r="R85" t="s">
        <v>24</v>
      </c>
      <c r="S85" t="s">
        <v>88</v>
      </c>
      <c r="T85">
        <v>16105318.42176</v>
      </c>
      <c r="U85">
        <v>95737170.618239999</v>
      </c>
    </row>
    <row r="86" spans="1:21" x14ac:dyDescent="0.2">
      <c r="A86" t="s">
        <v>130</v>
      </c>
      <c r="B86">
        <v>2</v>
      </c>
      <c r="C86">
        <v>2</v>
      </c>
      <c r="D86">
        <v>0</v>
      </c>
      <c r="E86">
        <v>0</v>
      </c>
      <c r="F86">
        <v>112000</v>
      </c>
      <c r="G86">
        <v>2500</v>
      </c>
      <c r="H86">
        <v>109500</v>
      </c>
      <c r="I86">
        <v>37</v>
      </c>
      <c r="K86">
        <v>348</v>
      </c>
      <c r="L86">
        <v>938.51598173515981</v>
      </c>
      <c r="M86">
        <v>1</v>
      </c>
      <c r="N86">
        <v>1</v>
      </c>
      <c r="O86">
        <v>0.14399999999999999</v>
      </c>
      <c r="P86" t="s">
        <v>85</v>
      </c>
      <c r="Q86" t="s">
        <v>23</v>
      </c>
      <c r="R86" t="s">
        <v>24</v>
      </c>
      <c r="S86" t="s">
        <v>88</v>
      </c>
      <c r="T86">
        <v>14798520</v>
      </c>
      <c r="U86">
        <v>87968980</v>
      </c>
    </row>
    <row r="87" spans="1:21" x14ac:dyDescent="0.2">
      <c r="A87" t="s">
        <v>131</v>
      </c>
      <c r="B87">
        <v>3</v>
      </c>
      <c r="C87">
        <v>3</v>
      </c>
      <c r="D87">
        <v>0</v>
      </c>
      <c r="E87">
        <v>0</v>
      </c>
      <c r="F87">
        <v>188000</v>
      </c>
      <c r="G87">
        <v>80000</v>
      </c>
      <c r="H87">
        <v>108000</v>
      </c>
      <c r="I87">
        <v>38</v>
      </c>
      <c r="K87">
        <v>732</v>
      </c>
      <c r="L87">
        <v>981.16927777777778</v>
      </c>
      <c r="M87">
        <v>1</v>
      </c>
      <c r="N87">
        <v>1</v>
      </c>
      <c r="O87">
        <v>0.14399999999999999</v>
      </c>
      <c r="P87" t="s">
        <v>85</v>
      </c>
      <c r="Q87" t="s">
        <v>23</v>
      </c>
      <c r="R87" t="s">
        <v>24</v>
      </c>
      <c r="S87" t="s">
        <v>88</v>
      </c>
      <c r="T87">
        <v>15259144.607999999</v>
      </c>
      <c r="U87">
        <v>90707137.392000005</v>
      </c>
    </row>
    <row r="88" spans="1:21" x14ac:dyDescent="0.2">
      <c r="A88" t="s">
        <v>132</v>
      </c>
      <c r="B88">
        <v>1</v>
      </c>
      <c r="C88">
        <v>1</v>
      </c>
      <c r="D88">
        <v>0</v>
      </c>
      <c r="E88">
        <v>0</v>
      </c>
      <c r="F88">
        <v>692581</v>
      </c>
      <c r="G88">
        <v>588000</v>
      </c>
      <c r="H88">
        <v>104581</v>
      </c>
      <c r="K88">
        <v>337</v>
      </c>
      <c r="L88">
        <v>408</v>
      </c>
      <c r="M88">
        <v>1</v>
      </c>
      <c r="N88">
        <v>1</v>
      </c>
      <c r="O88">
        <v>0.22190442477876099</v>
      </c>
      <c r="P88" t="s">
        <v>85</v>
      </c>
      <c r="Q88" t="s">
        <v>23</v>
      </c>
      <c r="R88" t="s">
        <v>24</v>
      </c>
      <c r="S88" t="s">
        <v>88</v>
      </c>
      <c r="T88">
        <v>9468450.5522973444</v>
      </c>
      <c r="U88">
        <v>33200597.447702661</v>
      </c>
    </row>
    <row r="89" spans="1:21" x14ac:dyDescent="0.2">
      <c r="A89" t="s">
        <v>133</v>
      </c>
      <c r="B89">
        <v>2</v>
      </c>
      <c r="C89">
        <v>2</v>
      </c>
      <c r="D89">
        <v>0</v>
      </c>
      <c r="E89">
        <v>0</v>
      </c>
      <c r="F89">
        <v>103000</v>
      </c>
      <c r="G89">
        <v>1500</v>
      </c>
      <c r="H89">
        <v>101500</v>
      </c>
      <c r="I89">
        <v>34</v>
      </c>
      <c r="K89">
        <v>765</v>
      </c>
      <c r="L89">
        <v>989.58128078817731</v>
      </c>
      <c r="M89">
        <v>1</v>
      </c>
      <c r="N89">
        <v>1</v>
      </c>
      <c r="O89">
        <v>0.14399999999999999</v>
      </c>
      <c r="P89" t="s">
        <v>85</v>
      </c>
      <c r="Q89" t="s">
        <v>23</v>
      </c>
      <c r="R89" t="s">
        <v>24</v>
      </c>
      <c r="S89" t="s">
        <v>88</v>
      </c>
      <c r="T89">
        <v>14463720</v>
      </c>
      <c r="U89">
        <v>85978780</v>
      </c>
    </row>
    <row r="90" spans="1:21" x14ac:dyDescent="0.2">
      <c r="A90" t="s">
        <v>134</v>
      </c>
      <c r="B90">
        <v>1</v>
      </c>
      <c r="C90">
        <v>1</v>
      </c>
      <c r="D90">
        <v>0</v>
      </c>
      <c r="E90">
        <v>0</v>
      </c>
      <c r="F90">
        <v>95000</v>
      </c>
      <c r="G90">
        <v>0</v>
      </c>
      <c r="H90">
        <v>95000</v>
      </c>
      <c r="I90">
        <v>254</v>
      </c>
      <c r="L90">
        <v>953</v>
      </c>
      <c r="M90">
        <v>1</v>
      </c>
      <c r="N90">
        <v>1</v>
      </c>
      <c r="O90">
        <v>0.22190442477876099</v>
      </c>
      <c r="P90" t="s">
        <v>85</v>
      </c>
      <c r="Q90" t="s">
        <v>23</v>
      </c>
      <c r="R90" t="s">
        <v>24</v>
      </c>
      <c r="S90" t="s">
        <v>88</v>
      </c>
      <c r="T90">
        <v>20090117.097345129</v>
      </c>
      <c r="U90">
        <v>70444882.902654871</v>
      </c>
    </row>
    <row r="91" spans="1:21" x14ac:dyDescent="0.2">
      <c r="A91" t="s">
        <v>135</v>
      </c>
      <c r="B91">
        <v>3</v>
      </c>
      <c r="C91">
        <v>2</v>
      </c>
      <c r="D91">
        <v>1</v>
      </c>
      <c r="E91">
        <v>0.33333333333333331</v>
      </c>
      <c r="F91">
        <v>131844</v>
      </c>
      <c r="G91">
        <v>37384.400000000001</v>
      </c>
      <c r="H91">
        <v>94459.6</v>
      </c>
      <c r="J91">
        <v>156</v>
      </c>
      <c r="K91">
        <v>283</v>
      </c>
      <c r="L91">
        <v>861.68834507027339</v>
      </c>
      <c r="M91">
        <v>1</v>
      </c>
      <c r="N91">
        <v>1</v>
      </c>
      <c r="O91">
        <v>0.25600000000000001</v>
      </c>
      <c r="P91" t="s">
        <v>85</v>
      </c>
      <c r="Q91" t="s">
        <v>27</v>
      </c>
      <c r="R91" t="s">
        <v>24</v>
      </c>
      <c r="S91" t="s">
        <v>91</v>
      </c>
      <c r="T91">
        <v>20837052.518399999</v>
      </c>
      <c r="U91">
        <v>60557683.881600007</v>
      </c>
    </row>
    <row r="92" spans="1:21" x14ac:dyDescent="0.2">
      <c r="A92" t="s">
        <v>136</v>
      </c>
      <c r="B92">
        <v>2</v>
      </c>
      <c r="C92">
        <v>2</v>
      </c>
      <c r="D92">
        <v>0</v>
      </c>
      <c r="E92">
        <v>0</v>
      </c>
      <c r="F92">
        <v>325666</v>
      </c>
      <c r="G92">
        <v>232079.4</v>
      </c>
      <c r="H92">
        <v>93586.6</v>
      </c>
      <c r="I92">
        <v>134</v>
      </c>
      <c r="K92">
        <v>631.5</v>
      </c>
      <c r="L92">
        <v>928.28543829992748</v>
      </c>
      <c r="M92">
        <v>1</v>
      </c>
      <c r="N92">
        <v>1</v>
      </c>
      <c r="O92">
        <v>0.14399999999999999</v>
      </c>
      <c r="P92" t="s">
        <v>85</v>
      </c>
      <c r="Q92" t="s">
        <v>23</v>
      </c>
      <c r="R92" t="s">
        <v>24</v>
      </c>
      <c r="S92" t="s">
        <v>88</v>
      </c>
      <c r="T92">
        <v>12510011.232000001</v>
      </c>
      <c r="U92">
        <v>74365066.767999992</v>
      </c>
    </row>
    <row r="93" spans="1:21" x14ac:dyDescent="0.2">
      <c r="A93" t="s">
        <v>137</v>
      </c>
      <c r="B93">
        <v>1</v>
      </c>
      <c r="C93">
        <v>1</v>
      </c>
      <c r="D93">
        <v>0</v>
      </c>
      <c r="E93">
        <v>0</v>
      </c>
      <c r="F93">
        <v>90946.91</v>
      </c>
      <c r="G93">
        <v>0</v>
      </c>
      <c r="H93">
        <v>90946.91</v>
      </c>
      <c r="L93">
        <v>990</v>
      </c>
      <c r="M93">
        <v>1</v>
      </c>
      <c r="N93">
        <v>1</v>
      </c>
      <c r="O93">
        <v>0.22190442477876099</v>
      </c>
      <c r="P93" t="s">
        <v>85</v>
      </c>
      <c r="Q93" t="s">
        <v>23</v>
      </c>
      <c r="R93" t="s">
        <v>24</v>
      </c>
      <c r="S93" t="s">
        <v>88</v>
      </c>
      <c r="T93">
        <v>19979706.53146619</v>
      </c>
      <c r="U93">
        <v>70057734.368533805</v>
      </c>
    </row>
    <row r="94" spans="1:21" x14ac:dyDescent="0.2">
      <c r="A94" t="s">
        <v>138</v>
      </c>
      <c r="B94">
        <v>3</v>
      </c>
      <c r="C94">
        <v>3</v>
      </c>
      <c r="D94">
        <v>0</v>
      </c>
      <c r="E94">
        <v>0</v>
      </c>
      <c r="F94">
        <v>108000.02</v>
      </c>
      <c r="G94">
        <v>18000</v>
      </c>
      <c r="H94">
        <v>90000.01999999999</v>
      </c>
      <c r="I94">
        <v>160.5</v>
      </c>
      <c r="K94">
        <v>311</v>
      </c>
      <c r="L94">
        <v>948.22223283950382</v>
      </c>
      <c r="M94">
        <v>1</v>
      </c>
      <c r="N94">
        <v>1</v>
      </c>
      <c r="O94">
        <v>0.14399999999999999</v>
      </c>
      <c r="P94" t="s">
        <v>85</v>
      </c>
      <c r="Q94" t="s">
        <v>23</v>
      </c>
      <c r="R94" t="s">
        <v>24</v>
      </c>
      <c r="S94" t="s">
        <v>88</v>
      </c>
      <c r="T94">
        <v>12288962.868480001</v>
      </c>
      <c r="U94">
        <v>73051057.05151999</v>
      </c>
    </row>
    <row r="95" spans="1:21" x14ac:dyDescent="0.2">
      <c r="A95" t="s">
        <v>139</v>
      </c>
      <c r="B95">
        <v>1</v>
      </c>
      <c r="C95">
        <v>1</v>
      </c>
      <c r="D95">
        <v>0</v>
      </c>
      <c r="E95">
        <v>0</v>
      </c>
      <c r="F95">
        <v>89115.04</v>
      </c>
      <c r="G95">
        <v>0</v>
      </c>
      <c r="H95">
        <v>89115.04</v>
      </c>
      <c r="L95">
        <v>1039</v>
      </c>
      <c r="M95">
        <v>1</v>
      </c>
      <c r="N95">
        <v>1</v>
      </c>
      <c r="O95">
        <v>0.22190442477876099</v>
      </c>
      <c r="P95" t="s">
        <v>85</v>
      </c>
      <c r="Q95" t="s">
        <v>23</v>
      </c>
      <c r="R95" t="s">
        <v>24</v>
      </c>
      <c r="S95" t="s">
        <v>88</v>
      </c>
      <c r="T95">
        <v>20546247.53625939</v>
      </c>
      <c r="U95">
        <v>72044279.02374059</v>
      </c>
    </row>
    <row r="96" spans="1:21" x14ac:dyDescent="0.2">
      <c r="A96" t="s">
        <v>140</v>
      </c>
      <c r="B96">
        <v>3</v>
      </c>
      <c r="C96">
        <v>3</v>
      </c>
      <c r="D96">
        <v>1</v>
      </c>
      <c r="E96">
        <v>0.33333333333333331</v>
      </c>
      <c r="F96">
        <v>255000</v>
      </c>
      <c r="G96">
        <v>169592</v>
      </c>
      <c r="H96">
        <v>85408</v>
      </c>
      <c r="I96">
        <v>49.5</v>
      </c>
      <c r="J96">
        <v>455</v>
      </c>
      <c r="K96">
        <v>544</v>
      </c>
      <c r="L96">
        <v>740.28596852753844</v>
      </c>
      <c r="M96">
        <v>1</v>
      </c>
      <c r="N96">
        <v>1</v>
      </c>
      <c r="O96">
        <v>0.25600000000000001</v>
      </c>
      <c r="P96" t="s">
        <v>85</v>
      </c>
      <c r="Q96" t="s">
        <v>27</v>
      </c>
      <c r="R96" t="s">
        <v>24</v>
      </c>
      <c r="S96" t="s">
        <v>91</v>
      </c>
      <c r="T96">
        <v>16185944.063999999</v>
      </c>
      <c r="U96">
        <v>47040399.935999997</v>
      </c>
    </row>
    <row r="97" spans="1:21" x14ac:dyDescent="0.2">
      <c r="A97" t="s">
        <v>141</v>
      </c>
      <c r="B97">
        <v>4</v>
      </c>
      <c r="C97">
        <v>4</v>
      </c>
      <c r="D97">
        <v>0</v>
      </c>
      <c r="E97">
        <v>0</v>
      </c>
      <c r="F97">
        <v>83930</v>
      </c>
      <c r="G97">
        <v>0</v>
      </c>
      <c r="H97">
        <v>83930</v>
      </c>
      <c r="I97">
        <v>16.5</v>
      </c>
      <c r="L97">
        <v>994</v>
      </c>
      <c r="M97">
        <v>1</v>
      </c>
      <c r="N97">
        <v>1</v>
      </c>
      <c r="O97">
        <v>0.14399999999999999</v>
      </c>
      <c r="P97" t="s">
        <v>85</v>
      </c>
      <c r="Q97" t="s">
        <v>23</v>
      </c>
      <c r="R97" t="s">
        <v>24</v>
      </c>
      <c r="S97" t="s">
        <v>88</v>
      </c>
      <c r="T97">
        <v>12013404.48</v>
      </c>
      <c r="U97">
        <v>71413015.519999996</v>
      </c>
    </row>
    <row r="98" spans="1:21" x14ac:dyDescent="0.2">
      <c r="A98" t="s">
        <v>142</v>
      </c>
      <c r="B98">
        <v>2</v>
      </c>
      <c r="C98">
        <v>1</v>
      </c>
      <c r="D98">
        <v>1</v>
      </c>
      <c r="E98">
        <v>0.5</v>
      </c>
      <c r="F98">
        <v>113983.48</v>
      </c>
      <c r="G98">
        <v>101393</v>
      </c>
      <c r="H98">
        <v>80325</v>
      </c>
      <c r="J98">
        <v>158</v>
      </c>
      <c r="K98">
        <v>396</v>
      </c>
      <c r="L98">
        <v>902</v>
      </c>
      <c r="M98">
        <v>1</v>
      </c>
      <c r="N98">
        <v>1</v>
      </c>
      <c r="O98">
        <v>0.31199999999999989</v>
      </c>
      <c r="P98" t="s">
        <v>85</v>
      </c>
      <c r="Q98" t="s">
        <v>27</v>
      </c>
      <c r="R98" t="s">
        <v>24</v>
      </c>
      <c r="S98" t="s">
        <v>91</v>
      </c>
      <c r="T98">
        <v>22605382.800000001</v>
      </c>
      <c r="U98">
        <v>49847767.200000003</v>
      </c>
    </row>
    <row r="99" spans="1:21" x14ac:dyDescent="0.2">
      <c r="A99" t="s">
        <v>143</v>
      </c>
      <c r="B99">
        <v>2</v>
      </c>
      <c r="C99">
        <v>2</v>
      </c>
      <c r="D99">
        <v>0</v>
      </c>
      <c r="E99">
        <v>0</v>
      </c>
      <c r="F99">
        <v>95134.7</v>
      </c>
      <c r="G99">
        <v>15875.37</v>
      </c>
      <c r="H99">
        <v>79259.329999999987</v>
      </c>
      <c r="I99">
        <v>60</v>
      </c>
      <c r="K99">
        <v>770.5</v>
      </c>
      <c r="L99">
        <v>861.40571135284642</v>
      </c>
      <c r="M99">
        <v>1</v>
      </c>
      <c r="N99">
        <v>1</v>
      </c>
      <c r="O99">
        <v>0.14399999999999999</v>
      </c>
      <c r="P99" t="s">
        <v>85</v>
      </c>
      <c r="Q99" t="s">
        <v>23</v>
      </c>
      <c r="R99" t="s">
        <v>24</v>
      </c>
      <c r="S99" t="s">
        <v>88</v>
      </c>
      <c r="T99">
        <v>9831519.2937599979</v>
      </c>
      <c r="U99">
        <v>58442920.24623999</v>
      </c>
    </row>
    <row r="100" spans="1:21" x14ac:dyDescent="0.2">
      <c r="A100" t="s">
        <v>144</v>
      </c>
      <c r="B100">
        <v>1</v>
      </c>
      <c r="C100">
        <v>1</v>
      </c>
      <c r="D100">
        <v>0</v>
      </c>
      <c r="E100">
        <v>0</v>
      </c>
      <c r="F100">
        <v>72000</v>
      </c>
      <c r="G100">
        <v>0</v>
      </c>
      <c r="H100">
        <v>72000</v>
      </c>
      <c r="I100">
        <v>6</v>
      </c>
      <c r="L100">
        <v>940</v>
      </c>
      <c r="M100">
        <v>1</v>
      </c>
      <c r="N100">
        <v>1</v>
      </c>
      <c r="O100">
        <v>0.22190442477876099</v>
      </c>
      <c r="P100" t="s">
        <v>85</v>
      </c>
      <c r="Q100" t="s">
        <v>23</v>
      </c>
      <c r="R100" t="s">
        <v>24</v>
      </c>
      <c r="S100" t="s">
        <v>88</v>
      </c>
      <c r="T100">
        <v>15018491.469026551</v>
      </c>
      <c r="U100">
        <v>52661508.530973449</v>
      </c>
    </row>
    <row r="101" spans="1:21" x14ac:dyDescent="0.2">
      <c r="A101" t="s">
        <v>145</v>
      </c>
      <c r="B101">
        <v>1</v>
      </c>
      <c r="C101">
        <v>1</v>
      </c>
      <c r="D101">
        <v>0</v>
      </c>
      <c r="E101">
        <v>0</v>
      </c>
      <c r="F101">
        <v>72000</v>
      </c>
      <c r="G101">
        <v>0</v>
      </c>
      <c r="H101">
        <v>72000</v>
      </c>
      <c r="L101">
        <v>759</v>
      </c>
      <c r="M101">
        <v>1</v>
      </c>
      <c r="N101">
        <v>1</v>
      </c>
      <c r="O101">
        <v>0.22190442477876099</v>
      </c>
      <c r="P101" t="s">
        <v>85</v>
      </c>
      <c r="Q101" t="s">
        <v>23</v>
      </c>
      <c r="R101" t="s">
        <v>24</v>
      </c>
      <c r="S101" t="s">
        <v>88</v>
      </c>
      <c r="T101">
        <v>12126633.005309731</v>
      </c>
      <c r="U101">
        <v>42521366.994690269</v>
      </c>
    </row>
    <row r="102" spans="1:21" x14ac:dyDescent="0.2">
      <c r="A102" t="s">
        <v>146</v>
      </c>
      <c r="B102">
        <v>1</v>
      </c>
      <c r="C102">
        <v>1</v>
      </c>
      <c r="D102">
        <v>0</v>
      </c>
      <c r="E102">
        <v>0</v>
      </c>
      <c r="F102">
        <v>131220</v>
      </c>
      <c r="G102">
        <v>59420</v>
      </c>
      <c r="H102">
        <v>71800</v>
      </c>
      <c r="K102">
        <v>370</v>
      </c>
      <c r="L102">
        <v>830</v>
      </c>
      <c r="M102">
        <v>1</v>
      </c>
      <c r="N102">
        <v>1</v>
      </c>
      <c r="O102">
        <v>0.22190442477876099</v>
      </c>
      <c r="P102" t="s">
        <v>85</v>
      </c>
      <c r="Q102" t="s">
        <v>23</v>
      </c>
      <c r="R102" t="s">
        <v>24</v>
      </c>
      <c r="S102" t="s">
        <v>88</v>
      </c>
      <c r="T102">
        <v>13224172.290265489</v>
      </c>
      <c r="U102">
        <v>46369827.709734507</v>
      </c>
    </row>
    <row r="103" spans="1:21" x14ac:dyDescent="0.2">
      <c r="A103" t="s">
        <v>147</v>
      </c>
      <c r="B103">
        <v>1</v>
      </c>
      <c r="C103">
        <v>1</v>
      </c>
      <c r="D103">
        <v>0</v>
      </c>
      <c r="E103">
        <v>0</v>
      </c>
      <c r="F103">
        <v>71190</v>
      </c>
      <c r="G103">
        <v>0</v>
      </c>
      <c r="H103">
        <v>71190</v>
      </c>
      <c r="L103">
        <v>1012</v>
      </c>
      <c r="M103">
        <v>1</v>
      </c>
      <c r="N103">
        <v>1</v>
      </c>
      <c r="O103">
        <v>0.22190442477876099</v>
      </c>
      <c r="P103" t="s">
        <v>85</v>
      </c>
      <c r="Q103" t="s">
        <v>23</v>
      </c>
      <c r="R103" t="s">
        <v>24</v>
      </c>
      <c r="S103" t="s">
        <v>88</v>
      </c>
      <c r="T103">
        <v>15986944.512</v>
      </c>
      <c r="U103">
        <v>56057335.487999998</v>
      </c>
    </row>
    <row r="104" spans="1:21" x14ac:dyDescent="0.2">
      <c r="A104" t="s">
        <v>148</v>
      </c>
      <c r="B104">
        <v>2</v>
      </c>
      <c r="C104">
        <v>1</v>
      </c>
      <c r="D104">
        <v>1</v>
      </c>
      <c r="E104">
        <v>0.5</v>
      </c>
      <c r="F104">
        <v>77973.84</v>
      </c>
      <c r="G104">
        <v>20795.25</v>
      </c>
      <c r="H104">
        <v>70173</v>
      </c>
      <c r="I104">
        <v>57</v>
      </c>
      <c r="J104">
        <v>634</v>
      </c>
      <c r="K104">
        <v>575.5</v>
      </c>
      <c r="L104">
        <v>926</v>
      </c>
      <c r="M104">
        <v>1</v>
      </c>
      <c r="N104">
        <v>1</v>
      </c>
      <c r="O104">
        <v>0.31199999999999989</v>
      </c>
      <c r="P104" t="s">
        <v>85</v>
      </c>
      <c r="Q104" t="s">
        <v>27</v>
      </c>
      <c r="R104" t="s">
        <v>24</v>
      </c>
      <c r="S104" t="s">
        <v>91</v>
      </c>
      <c r="T104">
        <v>20273821.776000001</v>
      </c>
      <c r="U104">
        <v>44706376.224000007</v>
      </c>
    </row>
    <row r="105" spans="1:21" x14ac:dyDescent="0.2">
      <c r="A105" t="s">
        <v>149</v>
      </c>
      <c r="B105">
        <v>1</v>
      </c>
      <c r="C105">
        <v>1</v>
      </c>
      <c r="D105">
        <v>0</v>
      </c>
      <c r="E105">
        <v>0</v>
      </c>
      <c r="F105">
        <v>72700</v>
      </c>
      <c r="G105">
        <v>2700</v>
      </c>
      <c r="H105">
        <v>70000</v>
      </c>
      <c r="I105">
        <v>30</v>
      </c>
      <c r="K105">
        <v>375</v>
      </c>
      <c r="L105">
        <v>995</v>
      </c>
      <c r="M105">
        <v>1</v>
      </c>
      <c r="N105">
        <v>1</v>
      </c>
      <c r="O105">
        <v>0.22190442477876099</v>
      </c>
      <c r="P105" t="s">
        <v>85</v>
      </c>
      <c r="Q105" t="s">
        <v>23</v>
      </c>
      <c r="R105" t="s">
        <v>24</v>
      </c>
      <c r="S105" t="s">
        <v>88</v>
      </c>
      <c r="T105">
        <v>15455643.185840709</v>
      </c>
      <c r="U105">
        <v>54194356.814159296</v>
      </c>
    </row>
    <row r="106" spans="1:21" x14ac:dyDescent="0.2">
      <c r="A106" t="s">
        <v>150</v>
      </c>
      <c r="B106">
        <v>3</v>
      </c>
      <c r="C106">
        <v>2</v>
      </c>
      <c r="D106">
        <v>1</v>
      </c>
      <c r="E106">
        <v>0.33333333333333331</v>
      </c>
      <c r="F106">
        <v>71152.990000000005</v>
      </c>
      <c r="G106">
        <v>4180</v>
      </c>
      <c r="H106">
        <v>69693</v>
      </c>
      <c r="I106">
        <v>13.5</v>
      </c>
      <c r="J106">
        <v>602</v>
      </c>
      <c r="K106">
        <v>679.5</v>
      </c>
      <c r="L106">
        <v>773.98893719598811</v>
      </c>
      <c r="M106">
        <v>1</v>
      </c>
      <c r="N106">
        <v>1</v>
      </c>
      <c r="O106">
        <v>0.25600000000000001</v>
      </c>
      <c r="P106" t="s">
        <v>85</v>
      </c>
      <c r="Q106" t="s">
        <v>27</v>
      </c>
      <c r="R106" t="s">
        <v>24</v>
      </c>
      <c r="S106" t="s">
        <v>91</v>
      </c>
      <c r="T106">
        <v>13809052.415999999</v>
      </c>
      <c r="U106">
        <v>40132558.583999999</v>
      </c>
    </row>
    <row r="107" spans="1:21" x14ac:dyDescent="0.2">
      <c r="A107" t="s">
        <v>151</v>
      </c>
      <c r="B107">
        <v>1</v>
      </c>
      <c r="C107">
        <v>1</v>
      </c>
      <c r="D107">
        <v>0</v>
      </c>
      <c r="E107">
        <v>0</v>
      </c>
      <c r="F107">
        <v>71666.66</v>
      </c>
      <c r="G107">
        <v>3583.33</v>
      </c>
      <c r="H107">
        <v>68083.33</v>
      </c>
      <c r="K107">
        <v>399</v>
      </c>
      <c r="L107">
        <v>836</v>
      </c>
      <c r="M107">
        <v>1</v>
      </c>
      <c r="N107">
        <v>1</v>
      </c>
      <c r="O107">
        <v>0.22190442477876099</v>
      </c>
      <c r="P107" t="s">
        <v>85</v>
      </c>
      <c r="Q107" t="s">
        <v>23</v>
      </c>
      <c r="R107" t="s">
        <v>24</v>
      </c>
      <c r="S107" t="s">
        <v>88</v>
      </c>
      <c r="T107">
        <v>12630281.463042259</v>
      </c>
      <c r="U107">
        <v>44287382.416957743</v>
      </c>
    </row>
    <row r="108" spans="1:21" x14ac:dyDescent="0.2">
      <c r="A108" t="s">
        <v>152</v>
      </c>
      <c r="B108">
        <v>1</v>
      </c>
      <c r="C108">
        <v>1</v>
      </c>
      <c r="D108">
        <v>0</v>
      </c>
      <c r="E108">
        <v>0</v>
      </c>
      <c r="F108">
        <v>68000</v>
      </c>
      <c r="G108">
        <v>0</v>
      </c>
      <c r="H108">
        <v>68000</v>
      </c>
      <c r="I108">
        <v>69</v>
      </c>
      <c r="L108">
        <v>1089</v>
      </c>
      <c r="M108">
        <v>1</v>
      </c>
      <c r="N108">
        <v>1</v>
      </c>
      <c r="O108">
        <v>0.22190442477876099</v>
      </c>
      <c r="P108" t="s">
        <v>85</v>
      </c>
      <c r="Q108" t="s">
        <v>23</v>
      </c>
      <c r="R108" t="s">
        <v>24</v>
      </c>
      <c r="S108" t="s">
        <v>88</v>
      </c>
      <c r="T108">
        <v>16432466.463716811</v>
      </c>
      <c r="U108">
        <v>57619533.536283188</v>
      </c>
    </row>
    <row r="109" spans="1:21" x14ac:dyDescent="0.2">
      <c r="A109" t="s">
        <v>153</v>
      </c>
      <c r="B109">
        <v>1</v>
      </c>
      <c r="C109">
        <v>1</v>
      </c>
      <c r="D109">
        <v>0</v>
      </c>
      <c r="E109">
        <v>0</v>
      </c>
      <c r="F109">
        <v>65686.5</v>
      </c>
      <c r="G109">
        <v>0</v>
      </c>
      <c r="H109">
        <v>65686.5</v>
      </c>
      <c r="L109">
        <v>11</v>
      </c>
      <c r="M109">
        <v>0</v>
      </c>
      <c r="N109">
        <v>0</v>
      </c>
      <c r="O109">
        <v>0.46230088495575222</v>
      </c>
      <c r="P109" t="s">
        <v>85</v>
      </c>
      <c r="Q109" t="s">
        <v>23</v>
      </c>
      <c r="R109" t="s">
        <v>69</v>
      </c>
      <c r="S109" t="s">
        <v>154</v>
      </c>
      <c r="T109">
        <v>334036.19787610619</v>
      </c>
      <c r="U109">
        <v>388515.30212389381</v>
      </c>
    </row>
    <row r="110" spans="1:21" x14ac:dyDescent="0.2">
      <c r="A110" t="s">
        <v>155</v>
      </c>
      <c r="B110">
        <v>1</v>
      </c>
      <c r="C110">
        <v>1</v>
      </c>
      <c r="D110">
        <v>0</v>
      </c>
      <c r="E110">
        <v>0</v>
      </c>
      <c r="F110">
        <v>65000</v>
      </c>
      <c r="G110">
        <v>0</v>
      </c>
      <c r="H110">
        <v>65000</v>
      </c>
      <c r="I110">
        <v>169</v>
      </c>
      <c r="L110">
        <v>1082</v>
      </c>
      <c r="M110">
        <v>1</v>
      </c>
      <c r="N110">
        <v>1</v>
      </c>
      <c r="O110">
        <v>0.22190442477876099</v>
      </c>
      <c r="P110" t="s">
        <v>85</v>
      </c>
      <c r="Q110" t="s">
        <v>23</v>
      </c>
      <c r="R110" t="s">
        <v>24</v>
      </c>
      <c r="S110" t="s">
        <v>88</v>
      </c>
      <c r="T110">
        <v>15606538.194690259</v>
      </c>
      <c r="U110">
        <v>54723461.805309743</v>
      </c>
    </row>
    <row r="111" spans="1:21" x14ac:dyDescent="0.2">
      <c r="A111" t="s">
        <v>156</v>
      </c>
      <c r="B111">
        <v>1</v>
      </c>
      <c r="C111">
        <v>1</v>
      </c>
      <c r="D111">
        <v>0</v>
      </c>
      <c r="E111">
        <v>0</v>
      </c>
      <c r="F111">
        <v>68000</v>
      </c>
      <c r="G111">
        <v>3400</v>
      </c>
      <c r="H111">
        <v>64600</v>
      </c>
      <c r="K111">
        <v>549</v>
      </c>
      <c r="L111">
        <v>955</v>
      </c>
      <c r="M111">
        <v>1</v>
      </c>
      <c r="N111">
        <v>1</v>
      </c>
      <c r="O111">
        <v>0.22190442477876099</v>
      </c>
      <c r="P111" t="s">
        <v>85</v>
      </c>
      <c r="Q111" t="s">
        <v>23</v>
      </c>
      <c r="R111" t="s">
        <v>24</v>
      </c>
      <c r="S111" t="s">
        <v>88</v>
      </c>
      <c r="T111">
        <v>13689949.677876109</v>
      </c>
      <c r="U111">
        <v>48003050.322123893</v>
      </c>
    </row>
    <row r="112" spans="1:21" x14ac:dyDescent="0.2">
      <c r="A112" t="s">
        <v>157</v>
      </c>
      <c r="B112">
        <v>2</v>
      </c>
      <c r="C112">
        <v>1</v>
      </c>
      <c r="D112">
        <v>1</v>
      </c>
      <c r="E112">
        <v>0.5</v>
      </c>
      <c r="F112">
        <v>169000</v>
      </c>
      <c r="G112">
        <v>104400</v>
      </c>
      <c r="H112">
        <v>64600</v>
      </c>
      <c r="I112">
        <v>98</v>
      </c>
      <c r="J112">
        <v>423</v>
      </c>
      <c r="K112">
        <v>587</v>
      </c>
      <c r="L112">
        <v>832</v>
      </c>
      <c r="M112">
        <v>1</v>
      </c>
      <c r="N112">
        <v>1</v>
      </c>
      <c r="O112">
        <v>0.31199999999999989</v>
      </c>
      <c r="P112" t="s">
        <v>85</v>
      </c>
      <c r="Q112" t="s">
        <v>27</v>
      </c>
      <c r="R112" t="s">
        <v>24</v>
      </c>
      <c r="S112" t="s">
        <v>91</v>
      </c>
      <c r="T112">
        <v>16769126.4</v>
      </c>
      <c r="U112">
        <v>36978073.600000001</v>
      </c>
    </row>
    <row r="113" spans="1:21" x14ac:dyDescent="0.2">
      <c r="A113" t="s">
        <v>158</v>
      </c>
      <c r="B113">
        <v>1</v>
      </c>
      <c r="C113">
        <v>1</v>
      </c>
      <c r="D113">
        <v>0</v>
      </c>
      <c r="E113">
        <v>0</v>
      </c>
      <c r="F113">
        <v>215000</v>
      </c>
      <c r="G113">
        <v>150500</v>
      </c>
      <c r="H113">
        <v>64500</v>
      </c>
      <c r="K113">
        <v>250</v>
      </c>
      <c r="L113">
        <v>793</v>
      </c>
      <c r="M113">
        <v>1</v>
      </c>
      <c r="N113">
        <v>1</v>
      </c>
      <c r="O113">
        <v>0.22190442477876099</v>
      </c>
      <c r="P113" t="s">
        <v>85</v>
      </c>
      <c r="Q113" t="s">
        <v>23</v>
      </c>
      <c r="R113" t="s">
        <v>24</v>
      </c>
      <c r="S113" t="s">
        <v>88</v>
      </c>
      <c r="T113">
        <v>11350078.47079646</v>
      </c>
      <c r="U113">
        <v>39798421.529203542</v>
      </c>
    </row>
    <row r="114" spans="1:21" x14ac:dyDescent="0.2">
      <c r="A114" t="s">
        <v>159</v>
      </c>
      <c r="B114">
        <v>2</v>
      </c>
      <c r="C114">
        <v>2</v>
      </c>
      <c r="D114">
        <v>0</v>
      </c>
      <c r="E114">
        <v>0</v>
      </c>
      <c r="F114">
        <v>70004</v>
      </c>
      <c r="G114">
        <v>5703.6</v>
      </c>
      <c r="H114">
        <v>64300.4</v>
      </c>
      <c r="I114">
        <v>159</v>
      </c>
      <c r="K114">
        <v>561</v>
      </c>
      <c r="L114">
        <v>990</v>
      </c>
      <c r="M114">
        <v>1</v>
      </c>
      <c r="N114">
        <v>1</v>
      </c>
      <c r="O114">
        <v>0.14399999999999999</v>
      </c>
      <c r="P114" t="s">
        <v>85</v>
      </c>
      <c r="Q114" t="s">
        <v>23</v>
      </c>
      <c r="R114" t="s">
        <v>24</v>
      </c>
      <c r="S114" t="s">
        <v>88</v>
      </c>
      <c r="T114">
        <v>9166665.0240000002</v>
      </c>
      <c r="U114">
        <v>54490730.976000004</v>
      </c>
    </row>
    <row r="115" spans="1:21" x14ac:dyDescent="0.2">
      <c r="A115" t="s">
        <v>160</v>
      </c>
      <c r="B115">
        <v>2</v>
      </c>
      <c r="C115">
        <v>2</v>
      </c>
      <c r="D115">
        <v>0</v>
      </c>
      <c r="E115">
        <v>0</v>
      </c>
      <c r="F115">
        <v>94000</v>
      </c>
      <c r="G115">
        <v>30000</v>
      </c>
      <c r="H115">
        <v>64000</v>
      </c>
      <c r="I115">
        <v>44</v>
      </c>
      <c r="K115">
        <v>421</v>
      </c>
      <c r="L115">
        <v>770.9</v>
      </c>
      <c r="M115">
        <v>1</v>
      </c>
      <c r="N115">
        <v>1</v>
      </c>
      <c r="O115">
        <v>0.14399999999999999</v>
      </c>
      <c r="P115" t="s">
        <v>85</v>
      </c>
      <c r="Q115" t="s">
        <v>23</v>
      </c>
      <c r="R115" t="s">
        <v>24</v>
      </c>
      <c r="S115" t="s">
        <v>88</v>
      </c>
      <c r="T115">
        <v>7104614.3999999994</v>
      </c>
      <c r="U115">
        <v>42232985.600000001</v>
      </c>
    </row>
    <row r="116" spans="1:21" x14ac:dyDescent="0.2">
      <c r="A116" t="s">
        <v>161</v>
      </c>
      <c r="B116">
        <v>1</v>
      </c>
      <c r="C116">
        <v>1</v>
      </c>
      <c r="D116">
        <v>0</v>
      </c>
      <c r="E116">
        <v>0</v>
      </c>
      <c r="F116">
        <v>61600</v>
      </c>
      <c r="G116">
        <v>0</v>
      </c>
      <c r="H116">
        <v>61600</v>
      </c>
      <c r="I116">
        <v>129</v>
      </c>
      <c r="L116">
        <v>1043</v>
      </c>
      <c r="M116">
        <v>1</v>
      </c>
      <c r="N116">
        <v>1</v>
      </c>
      <c r="O116">
        <v>0.22190442477876099</v>
      </c>
      <c r="P116" t="s">
        <v>85</v>
      </c>
      <c r="Q116" t="s">
        <v>23</v>
      </c>
      <c r="R116" t="s">
        <v>24</v>
      </c>
      <c r="S116" t="s">
        <v>88</v>
      </c>
      <c r="T116">
        <v>14257093.00672566</v>
      </c>
      <c r="U116">
        <v>49991706.993274339</v>
      </c>
    </row>
    <row r="117" spans="1:21" x14ac:dyDescent="0.2">
      <c r="A117" t="s">
        <v>162</v>
      </c>
      <c r="B117">
        <v>1</v>
      </c>
      <c r="C117">
        <v>1</v>
      </c>
      <c r="D117">
        <v>0</v>
      </c>
      <c r="E117">
        <v>0</v>
      </c>
      <c r="F117">
        <v>60299.1</v>
      </c>
      <c r="G117">
        <v>2000</v>
      </c>
      <c r="H117">
        <v>58299.1</v>
      </c>
      <c r="I117">
        <v>46</v>
      </c>
      <c r="K117">
        <v>590</v>
      </c>
      <c r="L117">
        <v>990</v>
      </c>
      <c r="M117">
        <v>1</v>
      </c>
      <c r="N117">
        <v>1</v>
      </c>
      <c r="O117">
        <v>0.22190442477876099</v>
      </c>
      <c r="P117" t="s">
        <v>85</v>
      </c>
      <c r="Q117" t="s">
        <v>23</v>
      </c>
      <c r="R117" t="s">
        <v>24</v>
      </c>
      <c r="S117" t="s">
        <v>88</v>
      </c>
      <c r="T117">
        <v>12807459.96811327</v>
      </c>
      <c r="U117">
        <v>44908649.031886727</v>
      </c>
    </row>
    <row r="118" spans="1:21" x14ac:dyDescent="0.2">
      <c r="A118" t="s">
        <v>163</v>
      </c>
      <c r="B118">
        <v>1</v>
      </c>
      <c r="C118">
        <v>1</v>
      </c>
      <c r="D118">
        <v>0</v>
      </c>
      <c r="E118">
        <v>0</v>
      </c>
      <c r="F118">
        <v>58000</v>
      </c>
      <c r="G118">
        <v>0</v>
      </c>
      <c r="H118">
        <v>58000</v>
      </c>
      <c r="I118">
        <v>60</v>
      </c>
      <c r="L118">
        <v>1052</v>
      </c>
      <c r="M118">
        <v>1</v>
      </c>
      <c r="N118">
        <v>1</v>
      </c>
      <c r="O118">
        <v>0.22190442477876099</v>
      </c>
      <c r="P118" t="s">
        <v>85</v>
      </c>
      <c r="Q118" t="s">
        <v>23</v>
      </c>
      <c r="R118" t="s">
        <v>24</v>
      </c>
      <c r="S118" t="s">
        <v>88</v>
      </c>
      <c r="T118">
        <v>13539720.38230088</v>
      </c>
      <c r="U118">
        <v>47476279.617699116</v>
      </c>
    </row>
    <row r="119" spans="1:21" x14ac:dyDescent="0.2">
      <c r="A119" t="s">
        <v>164</v>
      </c>
      <c r="B119">
        <v>1</v>
      </c>
      <c r="C119">
        <v>1</v>
      </c>
      <c r="D119">
        <v>0</v>
      </c>
      <c r="E119">
        <v>0</v>
      </c>
      <c r="F119">
        <v>58000</v>
      </c>
      <c r="G119">
        <v>0</v>
      </c>
      <c r="H119">
        <v>58000</v>
      </c>
      <c r="L119">
        <v>836</v>
      </c>
      <c r="M119">
        <v>1</v>
      </c>
      <c r="N119">
        <v>1</v>
      </c>
      <c r="O119">
        <v>0.22190442477876099</v>
      </c>
      <c r="P119" t="s">
        <v>85</v>
      </c>
      <c r="Q119" t="s">
        <v>23</v>
      </c>
      <c r="R119" t="s">
        <v>24</v>
      </c>
      <c r="S119" t="s">
        <v>88</v>
      </c>
      <c r="T119">
        <v>10759701.748672569</v>
      </c>
      <c r="U119">
        <v>37728298.251327433</v>
      </c>
    </row>
    <row r="120" spans="1:21" x14ac:dyDescent="0.2">
      <c r="A120" t="s">
        <v>165</v>
      </c>
      <c r="B120">
        <v>1</v>
      </c>
      <c r="C120">
        <v>1</v>
      </c>
      <c r="D120">
        <v>0</v>
      </c>
      <c r="E120">
        <v>0</v>
      </c>
      <c r="F120">
        <v>57000</v>
      </c>
      <c r="G120">
        <v>0</v>
      </c>
      <c r="H120">
        <v>57000</v>
      </c>
      <c r="L120">
        <v>871</v>
      </c>
      <c r="M120">
        <v>1</v>
      </c>
      <c r="N120">
        <v>1</v>
      </c>
      <c r="O120">
        <v>0.22190442477876099</v>
      </c>
      <c r="P120" t="s">
        <v>85</v>
      </c>
      <c r="Q120" t="s">
        <v>23</v>
      </c>
      <c r="R120" t="s">
        <v>24</v>
      </c>
      <c r="S120" t="s">
        <v>88</v>
      </c>
      <c r="T120">
        <v>11016888.976991151</v>
      </c>
      <c r="U120">
        <v>38630111.023008853</v>
      </c>
    </row>
    <row r="121" spans="1:21" x14ac:dyDescent="0.2">
      <c r="A121" t="s">
        <v>166</v>
      </c>
      <c r="B121">
        <v>1</v>
      </c>
      <c r="C121">
        <v>1</v>
      </c>
      <c r="D121">
        <v>0</v>
      </c>
      <c r="E121">
        <v>0</v>
      </c>
      <c r="F121">
        <v>92500</v>
      </c>
      <c r="G121">
        <v>37000</v>
      </c>
      <c r="H121">
        <v>55500</v>
      </c>
      <c r="K121">
        <v>447</v>
      </c>
      <c r="L121">
        <v>947</v>
      </c>
      <c r="M121">
        <v>1</v>
      </c>
      <c r="N121">
        <v>1</v>
      </c>
      <c r="O121">
        <v>0.22190442477876099</v>
      </c>
      <c r="P121" t="s">
        <v>85</v>
      </c>
      <c r="Q121" t="s">
        <v>23</v>
      </c>
      <c r="R121" t="s">
        <v>24</v>
      </c>
      <c r="S121" t="s">
        <v>88</v>
      </c>
      <c r="T121">
        <v>11662963.709734511</v>
      </c>
      <c r="U121">
        <v>40895536.290265493</v>
      </c>
    </row>
    <row r="122" spans="1:21" x14ac:dyDescent="0.2">
      <c r="A122" t="s">
        <v>167</v>
      </c>
      <c r="B122">
        <v>1</v>
      </c>
      <c r="C122">
        <v>1</v>
      </c>
      <c r="D122">
        <v>0</v>
      </c>
      <c r="E122">
        <v>0</v>
      </c>
      <c r="F122">
        <v>55000</v>
      </c>
      <c r="G122">
        <v>0</v>
      </c>
      <c r="H122">
        <v>55000</v>
      </c>
      <c r="I122">
        <v>70</v>
      </c>
      <c r="L122">
        <v>814</v>
      </c>
      <c r="M122">
        <v>1</v>
      </c>
      <c r="N122">
        <v>1</v>
      </c>
      <c r="O122">
        <v>0.22190442477876099</v>
      </c>
      <c r="P122" t="s">
        <v>85</v>
      </c>
      <c r="Q122" t="s">
        <v>23</v>
      </c>
      <c r="R122" t="s">
        <v>24</v>
      </c>
      <c r="S122" t="s">
        <v>88</v>
      </c>
      <c r="T122">
        <v>9934661.0973451324</v>
      </c>
      <c r="U122">
        <v>34835338.902654871</v>
      </c>
    </row>
    <row r="123" spans="1:21" x14ac:dyDescent="0.2">
      <c r="A123" t="s">
        <v>168</v>
      </c>
      <c r="B123">
        <v>2</v>
      </c>
      <c r="C123">
        <v>1</v>
      </c>
      <c r="D123">
        <v>0</v>
      </c>
      <c r="E123">
        <v>0</v>
      </c>
      <c r="F123">
        <v>99000</v>
      </c>
      <c r="G123">
        <v>89100</v>
      </c>
      <c r="H123">
        <v>54450</v>
      </c>
      <c r="K123">
        <v>436</v>
      </c>
      <c r="L123">
        <v>582</v>
      </c>
      <c r="M123">
        <v>1</v>
      </c>
      <c r="N123">
        <v>1</v>
      </c>
      <c r="O123">
        <v>0.14399999999999999</v>
      </c>
      <c r="P123" t="s">
        <v>85</v>
      </c>
      <c r="Q123" t="s">
        <v>23</v>
      </c>
      <c r="R123" t="s">
        <v>24</v>
      </c>
      <c r="S123" t="s">
        <v>88</v>
      </c>
      <c r="T123">
        <v>4563345.5999999996</v>
      </c>
      <c r="U123">
        <v>27126554.399999999</v>
      </c>
    </row>
    <row r="124" spans="1:21" x14ac:dyDescent="0.2">
      <c r="A124" t="s">
        <v>169</v>
      </c>
      <c r="B124">
        <v>3</v>
      </c>
      <c r="C124">
        <v>3</v>
      </c>
      <c r="D124">
        <v>0</v>
      </c>
      <c r="E124">
        <v>0</v>
      </c>
      <c r="F124">
        <v>53218.19</v>
      </c>
      <c r="G124">
        <v>0</v>
      </c>
      <c r="H124">
        <v>53218.19</v>
      </c>
      <c r="I124">
        <v>43</v>
      </c>
      <c r="L124">
        <v>1050.222589306401</v>
      </c>
      <c r="M124">
        <v>1</v>
      </c>
      <c r="N124">
        <v>1</v>
      </c>
      <c r="O124">
        <v>0.14399999999999999</v>
      </c>
      <c r="P124" t="s">
        <v>85</v>
      </c>
      <c r="Q124" t="s">
        <v>23</v>
      </c>
      <c r="R124" t="s">
        <v>24</v>
      </c>
      <c r="S124" t="s">
        <v>88</v>
      </c>
      <c r="T124">
        <v>8048296.1231999993</v>
      </c>
      <c r="U124">
        <v>47842649.176799998</v>
      </c>
    </row>
    <row r="125" spans="1:21" x14ac:dyDescent="0.2">
      <c r="A125" t="s">
        <v>170</v>
      </c>
      <c r="B125">
        <v>1</v>
      </c>
      <c r="C125">
        <v>1</v>
      </c>
      <c r="D125">
        <v>0</v>
      </c>
      <c r="E125">
        <v>0</v>
      </c>
      <c r="F125">
        <v>53000</v>
      </c>
      <c r="G125">
        <v>0</v>
      </c>
      <c r="H125">
        <v>53000</v>
      </c>
      <c r="L125">
        <v>869</v>
      </c>
      <c r="M125">
        <v>1</v>
      </c>
      <c r="N125">
        <v>1</v>
      </c>
      <c r="O125">
        <v>0.22190442477876099</v>
      </c>
      <c r="P125" t="s">
        <v>85</v>
      </c>
      <c r="Q125" t="s">
        <v>23</v>
      </c>
      <c r="R125" t="s">
        <v>24</v>
      </c>
      <c r="S125" t="s">
        <v>88</v>
      </c>
      <c r="T125">
        <v>10220252.0920354</v>
      </c>
      <c r="U125">
        <v>35836747.907964602</v>
      </c>
    </row>
    <row r="126" spans="1:21" x14ac:dyDescent="0.2">
      <c r="A126" t="s">
        <v>171</v>
      </c>
      <c r="B126">
        <v>2</v>
      </c>
      <c r="C126">
        <v>1</v>
      </c>
      <c r="D126">
        <v>1</v>
      </c>
      <c r="E126">
        <v>0.5</v>
      </c>
      <c r="F126">
        <v>89309.239999999991</v>
      </c>
      <c r="G126">
        <v>36309.24</v>
      </c>
      <c r="H126">
        <v>53000</v>
      </c>
      <c r="I126">
        <v>542</v>
      </c>
      <c r="J126">
        <v>223</v>
      </c>
      <c r="K126">
        <v>223</v>
      </c>
      <c r="L126">
        <v>746</v>
      </c>
      <c r="M126">
        <v>1</v>
      </c>
      <c r="N126">
        <v>1</v>
      </c>
      <c r="O126">
        <v>0.31199999999999989</v>
      </c>
      <c r="P126" t="s">
        <v>85</v>
      </c>
      <c r="Q126" t="s">
        <v>27</v>
      </c>
      <c r="R126" t="s">
        <v>24</v>
      </c>
      <c r="S126" t="s">
        <v>91</v>
      </c>
      <c r="T126">
        <v>12335856</v>
      </c>
      <c r="U126">
        <v>27202144</v>
      </c>
    </row>
    <row r="127" spans="1:21" x14ac:dyDescent="0.2">
      <c r="A127" t="s">
        <v>172</v>
      </c>
      <c r="B127">
        <v>1</v>
      </c>
      <c r="C127">
        <v>1</v>
      </c>
      <c r="D127">
        <v>0</v>
      </c>
      <c r="E127">
        <v>0</v>
      </c>
      <c r="F127">
        <v>51143</v>
      </c>
      <c r="G127">
        <v>0</v>
      </c>
      <c r="H127">
        <v>51143</v>
      </c>
      <c r="L127">
        <v>1093</v>
      </c>
      <c r="M127">
        <v>1</v>
      </c>
      <c r="N127">
        <v>1</v>
      </c>
      <c r="O127">
        <v>0.22190442477876099</v>
      </c>
      <c r="P127" t="s">
        <v>85</v>
      </c>
      <c r="Q127" t="s">
        <v>23</v>
      </c>
      <c r="R127" t="s">
        <v>24</v>
      </c>
      <c r="S127" t="s">
        <v>88</v>
      </c>
      <c r="T127">
        <v>12404301.790130969</v>
      </c>
      <c r="U127">
        <v>43494997.209869027</v>
      </c>
    </row>
    <row r="128" spans="1:21" x14ac:dyDescent="0.2">
      <c r="A128" t="s">
        <v>173</v>
      </c>
      <c r="B128">
        <v>1</v>
      </c>
      <c r="C128">
        <v>1</v>
      </c>
      <c r="D128">
        <v>0</v>
      </c>
      <c r="E128">
        <v>0</v>
      </c>
      <c r="F128">
        <v>198000</v>
      </c>
      <c r="G128">
        <v>147075</v>
      </c>
      <c r="H128">
        <v>50925</v>
      </c>
      <c r="K128">
        <v>489</v>
      </c>
      <c r="L128">
        <v>912</v>
      </c>
      <c r="M128">
        <v>1</v>
      </c>
      <c r="N128">
        <v>1</v>
      </c>
      <c r="O128">
        <v>0.22190442477876099</v>
      </c>
      <c r="P128" t="s">
        <v>85</v>
      </c>
      <c r="Q128" t="s">
        <v>23</v>
      </c>
      <c r="R128" t="s">
        <v>24</v>
      </c>
      <c r="S128" t="s">
        <v>88</v>
      </c>
      <c r="T128">
        <v>10306040.342654871</v>
      </c>
      <c r="U128">
        <v>36137559.657345131</v>
      </c>
    </row>
    <row r="129" spans="1:21" x14ac:dyDescent="0.2">
      <c r="A129" t="s">
        <v>174</v>
      </c>
      <c r="B129">
        <v>1</v>
      </c>
      <c r="C129">
        <v>1</v>
      </c>
      <c r="D129">
        <v>0</v>
      </c>
      <c r="E129">
        <v>0</v>
      </c>
      <c r="F129">
        <v>98000</v>
      </c>
      <c r="G129">
        <v>48000</v>
      </c>
      <c r="H129">
        <v>50000</v>
      </c>
      <c r="I129">
        <v>286</v>
      </c>
      <c r="K129">
        <v>520</v>
      </c>
      <c r="L129">
        <v>1024</v>
      </c>
      <c r="M129">
        <v>1</v>
      </c>
      <c r="N129">
        <v>1</v>
      </c>
      <c r="O129">
        <v>0.22190442477876099</v>
      </c>
      <c r="P129" t="s">
        <v>85</v>
      </c>
      <c r="Q129" t="s">
        <v>23</v>
      </c>
      <c r="R129" t="s">
        <v>24</v>
      </c>
      <c r="S129" t="s">
        <v>88</v>
      </c>
      <c r="T129">
        <v>11361506.54867257</v>
      </c>
      <c r="U129">
        <v>39838493.451327443</v>
      </c>
    </row>
    <row r="130" spans="1:21" x14ac:dyDescent="0.2">
      <c r="A130" t="s">
        <v>175</v>
      </c>
      <c r="B130">
        <v>1</v>
      </c>
      <c r="C130">
        <v>1</v>
      </c>
      <c r="D130">
        <v>0</v>
      </c>
      <c r="E130">
        <v>0</v>
      </c>
      <c r="F130">
        <v>50000</v>
      </c>
      <c r="G130">
        <v>0</v>
      </c>
      <c r="H130">
        <v>50000</v>
      </c>
      <c r="I130">
        <v>114</v>
      </c>
      <c r="L130">
        <v>906</v>
      </c>
      <c r="M130">
        <v>1</v>
      </c>
      <c r="N130">
        <v>1</v>
      </c>
      <c r="O130">
        <v>0.22190442477876099</v>
      </c>
      <c r="P130" t="s">
        <v>85</v>
      </c>
      <c r="Q130" t="s">
        <v>23</v>
      </c>
      <c r="R130" t="s">
        <v>24</v>
      </c>
      <c r="S130" t="s">
        <v>88</v>
      </c>
      <c r="T130">
        <v>10052270.442477871</v>
      </c>
      <c r="U130">
        <v>35247729.557522133</v>
      </c>
    </row>
    <row r="131" spans="1:21" x14ac:dyDescent="0.2">
      <c r="A131" t="s">
        <v>176</v>
      </c>
      <c r="B131">
        <v>1</v>
      </c>
      <c r="C131">
        <v>1</v>
      </c>
      <c r="D131">
        <v>0</v>
      </c>
      <c r="E131">
        <v>0</v>
      </c>
      <c r="F131">
        <v>50000</v>
      </c>
      <c r="G131">
        <v>0</v>
      </c>
      <c r="H131">
        <v>50000</v>
      </c>
      <c r="I131">
        <v>30</v>
      </c>
      <c r="L131">
        <v>860</v>
      </c>
      <c r="M131">
        <v>1</v>
      </c>
      <c r="N131">
        <v>1</v>
      </c>
      <c r="O131">
        <v>0.22190442477876099</v>
      </c>
      <c r="P131" t="s">
        <v>85</v>
      </c>
      <c r="Q131" t="s">
        <v>23</v>
      </c>
      <c r="R131" t="s">
        <v>24</v>
      </c>
      <c r="S131" t="s">
        <v>88</v>
      </c>
      <c r="T131">
        <v>9541890.2654867247</v>
      </c>
      <c r="U131">
        <v>33458109.734513279</v>
      </c>
    </row>
    <row r="132" spans="1:21" x14ac:dyDescent="0.2">
      <c r="A132" t="s">
        <v>177</v>
      </c>
      <c r="B132">
        <v>1</v>
      </c>
      <c r="C132">
        <v>1</v>
      </c>
      <c r="D132">
        <v>0</v>
      </c>
      <c r="E132">
        <v>0</v>
      </c>
      <c r="F132">
        <v>197457</v>
      </c>
      <c r="G132">
        <v>147457</v>
      </c>
      <c r="H132">
        <v>50000</v>
      </c>
      <c r="K132">
        <v>290</v>
      </c>
      <c r="L132">
        <v>477</v>
      </c>
      <c r="M132">
        <v>1</v>
      </c>
      <c r="N132">
        <v>1</v>
      </c>
      <c r="O132">
        <v>0.22190442477876099</v>
      </c>
      <c r="P132" t="s">
        <v>85</v>
      </c>
      <c r="Q132" t="s">
        <v>23</v>
      </c>
      <c r="R132" t="s">
        <v>24</v>
      </c>
      <c r="S132" t="s">
        <v>88</v>
      </c>
      <c r="T132">
        <v>5292420.5309734512</v>
      </c>
      <c r="U132">
        <v>18557579.469026551</v>
      </c>
    </row>
    <row r="133" spans="1:21" x14ac:dyDescent="0.2">
      <c r="A133" t="s">
        <v>178</v>
      </c>
      <c r="B133">
        <v>3</v>
      </c>
      <c r="C133">
        <v>2</v>
      </c>
      <c r="D133">
        <v>1</v>
      </c>
      <c r="E133">
        <v>0.33333333333333331</v>
      </c>
      <c r="F133">
        <v>138730</v>
      </c>
      <c r="G133">
        <v>89292.5</v>
      </c>
      <c r="H133">
        <v>49437.5</v>
      </c>
      <c r="I133">
        <v>26</v>
      </c>
      <c r="J133">
        <v>33</v>
      </c>
      <c r="K133">
        <v>41</v>
      </c>
      <c r="L133">
        <v>944.34628571428573</v>
      </c>
      <c r="M133">
        <v>1</v>
      </c>
      <c r="N133">
        <v>1</v>
      </c>
      <c r="O133">
        <v>0.25600000000000001</v>
      </c>
      <c r="P133" t="s">
        <v>179</v>
      </c>
      <c r="Q133" t="s">
        <v>34</v>
      </c>
      <c r="R133" t="s">
        <v>24</v>
      </c>
      <c r="S133" t="s">
        <v>180</v>
      </c>
      <c r="T133">
        <v>11951646.592</v>
      </c>
      <c r="U133">
        <v>34734472.908</v>
      </c>
    </row>
    <row r="134" spans="1:21" x14ac:dyDescent="0.2">
      <c r="A134" t="s">
        <v>181</v>
      </c>
      <c r="B134">
        <v>1</v>
      </c>
      <c r="C134">
        <v>1</v>
      </c>
      <c r="D134">
        <v>0</v>
      </c>
      <c r="E134">
        <v>0</v>
      </c>
      <c r="F134">
        <v>48000</v>
      </c>
      <c r="G134">
        <v>0</v>
      </c>
      <c r="H134">
        <v>48000</v>
      </c>
      <c r="I134">
        <v>26</v>
      </c>
      <c r="L134">
        <v>1045</v>
      </c>
      <c r="M134">
        <v>1</v>
      </c>
      <c r="N134">
        <v>1</v>
      </c>
      <c r="O134">
        <v>0.22190442477876099</v>
      </c>
      <c r="P134" t="s">
        <v>179</v>
      </c>
      <c r="Q134" t="s">
        <v>23</v>
      </c>
      <c r="R134" t="s">
        <v>24</v>
      </c>
      <c r="S134" t="s">
        <v>182</v>
      </c>
      <c r="T134">
        <v>11130725.946902649</v>
      </c>
      <c r="U134">
        <v>39029274.053097337</v>
      </c>
    </row>
    <row r="135" spans="1:21" x14ac:dyDescent="0.2">
      <c r="A135" t="s">
        <v>183</v>
      </c>
      <c r="B135">
        <v>1</v>
      </c>
      <c r="C135">
        <v>1</v>
      </c>
      <c r="D135">
        <v>0</v>
      </c>
      <c r="E135">
        <v>0</v>
      </c>
      <c r="F135">
        <v>68000</v>
      </c>
      <c r="G135">
        <v>20000</v>
      </c>
      <c r="H135">
        <v>48000</v>
      </c>
      <c r="K135">
        <v>0</v>
      </c>
      <c r="L135">
        <v>73</v>
      </c>
      <c r="M135">
        <v>0</v>
      </c>
      <c r="N135">
        <v>0</v>
      </c>
      <c r="O135">
        <v>0.41607079646017697</v>
      </c>
      <c r="P135" t="s">
        <v>179</v>
      </c>
      <c r="Q135" t="s">
        <v>23</v>
      </c>
      <c r="R135" t="s">
        <v>63</v>
      </c>
      <c r="S135" t="s">
        <v>184</v>
      </c>
      <c r="T135">
        <v>1457912.0707964599</v>
      </c>
      <c r="U135">
        <v>2046087.9292035401</v>
      </c>
    </row>
    <row r="136" spans="1:21" x14ac:dyDescent="0.2">
      <c r="A136" t="s">
        <v>185</v>
      </c>
      <c r="B136">
        <v>1</v>
      </c>
      <c r="C136">
        <v>1</v>
      </c>
      <c r="D136">
        <v>0</v>
      </c>
      <c r="E136">
        <v>0</v>
      </c>
      <c r="F136">
        <v>46800</v>
      </c>
      <c r="G136">
        <v>0</v>
      </c>
      <c r="H136">
        <v>46800</v>
      </c>
      <c r="L136">
        <v>1033</v>
      </c>
      <c r="M136">
        <v>1</v>
      </c>
      <c r="N136">
        <v>1</v>
      </c>
      <c r="O136">
        <v>0.22190442477876099</v>
      </c>
      <c r="P136" t="s">
        <v>179</v>
      </c>
      <c r="Q136" t="s">
        <v>23</v>
      </c>
      <c r="R136" t="s">
        <v>24</v>
      </c>
      <c r="S136" t="s">
        <v>182</v>
      </c>
      <c r="T136">
        <v>10727836.27327434</v>
      </c>
      <c r="U136">
        <v>37616563.726725668</v>
      </c>
    </row>
    <row r="137" spans="1:21" x14ac:dyDescent="0.2">
      <c r="A137" t="s">
        <v>186</v>
      </c>
      <c r="B137">
        <v>1</v>
      </c>
      <c r="C137">
        <v>1</v>
      </c>
      <c r="D137">
        <v>0</v>
      </c>
      <c r="E137">
        <v>0</v>
      </c>
      <c r="F137">
        <v>48000</v>
      </c>
      <c r="G137">
        <v>2400</v>
      </c>
      <c r="H137">
        <v>45600</v>
      </c>
      <c r="K137">
        <v>526</v>
      </c>
      <c r="L137">
        <v>932</v>
      </c>
      <c r="M137">
        <v>1</v>
      </c>
      <c r="N137">
        <v>1</v>
      </c>
      <c r="O137">
        <v>0.22190442477876099</v>
      </c>
      <c r="P137" t="s">
        <v>179</v>
      </c>
      <c r="Q137" t="s">
        <v>23</v>
      </c>
      <c r="R137" t="s">
        <v>24</v>
      </c>
      <c r="S137" t="s">
        <v>182</v>
      </c>
      <c r="T137">
        <v>9430760.5295575205</v>
      </c>
      <c r="U137">
        <v>33068439.470442481</v>
      </c>
    </row>
    <row r="138" spans="1:21" x14ac:dyDescent="0.2">
      <c r="A138" t="s">
        <v>187</v>
      </c>
      <c r="B138">
        <v>2</v>
      </c>
      <c r="C138">
        <v>1</v>
      </c>
      <c r="D138">
        <v>1</v>
      </c>
      <c r="E138">
        <v>0.5</v>
      </c>
      <c r="F138">
        <v>75000</v>
      </c>
      <c r="G138">
        <v>29500</v>
      </c>
      <c r="H138">
        <v>45500</v>
      </c>
      <c r="J138">
        <v>12</v>
      </c>
      <c r="K138">
        <v>12</v>
      </c>
      <c r="L138">
        <v>101</v>
      </c>
      <c r="M138">
        <v>1</v>
      </c>
      <c r="N138">
        <v>0</v>
      </c>
      <c r="O138">
        <v>0.46800000000000003</v>
      </c>
      <c r="P138" t="s">
        <v>179</v>
      </c>
      <c r="Q138" t="s">
        <v>59</v>
      </c>
      <c r="R138" t="s">
        <v>188</v>
      </c>
      <c r="S138" t="s">
        <v>189</v>
      </c>
      <c r="T138">
        <v>2150694</v>
      </c>
      <c r="U138">
        <v>2444806</v>
      </c>
    </row>
    <row r="139" spans="1:21" x14ac:dyDescent="0.2">
      <c r="A139" t="s">
        <v>190</v>
      </c>
      <c r="B139">
        <v>1</v>
      </c>
      <c r="C139">
        <v>1</v>
      </c>
      <c r="D139">
        <v>0</v>
      </c>
      <c r="E139">
        <v>0</v>
      </c>
      <c r="F139">
        <v>99917.25</v>
      </c>
      <c r="G139">
        <v>54479.6</v>
      </c>
      <c r="H139">
        <v>45437.65</v>
      </c>
      <c r="I139">
        <v>66</v>
      </c>
      <c r="K139">
        <v>896</v>
      </c>
      <c r="L139">
        <v>995</v>
      </c>
      <c r="M139">
        <v>1</v>
      </c>
      <c r="N139">
        <v>1</v>
      </c>
      <c r="O139">
        <v>0.22190442477876099</v>
      </c>
      <c r="P139" t="s">
        <v>179</v>
      </c>
      <c r="Q139" t="s">
        <v>23</v>
      </c>
      <c r="R139" t="s">
        <v>24</v>
      </c>
      <c r="S139" t="s">
        <v>182</v>
      </c>
      <c r="T139">
        <v>10032401.50861593</v>
      </c>
      <c r="U139">
        <v>35178060.241384067</v>
      </c>
    </row>
    <row r="140" spans="1:21" x14ac:dyDescent="0.2">
      <c r="A140" t="s">
        <v>191</v>
      </c>
      <c r="B140">
        <v>1</v>
      </c>
      <c r="C140">
        <v>1</v>
      </c>
      <c r="D140">
        <v>0</v>
      </c>
      <c r="E140">
        <v>0</v>
      </c>
      <c r="F140">
        <v>45000</v>
      </c>
      <c r="G140">
        <v>0</v>
      </c>
      <c r="H140">
        <v>45000</v>
      </c>
      <c r="L140">
        <v>718</v>
      </c>
      <c r="M140">
        <v>1</v>
      </c>
      <c r="N140">
        <v>1</v>
      </c>
      <c r="O140">
        <v>0.22190442477876099</v>
      </c>
      <c r="P140" t="s">
        <v>179</v>
      </c>
      <c r="Q140" t="s">
        <v>23</v>
      </c>
      <c r="R140" t="s">
        <v>24</v>
      </c>
      <c r="S140" t="s">
        <v>182</v>
      </c>
      <c r="T140">
        <v>7169731.9646017691</v>
      </c>
      <c r="U140">
        <v>25140268.03539823</v>
      </c>
    </row>
    <row r="141" spans="1:21" x14ac:dyDescent="0.2">
      <c r="A141" t="s">
        <v>192</v>
      </c>
      <c r="B141">
        <v>1</v>
      </c>
      <c r="C141">
        <v>1</v>
      </c>
      <c r="D141">
        <v>0</v>
      </c>
      <c r="E141">
        <v>0</v>
      </c>
      <c r="F141">
        <v>45000</v>
      </c>
      <c r="G141">
        <v>0</v>
      </c>
      <c r="H141">
        <v>45000</v>
      </c>
      <c r="L141">
        <v>718</v>
      </c>
      <c r="M141">
        <v>1</v>
      </c>
      <c r="N141">
        <v>1</v>
      </c>
      <c r="O141">
        <v>0.22190442477876099</v>
      </c>
      <c r="P141" t="s">
        <v>179</v>
      </c>
      <c r="Q141" t="s">
        <v>23</v>
      </c>
      <c r="R141" t="s">
        <v>24</v>
      </c>
      <c r="S141" t="s">
        <v>182</v>
      </c>
      <c r="T141">
        <v>7169731.9646017691</v>
      </c>
      <c r="U141">
        <v>25140268.03539823</v>
      </c>
    </row>
    <row r="142" spans="1:21" x14ac:dyDescent="0.2">
      <c r="A142" t="s">
        <v>193</v>
      </c>
      <c r="B142">
        <v>3</v>
      </c>
      <c r="C142">
        <v>3</v>
      </c>
      <c r="D142">
        <v>0</v>
      </c>
      <c r="E142">
        <v>0</v>
      </c>
      <c r="F142">
        <v>105155.4</v>
      </c>
      <c r="G142">
        <v>61515.4</v>
      </c>
      <c r="H142">
        <v>43640</v>
      </c>
      <c r="I142">
        <v>49.5</v>
      </c>
      <c r="K142">
        <v>118</v>
      </c>
      <c r="L142">
        <v>816.2660403299725</v>
      </c>
      <c r="M142">
        <v>1</v>
      </c>
      <c r="N142">
        <v>1</v>
      </c>
      <c r="O142">
        <v>0.14399999999999999</v>
      </c>
      <c r="P142" t="s">
        <v>179</v>
      </c>
      <c r="Q142" t="s">
        <v>23</v>
      </c>
      <c r="R142" t="s">
        <v>24</v>
      </c>
      <c r="S142" t="s">
        <v>182</v>
      </c>
      <c r="T142">
        <v>5129546.3999999994</v>
      </c>
      <c r="U142">
        <v>30492303.600000001</v>
      </c>
    </row>
    <row r="143" spans="1:21" x14ac:dyDescent="0.2">
      <c r="A143" t="s">
        <v>194</v>
      </c>
      <c r="B143">
        <v>1</v>
      </c>
      <c r="C143">
        <v>1</v>
      </c>
      <c r="D143">
        <v>0</v>
      </c>
      <c r="E143">
        <v>0</v>
      </c>
      <c r="F143">
        <v>42400</v>
      </c>
      <c r="G143">
        <v>0</v>
      </c>
      <c r="H143">
        <v>42400</v>
      </c>
      <c r="I143">
        <v>67</v>
      </c>
      <c r="L143">
        <v>1002</v>
      </c>
      <c r="M143">
        <v>1</v>
      </c>
      <c r="N143">
        <v>1</v>
      </c>
      <c r="O143">
        <v>0.22190442477876099</v>
      </c>
      <c r="P143" t="s">
        <v>179</v>
      </c>
      <c r="Q143" t="s">
        <v>23</v>
      </c>
      <c r="R143" t="s">
        <v>24</v>
      </c>
      <c r="S143" t="s">
        <v>182</v>
      </c>
      <c r="T143">
        <v>9427565.1058407072</v>
      </c>
      <c r="U143">
        <v>33057234.894159291</v>
      </c>
    </row>
    <row r="144" spans="1:21" x14ac:dyDescent="0.2">
      <c r="A144" t="s">
        <v>195</v>
      </c>
      <c r="B144">
        <v>1</v>
      </c>
      <c r="C144">
        <v>1</v>
      </c>
      <c r="D144">
        <v>0</v>
      </c>
      <c r="E144">
        <v>0</v>
      </c>
      <c r="F144">
        <v>150000</v>
      </c>
      <c r="G144">
        <v>108355.62</v>
      </c>
      <c r="H144">
        <v>41644.379999999997</v>
      </c>
      <c r="I144">
        <v>26</v>
      </c>
      <c r="K144">
        <v>704</v>
      </c>
      <c r="L144">
        <v>985</v>
      </c>
      <c r="M144">
        <v>1</v>
      </c>
      <c r="N144">
        <v>1</v>
      </c>
      <c r="O144">
        <v>0.22190442477876099</v>
      </c>
      <c r="P144" t="s">
        <v>179</v>
      </c>
      <c r="Q144" t="s">
        <v>23</v>
      </c>
      <c r="R144" t="s">
        <v>24</v>
      </c>
      <c r="S144" t="s">
        <v>182</v>
      </c>
      <c r="T144">
        <v>9102456.1063306201</v>
      </c>
      <c r="U144">
        <v>31917258.19366939</v>
      </c>
    </row>
    <row r="145" spans="1:21" x14ac:dyDescent="0.2">
      <c r="A145" t="s">
        <v>196</v>
      </c>
      <c r="B145">
        <v>1</v>
      </c>
      <c r="C145">
        <v>1</v>
      </c>
      <c r="D145">
        <v>0</v>
      </c>
      <c r="E145">
        <v>0</v>
      </c>
      <c r="F145">
        <v>43000</v>
      </c>
      <c r="G145">
        <v>2150</v>
      </c>
      <c r="H145">
        <v>40850</v>
      </c>
      <c r="K145">
        <v>610</v>
      </c>
      <c r="L145">
        <v>716</v>
      </c>
      <c r="M145">
        <v>1</v>
      </c>
      <c r="N145">
        <v>1</v>
      </c>
      <c r="O145">
        <v>0.22190442477876099</v>
      </c>
      <c r="P145" t="s">
        <v>179</v>
      </c>
      <c r="Q145" t="s">
        <v>23</v>
      </c>
      <c r="R145" t="s">
        <v>24</v>
      </c>
      <c r="S145" t="s">
        <v>182</v>
      </c>
      <c r="T145">
        <v>6490393.75858407</v>
      </c>
      <c r="U145">
        <v>22758206.241415929</v>
      </c>
    </row>
    <row r="146" spans="1:21" x14ac:dyDescent="0.2">
      <c r="A146" t="s">
        <v>197</v>
      </c>
      <c r="B146">
        <v>2</v>
      </c>
      <c r="C146">
        <v>1</v>
      </c>
      <c r="D146">
        <v>0</v>
      </c>
      <c r="E146">
        <v>0</v>
      </c>
      <c r="F146">
        <v>25030</v>
      </c>
      <c r="G146">
        <v>89100</v>
      </c>
      <c r="H146">
        <v>40450</v>
      </c>
      <c r="K146">
        <v>214</v>
      </c>
      <c r="L146">
        <v>581</v>
      </c>
      <c r="M146">
        <v>1</v>
      </c>
      <c r="N146">
        <v>1</v>
      </c>
      <c r="O146">
        <v>0.14399999999999999</v>
      </c>
      <c r="P146" t="s">
        <v>179</v>
      </c>
      <c r="Q146" t="s">
        <v>23</v>
      </c>
      <c r="R146" t="s">
        <v>24</v>
      </c>
      <c r="S146" t="s">
        <v>182</v>
      </c>
      <c r="T146">
        <v>3384208.8</v>
      </c>
      <c r="U146">
        <v>20117241.199999999</v>
      </c>
    </row>
    <row r="147" spans="1:21" x14ac:dyDescent="0.2">
      <c r="A147" t="s">
        <v>198</v>
      </c>
      <c r="B147">
        <v>3</v>
      </c>
      <c r="C147">
        <v>1</v>
      </c>
      <c r="D147">
        <v>2</v>
      </c>
      <c r="E147">
        <v>0.66666666666666663</v>
      </c>
      <c r="F147">
        <v>290986.65000000002</v>
      </c>
      <c r="G147">
        <v>305208.89</v>
      </c>
      <c r="H147">
        <v>40000</v>
      </c>
      <c r="I147">
        <v>23</v>
      </c>
      <c r="J147">
        <v>558.5</v>
      </c>
      <c r="K147">
        <v>558.5</v>
      </c>
      <c r="L147">
        <v>1092</v>
      </c>
      <c r="M147">
        <v>1</v>
      </c>
      <c r="N147">
        <v>1</v>
      </c>
      <c r="O147">
        <v>0.36799999999999988</v>
      </c>
      <c r="P147" t="s">
        <v>179</v>
      </c>
      <c r="Q147" t="s">
        <v>27</v>
      </c>
      <c r="R147" t="s">
        <v>24</v>
      </c>
      <c r="S147" t="s">
        <v>199</v>
      </c>
      <c r="T147">
        <v>16074240</v>
      </c>
      <c r="U147">
        <v>27605760</v>
      </c>
    </row>
    <row r="148" spans="1:21" x14ac:dyDescent="0.2">
      <c r="A148" t="s">
        <v>200</v>
      </c>
      <c r="B148">
        <v>1</v>
      </c>
      <c r="C148">
        <v>1</v>
      </c>
      <c r="D148">
        <v>0</v>
      </c>
      <c r="E148">
        <v>0</v>
      </c>
      <c r="F148">
        <v>40000</v>
      </c>
      <c r="G148">
        <v>0</v>
      </c>
      <c r="H148">
        <v>40000</v>
      </c>
      <c r="I148">
        <v>25</v>
      </c>
      <c r="L148">
        <v>998</v>
      </c>
      <c r="M148">
        <v>1</v>
      </c>
      <c r="N148">
        <v>1</v>
      </c>
      <c r="O148">
        <v>0.22190442477876099</v>
      </c>
      <c r="P148" t="s">
        <v>179</v>
      </c>
      <c r="Q148" t="s">
        <v>23</v>
      </c>
      <c r="R148" t="s">
        <v>24</v>
      </c>
      <c r="S148" t="s">
        <v>182</v>
      </c>
      <c r="T148">
        <v>8858424.6371681411</v>
      </c>
      <c r="U148">
        <v>31061575.362831861</v>
      </c>
    </row>
    <row r="149" spans="1:21" x14ac:dyDescent="0.2">
      <c r="A149" t="s">
        <v>201</v>
      </c>
      <c r="B149">
        <v>2</v>
      </c>
      <c r="C149">
        <v>1</v>
      </c>
      <c r="D149">
        <v>1</v>
      </c>
      <c r="E149">
        <v>0.5</v>
      </c>
      <c r="F149">
        <v>98000</v>
      </c>
      <c r="G149">
        <v>58000</v>
      </c>
      <c r="H149">
        <v>40000</v>
      </c>
      <c r="I149">
        <v>323</v>
      </c>
      <c r="J149">
        <v>1</v>
      </c>
      <c r="K149">
        <v>1</v>
      </c>
      <c r="L149">
        <v>931</v>
      </c>
      <c r="M149">
        <v>1</v>
      </c>
      <c r="N149">
        <v>1</v>
      </c>
      <c r="O149">
        <v>0.31199999999999989</v>
      </c>
      <c r="P149" t="s">
        <v>179</v>
      </c>
      <c r="Q149" t="s">
        <v>59</v>
      </c>
      <c r="R149" t="s">
        <v>24</v>
      </c>
      <c r="S149" t="s">
        <v>202</v>
      </c>
      <c r="T149">
        <v>11618880</v>
      </c>
      <c r="U149">
        <v>25621120</v>
      </c>
    </row>
    <row r="150" spans="1:21" x14ac:dyDescent="0.2">
      <c r="A150" t="s">
        <v>203</v>
      </c>
      <c r="B150">
        <v>1</v>
      </c>
      <c r="C150">
        <v>1</v>
      </c>
      <c r="D150">
        <v>0</v>
      </c>
      <c r="E150">
        <v>0</v>
      </c>
      <c r="F150">
        <v>40000</v>
      </c>
      <c r="G150">
        <v>0</v>
      </c>
      <c r="H150">
        <v>40000</v>
      </c>
      <c r="I150">
        <v>24</v>
      </c>
      <c r="L150">
        <v>814</v>
      </c>
      <c r="M150">
        <v>1</v>
      </c>
      <c r="N150">
        <v>1</v>
      </c>
      <c r="O150">
        <v>0.22190442477876099</v>
      </c>
      <c r="P150" t="s">
        <v>179</v>
      </c>
      <c r="Q150" t="s">
        <v>23</v>
      </c>
      <c r="R150" t="s">
        <v>24</v>
      </c>
      <c r="S150" t="s">
        <v>182</v>
      </c>
      <c r="T150">
        <v>7225208.0707964599</v>
      </c>
      <c r="U150">
        <v>25334791.92920354</v>
      </c>
    </row>
    <row r="151" spans="1:21" x14ac:dyDescent="0.2">
      <c r="A151" t="s">
        <v>204</v>
      </c>
      <c r="B151">
        <v>1</v>
      </c>
      <c r="C151">
        <v>1</v>
      </c>
      <c r="D151">
        <v>0</v>
      </c>
      <c r="E151">
        <v>0</v>
      </c>
      <c r="F151">
        <v>41822.339999999997</v>
      </c>
      <c r="G151">
        <v>2091.12</v>
      </c>
      <c r="H151">
        <v>39731.22</v>
      </c>
      <c r="K151">
        <v>458</v>
      </c>
      <c r="L151">
        <v>836</v>
      </c>
      <c r="M151">
        <v>1</v>
      </c>
      <c r="N151">
        <v>1</v>
      </c>
      <c r="O151">
        <v>0.22190442477876099</v>
      </c>
      <c r="P151" t="s">
        <v>179</v>
      </c>
      <c r="Q151" t="s">
        <v>23</v>
      </c>
      <c r="R151" t="s">
        <v>24</v>
      </c>
      <c r="S151" t="s">
        <v>182</v>
      </c>
      <c r="T151">
        <v>7370622.0226016277</v>
      </c>
      <c r="U151">
        <v>25844677.897398371</v>
      </c>
    </row>
    <row r="152" spans="1:21" x14ac:dyDescent="0.2">
      <c r="A152" t="s">
        <v>205</v>
      </c>
      <c r="B152">
        <v>1</v>
      </c>
      <c r="C152">
        <v>1</v>
      </c>
      <c r="D152">
        <v>0</v>
      </c>
      <c r="E152">
        <v>0</v>
      </c>
      <c r="F152">
        <v>38000</v>
      </c>
      <c r="G152">
        <v>0</v>
      </c>
      <c r="H152">
        <v>38000</v>
      </c>
      <c r="I152">
        <v>43</v>
      </c>
      <c r="L152">
        <v>630</v>
      </c>
      <c r="M152">
        <v>1</v>
      </c>
      <c r="N152">
        <v>1</v>
      </c>
      <c r="O152">
        <v>0.22190442477876099</v>
      </c>
      <c r="P152" t="s">
        <v>179</v>
      </c>
      <c r="Q152" t="s">
        <v>23</v>
      </c>
      <c r="R152" t="s">
        <v>24</v>
      </c>
      <c r="S152" t="s">
        <v>182</v>
      </c>
      <c r="T152">
        <v>5312391.9292035392</v>
      </c>
      <c r="U152">
        <v>18627608.07079646</v>
      </c>
    </row>
    <row r="153" spans="1:21" x14ac:dyDescent="0.2">
      <c r="A153" t="s">
        <v>206</v>
      </c>
      <c r="B153">
        <v>1</v>
      </c>
      <c r="C153">
        <v>1</v>
      </c>
      <c r="D153">
        <v>0</v>
      </c>
      <c r="E153">
        <v>0</v>
      </c>
      <c r="F153">
        <v>36500</v>
      </c>
      <c r="G153">
        <v>0</v>
      </c>
      <c r="H153">
        <v>36500</v>
      </c>
      <c r="I153">
        <v>49</v>
      </c>
      <c r="L153">
        <v>744</v>
      </c>
      <c r="M153">
        <v>1</v>
      </c>
      <c r="N153">
        <v>1</v>
      </c>
      <c r="O153">
        <v>0.22190442477876099</v>
      </c>
      <c r="P153" t="s">
        <v>179</v>
      </c>
      <c r="Q153" t="s">
        <v>23</v>
      </c>
      <c r="R153" t="s">
        <v>24</v>
      </c>
      <c r="S153" t="s">
        <v>182</v>
      </c>
      <c r="T153">
        <v>6026036.5592920352</v>
      </c>
      <c r="U153">
        <v>21129963.44070797</v>
      </c>
    </row>
    <row r="154" spans="1:21" x14ac:dyDescent="0.2">
      <c r="A154" t="s">
        <v>207</v>
      </c>
      <c r="B154">
        <v>1</v>
      </c>
      <c r="C154">
        <v>1</v>
      </c>
      <c r="D154">
        <v>0</v>
      </c>
      <c r="E154">
        <v>0</v>
      </c>
      <c r="F154">
        <v>35000</v>
      </c>
      <c r="G154">
        <v>0</v>
      </c>
      <c r="H154">
        <v>35000</v>
      </c>
      <c r="I154">
        <v>39</v>
      </c>
      <c r="L154">
        <v>968</v>
      </c>
      <c r="M154">
        <v>1</v>
      </c>
      <c r="N154">
        <v>1</v>
      </c>
      <c r="O154">
        <v>0.22190442477876099</v>
      </c>
      <c r="P154" t="s">
        <v>179</v>
      </c>
      <c r="Q154" t="s">
        <v>23</v>
      </c>
      <c r="R154" t="s">
        <v>24</v>
      </c>
      <c r="S154" t="s">
        <v>182</v>
      </c>
      <c r="T154">
        <v>7518121.9115044242</v>
      </c>
      <c r="U154">
        <v>26361878.088495571</v>
      </c>
    </row>
    <row r="155" spans="1:21" x14ac:dyDescent="0.2">
      <c r="A155" t="s">
        <v>208</v>
      </c>
      <c r="B155">
        <v>1</v>
      </c>
      <c r="C155">
        <v>1</v>
      </c>
      <c r="D155">
        <v>0</v>
      </c>
      <c r="E155">
        <v>0</v>
      </c>
      <c r="F155">
        <v>35000</v>
      </c>
      <c r="G155">
        <v>0</v>
      </c>
      <c r="H155">
        <v>35000</v>
      </c>
      <c r="L155">
        <v>716</v>
      </c>
      <c r="M155">
        <v>1</v>
      </c>
      <c r="N155">
        <v>1</v>
      </c>
      <c r="O155">
        <v>0.22190442477876099</v>
      </c>
      <c r="P155" t="s">
        <v>179</v>
      </c>
      <c r="Q155" t="s">
        <v>23</v>
      </c>
      <c r="R155" t="s">
        <v>24</v>
      </c>
      <c r="S155" t="s">
        <v>182</v>
      </c>
      <c r="T155">
        <v>5560924.8849557517</v>
      </c>
      <c r="U155">
        <v>19499075.115044251</v>
      </c>
    </row>
    <row r="156" spans="1:21" x14ac:dyDescent="0.2">
      <c r="A156" t="s">
        <v>209</v>
      </c>
      <c r="B156">
        <v>1</v>
      </c>
      <c r="C156">
        <v>1</v>
      </c>
      <c r="D156">
        <v>0</v>
      </c>
      <c r="E156">
        <v>0</v>
      </c>
      <c r="F156">
        <v>38000</v>
      </c>
      <c r="G156">
        <v>3800</v>
      </c>
      <c r="H156">
        <v>34200</v>
      </c>
      <c r="I156">
        <v>118</v>
      </c>
      <c r="K156">
        <v>254</v>
      </c>
      <c r="L156">
        <v>870</v>
      </c>
      <c r="M156">
        <v>1</v>
      </c>
      <c r="N156">
        <v>1</v>
      </c>
      <c r="O156">
        <v>0.22190442477876099</v>
      </c>
      <c r="P156" t="s">
        <v>179</v>
      </c>
      <c r="Q156" t="s">
        <v>23</v>
      </c>
      <c r="R156" t="s">
        <v>24</v>
      </c>
      <c r="S156" t="s">
        <v>182</v>
      </c>
      <c r="T156">
        <v>6602544.2548672557</v>
      </c>
      <c r="U156">
        <v>23151455.745132741</v>
      </c>
    </row>
    <row r="157" spans="1:21" x14ac:dyDescent="0.2">
      <c r="A157" t="s">
        <v>210</v>
      </c>
      <c r="B157">
        <v>1</v>
      </c>
      <c r="C157">
        <v>1</v>
      </c>
      <c r="D157">
        <v>0</v>
      </c>
      <c r="E157">
        <v>0</v>
      </c>
      <c r="F157">
        <v>33000</v>
      </c>
      <c r="G157">
        <v>0</v>
      </c>
      <c r="H157">
        <v>33000</v>
      </c>
      <c r="I157">
        <v>10</v>
      </c>
      <c r="L157">
        <v>1024</v>
      </c>
      <c r="M157">
        <v>1</v>
      </c>
      <c r="N157">
        <v>1</v>
      </c>
      <c r="O157">
        <v>0.22190442477876099</v>
      </c>
      <c r="P157" t="s">
        <v>179</v>
      </c>
      <c r="Q157" t="s">
        <v>23</v>
      </c>
      <c r="R157" t="s">
        <v>24</v>
      </c>
      <c r="S157" t="s">
        <v>182</v>
      </c>
      <c r="T157">
        <v>7498594.3221238935</v>
      </c>
      <c r="U157">
        <v>26293405.677876111</v>
      </c>
    </row>
    <row r="158" spans="1:21" x14ac:dyDescent="0.2">
      <c r="A158" t="s">
        <v>211</v>
      </c>
      <c r="B158">
        <v>5</v>
      </c>
      <c r="C158">
        <v>3</v>
      </c>
      <c r="D158">
        <v>2</v>
      </c>
      <c r="E158">
        <v>0.4</v>
      </c>
      <c r="F158">
        <v>77794</v>
      </c>
      <c r="G158">
        <v>100000</v>
      </c>
      <c r="H158">
        <v>32017</v>
      </c>
      <c r="I158">
        <v>41</v>
      </c>
      <c r="J158">
        <v>424.5</v>
      </c>
      <c r="K158">
        <v>543.5</v>
      </c>
      <c r="L158">
        <v>409.18448011993632</v>
      </c>
      <c r="M158">
        <v>1</v>
      </c>
      <c r="N158">
        <v>1</v>
      </c>
      <c r="O158">
        <v>0.27839999999999998</v>
      </c>
      <c r="P158" t="s">
        <v>179</v>
      </c>
      <c r="Q158" t="s">
        <v>27</v>
      </c>
      <c r="R158" t="s">
        <v>24</v>
      </c>
      <c r="S158" t="s">
        <v>199</v>
      </c>
      <c r="T158">
        <v>3647279.2848</v>
      </c>
      <c r="U158">
        <v>9453580.2151999995</v>
      </c>
    </row>
    <row r="159" spans="1:21" x14ac:dyDescent="0.2">
      <c r="A159" t="s">
        <v>212</v>
      </c>
      <c r="B159">
        <v>1</v>
      </c>
      <c r="C159">
        <v>1</v>
      </c>
      <c r="D159">
        <v>0</v>
      </c>
      <c r="E159">
        <v>0</v>
      </c>
      <c r="F159">
        <v>147852</v>
      </c>
      <c r="G159">
        <v>117852</v>
      </c>
      <c r="H159">
        <v>30000</v>
      </c>
      <c r="I159">
        <v>208</v>
      </c>
      <c r="K159">
        <v>581</v>
      </c>
      <c r="L159">
        <v>949</v>
      </c>
      <c r="M159">
        <v>1</v>
      </c>
      <c r="N159">
        <v>1</v>
      </c>
      <c r="O159">
        <v>0.22190442477876099</v>
      </c>
      <c r="P159" t="s">
        <v>179</v>
      </c>
      <c r="Q159" t="s">
        <v>23</v>
      </c>
      <c r="R159" t="s">
        <v>24</v>
      </c>
      <c r="S159" t="s">
        <v>182</v>
      </c>
      <c r="T159">
        <v>6317618.9734513266</v>
      </c>
      <c r="U159">
        <v>22152381.026548669</v>
      </c>
    </row>
    <row r="160" spans="1:21" x14ac:dyDescent="0.2">
      <c r="A160" t="s">
        <v>213</v>
      </c>
      <c r="B160">
        <v>1</v>
      </c>
      <c r="C160">
        <v>1</v>
      </c>
      <c r="D160">
        <v>0</v>
      </c>
      <c r="E160">
        <v>0</v>
      </c>
      <c r="F160">
        <v>30000</v>
      </c>
      <c r="G160">
        <v>0</v>
      </c>
      <c r="H160">
        <v>30000</v>
      </c>
      <c r="I160">
        <v>334</v>
      </c>
      <c r="L160">
        <v>931</v>
      </c>
      <c r="M160">
        <v>1</v>
      </c>
      <c r="N160">
        <v>1</v>
      </c>
      <c r="O160">
        <v>0.22190442477876099</v>
      </c>
      <c r="P160" t="s">
        <v>179</v>
      </c>
      <c r="Q160" t="s">
        <v>23</v>
      </c>
      <c r="R160" t="s">
        <v>24</v>
      </c>
      <c r="S160" t="s">
        <v>182</v>
      </c>
      <c r="T160">
        <v>6197790.5840707961</v>
      </c>
      <c r="U160">
        <v>21732209.415929209</v>
      </c>
    </row>
    <row r="161" spans="1:21" x14ac:dyDescent="0.2">
      <c r="A161" t="s">
        <v>214</v>
      </c>
      <c r="B161">
        <v>1</v>
      </c>
      <c r="C161">
        <v>1</v>
      </c>
      <c r="D161">
        <v>0</v>
      </c>
      <c r="E161">
        <v>0</v>
      </c>
      <c r="F161">
        <v>281267</v>
      </c>
      <c r="G161">
        <v>253100</v>
      </c>
      <c r="H161">
        <v>28167</v>
      </c>
      <c r="K161">
        <v>154</v>
      </c>
      <c r="L161">
        <v>311</v>
      </c>
      <c r="M161">
        <v>1</v>
      </c>
      <c r="N161">
        <v>1</v>
      </c>
      <c r="O161">
        <v>0.22190442477876099</v>
      </c>
      <c r="P161" t="s">
        <v>179</v>
      </c>
      <c r="Q161" t="s">
        <v>23</v>
      </c>
      <c r="R161" t="s">
        <v>24</v>
      </c>
      <c r="S161" t="s">
        <v>182</v>
      </c>
      <c r="T161">
        <v>1943868.7810831859</v>
      </c>
      <c r="U161">
        <v>6816068.2189168148</v>
      </c>
    </row>
    <row r="162" spans="1:21" x14ac:dyDescent="0.2">
      <c r="A162" t="s">
        <v>215</v>
      </c>
      <c r="B162">
        <v>2</v>
      </c>
      <c r="C162">
        <v>1</v>
      </c>
      <c r="D162">
        <v>1</v>
      </c>
      <c r="E162">
        <v>0.5</v>
      </c>
      <c r="F162">
        <v>51000</v>
      </c>
      <c r="G162">
        <v>24000</v>
      </c>
      <c r="H162">
        <v>27000</v>
      </c>
      <c r="I162">
        <v>65</v>
      </c>
      <c r="J162">
        <v>63</v>
      </c>
      <c r="K162">
        <v>63</v>
      </c>
      <c r="L162">
        <v>990</v>
      </c>
      <c r="M162">
        <v>1</v>
      </c>
      <c r="N162">
        <v>1</v>
      </c>
      <c r="O162">
        <v>0.31199999999999989</v>
      </c>
      <c r="P162" t="s">
        <v>179</v>
      </c>
      <c r="Q162" t="s">
        <v>40</v>
      </c>
      <c r="R162" t="s">
        <v>24</v>
      </c>
      <c r="S162" t="s">
        <v>216</v>
      </c>
      <c r="T162">
        <v>8339759.9999999981</v>
      </c>
      <c r="U162">
        <v>18390240</v>
      </c>
    </row>
    <row r="163" spans="1:21" x14ac:dyDescent="0.2">
      <c r="A163" t="s">
        <v>217</v>
      </c>
      <c r="B163">
        <v>2</v>
      </c>
      <c r="C163">
        <v>1</v>
      </c>
      <c r="D163">
        <v>1</v>
      </c>
      <c r="E163">
        <v>0.5</v>
      </c>
      <c r="F163">
        <v>118500</v>
      </c>
      <c r="G163">
        <v>91500</v>
      </c>
      <c r="H163">
        <v>27000</v>
      </c>
      <c r="I163">
        <v>78</v>
      </c>
      <c r="J163">
        <v>94</v>
      </c>
      <c r="K163">
        <v>403.5</v>
      </c>
      <c r="L163">
        <v>967</v>
      </c>
      <c r="M163">
        <v>1</v>
      </c>
      <c r="N163">
        <v>1</v>
      </c>
      <c r="O163">
        <v>0.31199999999999989</v>
      </c>
      <c r="P163" t="s">
        <v>179</v>
      </c>
      <c r="Q163" t="s">
        <v>27</v>
      </c>
      <c r="R163" t="s">
        <v>24</v>
      </c>
      <c r="S163" t="s">
        <v>199</v>
      </c>
      <c r="T163">
        <v>8146007.9999999981</v>
      </c>
      <c r="U163">
        <v>17962992</v>
      </c>
    </row>
    <row r="164" spans="1:21" x14ac:dyDescent="0.2">
      <c r="A164" t="s">
        <v>218</v>
      </c>
      <c r="B164">
        <v>1</v>
      </c>
      <c r="C164">
        <v>1</v>
      </c>
      <c r="D164">
        <v>0</v>
      </c>
      <c r="E164">
        <v>0</v>
      </c>
      <c r="F164">
        <v>26060</v>
      </c>
      <c r="G164">
        <v>0</v>
      </c>
      <c r="H164">
        <v>26060</v>
      </c>
      <c r="L164">
        <v>809</v>
      </c>
      <c r="M164">
        <v>1</v>
      </c>
      <c r="N164">
        <v>1</v>
      </c>
      <c r="O164">
        <v>0.22190442477876099</v>
      </c>
      <c r="P164" t="s">
        <v>179</v>
      </c>
      <c r="Q164" t="s">
        <v>23</v>
      </c>
      <c r="R164" t="s">
        <v>24</v>
      </c>
      <c r="S164" t="s">
        <v>182</v>
      </c>
      <c r="T164">
        <v>4678308.9115752215</v>
      </c>
      <c r="U164">
        <v>16404231.088424779</v>
      </c>
    </row>
    <row r="165" spans="1:21" x14ac:dyDescent="0.2">
      <c r="A165" t="s">
        <v>219</v>
      </c>
      <c r="B165">
        <v>1</v>
      </c>
      <c r="C165">
        <v>1</v>
      </c>
      <c r="D165">
        <v>0</v>
      </c>
      <c r="E165">
        <v>0</v>
      </c>
      <c r="F165">
        <v>85000</v>
      </c>
      <c r="G165">
        <v>59500</v>
      </c>
      <c r="H165">
        <v>25500</v>
      </c>
      <c r="K165">
        <v>319</v>
      </c>
      <c r="L165">
        <v>907</v>
      </c>
      <c r="M165">
        <v>1</v>
      </c>
      <c r="N165">
        <v>1</v>
      </c>
      <c r="O165">
        <v>0.22190442477876099</v>
      </c>
      <c r="P165" t="s">
        <v>179</v>
      </c>
      <c r="Q165" t="s">
        <v>23</v>
      </c>
      <c r="R165" t="s">
        <v>24</v>
      </c>
      <c r="S165" t="s">
        <v>182</v>
      </c>
      <c r="T165">
        <v>5132316.4884955753</v>
      </c>
      <c r="U165">
        <v>17996183.51150443</v>
      </c>
    </row>
    <row r="166" spans="1:21" x14ac:dyDescent="0.2">
      <c r="A166" t="s">
        <v>220</v>
      </c>
      <c r="B166">
        <v>1</v>
      </c>
      <c r="C166">
        <v>1</v>
      </c>
      <c r="D166">
        <v>0</v>
      </c>
      <c r="E166">
        <v>0</v>
      </c>
      <c r="F166">
        <v>25000</v>
      </c>
      <c r="G166">
        <v>0</v>
      </c>
      <c r="H166">
        <v>25000</v>
      </c>
      <c r="L166">
        <v>1012</v>
      </c>
      <c r="M166">
        <v>1</v>
      </c>
      <c r="N166">
        <v>1</v>
      </c>
      <c r="O166">
        <v>0.22190442477876099</v>
      </c>
      <c r="P166" t="s">
        <v>179</v>
      </c>
      <c r="Q166" t="s">
        <v>23</v>
      </c>
      <c r="R166" t="s">
        <v>24</v>
      </c>
      <c r="S166" t="s">
        <v>182</v>
      </c>
      <c r="T166">
        <v>5614181.9469026541</v>
      </c>
      <c r="U166">
        <v>19685818.053097341</v>
      </c>
    </row>
    <row r="167" spans="1:21" x14ac:dyDescent="0.2">
      <c r="A167" t="s">
        <v>221</v>
      </c>
      <c r="B167">
        <v>1</v>
      </c>
      <c r="C167">
        <v>1</v>
      </c>
      <c r="D167">
        <v>0</v>
      </c>
      <c r="E167">
        <v>0</v>
      </c>
      <c r="F167">
        <v>25000</v>
      </c>
      <c r="G167">
        <v>0</v>
      </c>
      <c r="H167">
        <v>25000</v>
      </c>
      <c r="L167">
        <v>781</v>
      </c>
      <c r="M167">
        <v>1</v>
      </c>
      <c r="N167">
        <v>1</v>
      </c>
      <c r="O167">
        <v>0.22190442477876099</v>
      </c>
      <c r="P167" t="s">
        <v>179</v>
      </c>
      <c r="Q167" t="s">
        <v>23</v>
      </c>
      <c r="R167" t="s">
        <v>24</v>
      </c>
      <c r="S167" t="s">
        <v>182</v>
      </c>
      <c r="T167">
        <v>4332683.8938053092</v>
      </c>
      <c r="U167">
        <v>15192316.10619469</v>
      </c>
    </row>
    <row r="168" spans="1:21" x14ac:dyDescent="0.2">
      <c r="A168" t="s">
        <v>222</v>
      </c>
      <c r="B168">
        <v>3</v>
      </c>
      <c r="C168">
        <v>2</v>
      </c>
      <c r="D168">
        <v>1</v>
      </c>
      <c r="E168">
        <v>0.33333333333333331</v>
      </c>
      <c r="F168">
        <v>24808.87</v>
      </c>
      <c r="G168">
        <v>13952</v>
      </c>
      <c r="H168">
        <v>24805.67</v>
      </c>
      <c r="J168">
        <v>235</v>
      </c>
      <c r="K168">
        <v>692</v>
      </c>
      <c r="L168">
        <v>862</v>
      </c>
      <c r="M168">
        <v>1</v>
      </c>
      <c r="N168">
        <v>1</v>
      </c>
      <c r="O168">
        <v>0.25600000000000001</v>
      </c>
      <c r="P168" t="s">
        <v>179</v>
      </c>
      <c r="Q168" t="s">
        <v>27</v>
      </c>
      <c r="R168" t="s">
        <v>24</v>
      </c>
      <c r="S168" t="s">
        <v>199</v>
      </c>
      <c r="T168">
        <v>5473916.8102399996</v>
      </c>
      <c r="U168">
        <v>15908570.72976</v>
      </c>
    </row>
    <row r="169" spans="1:21" x14ac:dyDescent="0.2">
      <c r="A169" t="s">
        <v>223</v>
      </c>
      <c r="B169">
        <v>1</v>
      </c>
      <c r="C169">
        <v>1</v>
      </c>
      <c r="D169">
        <v>0</v>
      </c>
      <c r="E169">
        <v>0</v>
      </c>
      <c r="F169">
        <v>23000</v>
      </c>
      <c r="G169">
        <v>0</v>
      </c>
      <c r="H169">
        <v>23000</v>
      </c>
      <c r="I169">
        <v>82</v>
      </c>
      <c r="L169">
        <v>1004</v>
      </c>
      <c r="M169">
        <v>1</v>
      </c>
      <c r="N169">
        <v>1</v>
      </c>
      <c r="O169">
        <v>0.22190442477876099</v>
      </c>
      <c r="P169" t="s">
        <v>179</v>
      </c>
      <c r="Q169" t="s">
        <v>23</v>
      </c>
      <c r="R169" t="s">
        <v>24</v>
      </c>
      <c r="S169" t="s">
        <v>182</v>
      </c>
      <c r="T169">
        <v>5124216.9769911496</v>
      </c>
      <c r="U169">
        <v>17967783.023008849</v>
      </c>
    </row>
    <row r="170" spans="1:21" x14ac:dyDescent="0.2">
      <c r="A170" t="s">
        <v>224</v>
      </c>
      <c r="B170">
        <v>1</v>
      </c>
      <c r="C170">
        <v>1</v>
      </c>
      <c r="D170">
        <v>0</v>
      </c>
      <c r="E170">
        <v>0</v>
      </c>
      <c r="F170">
        <v>68000</v>
      </c>
      <c r="G170">
        <v>45000</v>
      </c>
      <c r="H170">
        <v>23000</v>
      </c>
      <c r="K170">
        <v>659</v>
      </c>
      <c r="L170">
        <v>855</v>
      </c>
      <c r="M170">
        <v>1</v>
      </c>
      <c r="N170">
        <v>1</v>
      </c>
      <c r="O170">
        <v>0.22190442477876099</v>
      </c>
      <c r="P170" t="s">
        <v>179</v>
      </c>
      <c r="Q170" t="s">
        <v>23</v>
      </c>
      <c r="R170" t="s">
        <v>24</v>
      </c>
      <c r="S170" t="s">
        <v>182</v>
      </c>
      <c r="T170">
        <v>4363750.5132743362</v>
      </c>
      <c r="U170">
        <v>15301249.48672566</v>
      </c>
    </row>
    <row r="171" spans="1:21" x14ac:dyDescent="0.2">
      <c r="A171" t="s">
        <v>225</v>
      </c>
      <c r="B171">
        <v>3</v>
      </c>
      <c r="C171">
        <v>1</v>
      </c>
      <c r="D171">
        <v>2</v>
      </c>
      <c r="E171">
        <v>0.66666666666666663</v>
      </c>
      <c r="F171">
        <v>139000</v>
      </c>
      <c r="G171">
        <v>116250</v>
      </c>
      <c r="H171">
        <v>22750</v>
      </c>
      <c r="I171">
        <v>57</v>
      </c>
      <c r="J171">
        <v>712.5</v>
      </c>
      <c r="K171">
        <v>685</v>
      </c>
      <c r="L171">
        <v>1016</v>
      </c>
      <c r="M171">
        <v>1</v>
      </c>
      <c r="N171">
        <v>1</v>
      </c>
      <c r="O171">
        <v>0.36799999999999988</v>
      </c>
      <c r="P171" t="s">
        <v>179</v>
      </c>
      <c r="Q171" t="s">
        <v>27</v>
      </c>
      <c r="R171" t="s">
        <v>24</v>
      </c>
      <c r="S171" t="s">
        <v>199</v>
      </c>
      <c r="T171">
        <v>8505951.9999999981</v>
      </c>
      <c r="U171">
        <v>14608048</v>
      </c>
    </row>
    <row r="172" spans="1:21" x14ac:dyDescent="0.2">
      <c r="A172" t="s">
        <v>226</v>
      </c>
      <c r="B172">
        <v>1</v>
      </c>
      <c r="C172">
        <v>1</v>
      </c>
      <c r="D172">
        <v>0</v>
      </c>
      <c r="E172">
        <v>0</v>
      </c>
      <c r="F172">
        <v>132000</v>
      </c>
      <c r="G172">
        <v>110340.82</v>
      </c>
      <c r="H172">
        <v>21659.179999999989</v>
      </c>
      <c r="I172">
        <v>837</v>
      </c>
      <c r="K172">
        <v>261</v>
      </c>
      <c r="L172">
        <v>602</v>
      </c>
      <c r="M172">
        <v>1</v>
      </c>
      <c r="N172">
        <v>1</v>
      </c>
      <c r="O172">
        <v>0.22190442477876099</v>
      </c>
      <c r="P172" t="s">
        <v>179</v>
      </c>
      <c r="Q172" t="s">
        <v>23</v>
      </c>
      <c r="R172" t="s">
        <v>24</v>
      </c>
      <c r="S172" t="s">
        <v>182</v>
      </c>
      <c r="T172">
        <v>2893373.263205945</v>
      </c>
      <c r="U172">
        <v>10145453.09679405</v>
      </c>
    </row>
    <row r="173" spans="1:21" x14ac:dyDescent="0.2">
      <c r="A173" t="s">
        <v>227</v>
      </c>
      <c r="B173">
        <v>2</v>
      </c>
      <c r="C173">
        <v>1</v>
      </c>
      <c r="D173">
        <v>1</v>
      </c>
      <c r="E173">
        <v>0.5</v>
      </c>
      <c r="F173">
        <v>439344</v>
      </c>
      <c r="G173">
        <v>417874</v>
      </c>
      <c r="H173">
        <v>21470</v>
      </c>
      <c r="J173">
        <v>15</v>
      </c>
      <c r="K173">
        <v>16</v>
      </c>
      <c r="L173">
        <v>278</v>
      </c>
      <c r="M173">
        <v>1</v>
      </c>
      <c r="N173">
        <v>1</v>
      </c>
      <c r="O173">
        <v>0.31199999999999989</v>
      </c>
      <c r="P173" t="s">
        <v>179</v>
      </c>
      <c r="Q173" t="s">
        <v>59</v>
      </c>
      <c r="R173" t="s">
        <v>24</v>
      </c>
      <c r="S173" t="s">
        <v>202</v>
      </c>
      <c r="T173">
        <v>1862221.92</v>
      </c>
      <c r="U173">
        <v>4106438.080000001</v>
      </c>
    </row>
    <row r="174" spans="1:21" x14ac:dyDescent="0.2">
      <c r="A174" t="s">
        <v>228</v>
      </c>
      <c r="B174">
        <v>1</v>
      </c>
      <c r="C174">
        <v>1</v>
      </c>
      <c r="D174">
        <v>0</v>
      </c>
      <c r="E174">
        <v>0</v>
      </c>
      <c r="F174">
        <v>21320</v>
      </c>
      <c r="G174">
        <v>0</v>
      </c>
      <c r="H174">
        <v>21320</v>
      </c>
      <c r="L174">
        <v>843</v>
      </c>
      <c r="M174">
        <v>1</v>
      </c>
      <c r="N174">
        <v>1</v>
      </c>
      <c r="O174">
        <v>0.22190442477876099</v>
      </c>
      <c r="P174" t="s">
        <v>179</v>
      </c>
      <c r="Q174" t="s">
        <v>23</v>
      </c>
      <c r="R174" t="s">
        <v>24</v>
      </c>
      <c r="S174" t="s">
        <v>182</v>
      </c>
      <c r="T174">
        <v>3988234.969486726</v>
      </c>
      <c r="U174">
        <v>13984525.030513279</v>
      </c>
    </row>
    <row r="175" spans="1:21" x14ac:dyDescent="0.2">
      <c r="A175" t="s">
        <v>229</v>
      </c>
      <c r="B175">
        <v>1</v>
      </c>
      <c r="C175">
        <v>1</v>
      </c>
      <c r="D175">
        <v>0</v>
      </c>
      <c r="E175">
        <v>0</v>
      </c>
      <c r="F175">
        <v>696000</v>
      </c>
      <c r="G175">
        <v>674720</v>
      </c>
      <c r="H175">
        <v>21280</v>
      </c>
      <c r="K175">
        <v>56</v>
      </c>
      <c r="L175">
        <v>459</v>
      </c>
      <c r="M175">
        <v>1</v>
      </c>
      <c r="N175">
        <v>1</v>
      </c>
      <c r="O175">
        <v>0.22190442477876099</v>
      </c>
      <c r="P175" t="s">
        <v>179</v>
      </c>
      <c r="Q175" t="s">
        <v>23</v>
      </c>
      <c r="R175" t="s">
        <v>24</v>
      </c>
      <c r="S175" t="s">
        <v>182</v>
      </c>
      <c r="T175">
        <v>2167455.9071150441</v>
      </c>
      <c r="U175">
        <v>7600064.0928849559</v>
      </c>
    </row>
    <row r="176" spans="1:21" x14ac:dyDescent="0.2">
      <c r="A176" t="s">
        <v>230</v>
      </c>
      <c r="B176">
        <v>2</v>
      </c>
      <c r="C176">
        <v>1</v>
      </c>
      <c r="D176">
        <v>1</v>
      </c>
      <c r="E176">
        <v>0.5</v>
      </c>
      <c r="F176">
        <v>45800</v>
      </c>
      <c r="G176">
        <v>25800</v>
      </c>
      <c r="H176">
        <v>20000</v>
      </c>
      <c r="I176">
        <v>46</v>
      </c>
      <c r="J176">
        <v>503</v>
      </c>
      <c r="K176">
        <v>503</v>
      </c>
      <c r="L176">
        <v>899</v>
      </c>
      <c r="M176">
        <v>1</v>
      </c>
      <c r="N176">
        <v>1</v>
      </c>
      <c r="O176">
        <v>0.31199999999999989</v>
      </c>
      <c r="P176" t="s">
        <v>179</v>
      </c>
      <c r="Q176" t="s">
        <v>27</v>
      </c>
      <c r="R176" t="s">
        <v>24</v>
      </c>
      <c r="S176" t="s">
        <v>199</v>
      </c>
      <c r="T176">
        <v>5609759.9999999991</v>
      </c>
      <c r="U176">
        <v>12370240</v>
      </c>
    </row>
    <row r="177" spans="1:21" x14ac:dyDescent="0.2">
      <c r="A177" t="s">
        <v>231</v>
      </c>
      <c r="B177">
        <v>1</v>
      </c>
      <c r="C177">
        <v>1</v>
      </c>
      <c r="D177">
        <v>0</v>
      </c>
      <c r="E177">
        <v>0</v>
      </c>
      <c r="F177">
        <v>20000</v>
      </c>
      <c r="G177">
        <v>0</v>
      </c>
      <c r="H177">
        <v>20000</v>
      </c>
      <c r="L177">
        <v>827</v>
      </c>
      <c r="M177">
        <v>1</v>
      </c>
      <c r="N177">
        <v>1</v>
      </c>
      <c r="O177">
        <v>0.22190442477876099</v>
      </c>
      <c r="P177" t="s">
        <v>179</v>
      </c>
      <c r="Q177" t="s">
        <v>23</v>
      </c>
      <c r="R177" t="s">
        <v>24</v>
      </c>
      <c r="S177" t="s">
        <v>182</v>
      </c>
      <c r="T177">
        <v>3670299.1858407082</v>
      </c>
      <c r="U177">
        <v>12869700.814159291</v>
      </c>
    </row>
    <row r="178" spans="1:21" x14ac:dyDescent="0.2">
      <c r="A178" t="s">
        <v>232</v>
      </c>
      <c r="B178">
        <v>6</v>
      </c>
      <c r="C178">
        <v>2</v>
      </c>
      <c r="D178">
        <v>4</v>
      </c>
      <c r="E178">
        <v>0.66666666666666663</v>
      </c>
      <c r="F178">
        <v>180886.8</v>
      </c>
      <c r="G178">
        <v>164083.44</v>
      </c>
      <c r="H178">
        <v>19200</v>
      </c>
      <c r="I178">
        <v>245</v>
      </c>
      <c r="J178">
        <v>294.5</v>
      </c>
      <c r="K178">
        <v>250</v>
      </c>
      <c r="L178">
        <v>774.5</v>
      </c>
      <c r="M178">
        <v>1</v>
      </c>
      <c r="N178">
        <v>1</v>
      </c>
      <c r="O178">
        <v>0.36799999999999988</v>
      </c>
      <c r="P178" t="s">
        <v>179</v>
      </c>
      <c r="Q178" t="s">
        <v>27</v>
      </c>
      <c r="R178" t="s">
        <v>24</v>
      </c>
      <c r="S178" t="s">
        <v>199</v>
      </c>
      <c r="T178">
        <v>5472307.1999999993</v>
      </c>
      <c r="U178">
        <v>9398092.8000000026</v>
      </c>
    </row>
    <row r="179" spans="1:21" x14ac:dyDescent="0.2">
      <c r="A179" t="s">
        <v>233</v>
      </c>
      <c r="B179">
        <v>1</v>
      </c>
      <c r="C179">
        <v>1</v>
      </c>
      <c r="D179">
        <v>0</v>
      </c>
      <c r="E179">
        <v>0</v>
      </c>
      <c r="F179">
        <v>55600</v>
      </c>
      <c r="G179">
        <v>36400</v>
      </c>
      <c r="H179">
        <v>19200</v>
      </c>
      <c r="K179">
        <v>384</v>
      </c>
      <c r="L179">
        <v>576</v>
      </c>
      <c r="M179">
        <v>1</v>
      </c>
      <c r="N179">
        <v>1</v>
      </c>
      <c r="O179">
        <v>0.22190442477876099</v>
      </c>
      <c r="P179" t="s">
        <v>179</v>
      </c>
      <c r="Q179" t="s">
        <v>23</v>
      </c>
      <c r="R179" t="s">
        <v>24</v>
      </c>
      <c r="S179" t="s">
        <v>182</v>
      </c>
      <c r="T179">
        <v>2454085.4145132741</v>
      </c>
      <c r="U179">
        <v>8605114.585486725</v>
      </c>
    </row>
    <row r="180" spans="1:21" x14ac:dyDescent="0.2">
      <c r="A180" t="s">
        <v>234</v>
      </c>
      <c r="B180">
        <v>2</v>
      </c>
      <c r="C180">
        <v>2</v>
      </c>
      <c r="D180">
        <v>0</v>
      </c>
      <c r="E180">
        <v>0</v>
      </c>
      <c r="F180">
        <v>186000</v>
      </c>
      <c r="G180">
        <v>167400</v>
      </c>
      <c r="H180">
        <v>18600</v>
      </c>
      <c r="K180">
        <v>71.5</v>
      </c>
      <c r="L180">
        <v>238.7741935483871</v>
      </c>
      <c r="M180">
        <v>1</v>
      </c>
      <c r="N180">
        <v>0.58064516129032262</v>
      </c>
      <c r="O180">
        <v>0.14399999999999999</v>
      </c>
      <c r="P180" t="s">
        <v>179</v>
      </c>
      <c r="Q180" t="s">
        <v>23</v>
      </c>
      <c r="R180" t="s">
        <v>24</v>
      </c>
      <c r="S180" t="s">
        <v>182</v>
      </c>
      <c r="T180">
        <v>639532.79999999993</v>
      </c>
      <c r="U180">
        <v>3801667.2</v>
      </c>
    </row>
    <row r="181" spans="1:21" x14ac:dyDescent="0.2">
      <c r="A181" t="s">
        <v>235</v>
      </c>
      <c r="B181">
        <v>1</v>
      </c>
      <c r="C181">
        <v>1</v>
      </c>
      <c r="D181">
        <v>0</v>
      </c>
      <c r="E181">
        <v>0</v>
      </c>
      <c r="F181">
        <v>180000</v>
      </c>
      <c r="G181">
        <v>162000</v>
      </c>
      <c r="H181">
        <v>18000</v>
      </c>
      <c r="K181">
        <v>117</v>
      </c>
      <c r="L181">
        <v>250</v>
      </c>
      <c r="M181">
        <v>1</v>
      </c>
      <c r="N181">
        <v>1</v>
      </c>
      <c r="O181">
        <v>0.22190442477876099</v>
      </c>
      <c r="P181" t="s">
        <v>179</v>
      </c>
      <c r="Q181" t="s">
        <v>23</v>
      </c>
      <c r="R181" t="s">
        <v>24</v>
      </c>
      <c r="S181" t="s">
        <v>182</v>
      </c>
      <c r="T181">
        <v>998569.91150442464</v>
      </c>
      <c r="U181">
        <v>3501430.0884955749</v>
      </c>
    </row>
    <row r="182" spans="1:21" x14ac:dyDescent="0.2">
      <c r="A182" t="s">
        <v>236</v>
      </c>
      <c r="B182">
        <v>1</v>
      </c>
      <c r="C182">
        <v>1</v>
      </c>
      <c r="D182">
        <v>0</v>
      </c>
      <c r="E182">
        <v>0</v>
      </c>
      <c r="F182">
        <v>17550</v>
      </c>
      <c r="G182">
        <v>0</v>
      </c>
      <c r="H182">
        <v>17550</v>
      </c>
      <c r="I182">
        <v>36</v>
      </c>
      <c r="L182">
        <v>1045</v>
      </c>
      <c r="M182">
        <v>1</v>
      </c>
      <c r="N182">
        <v>1</v>
      </c>
      <c r="O182">
        <v>0.22190442477876099</v>
      </c>
      <c r="P182" t="s">
        <v>179</v>
      </c>
      <c r="Q182" t="s">
        <v>23</v>
      </c>
      <c r="R182" t="s">
        <v>24</v>
      </c>
      <c r="S182" t="s">
        <v>182</v>
      </c>
      <c r="T182">
        <v>4069671.674336283</v>
      </c>
      <c r="U182">
        <v>14270078.325663719</v>
      </c>
    </row>
    <row r="183" spans="1:21" x14ac:dyDescent="0.2">
      <c r="A183" t="s">
        <v>237</v>
      </c>
      <c r="B183">
        <v>4</v>
      </c>
      <c r="C183">
        <v>3</v>
      </c>
      <c r="D183">
        <v>1</v>
      </c>
      <c r="E183">
        <v>0.25</v>
      </c>
      <c r="F183">
        <v>142552.21</v>
      </c>
      <c r="G183">
        <v>125500</v>
      </c>
      <c r="H183">
        <v>17052.21</v>
      </c>
      <c r="I183">
        <v>169</v>
      </c>
      <c r="J183">
        <v>40</v>
      </c>
      <c r="K183">
        <v>39.5</v>
      </c>
      <c r="L183">
        <v>739.86421349490774</v>
      </c>
      <c r="M183">
        <v>1</v>
      </c>
      <c r="N183">
        <v>1</v>
      </c>
      <c r="O183">
        <v>0.22800000000000001</v>
      </c>
      <c r="P183" t="s">
        <v>179</v>
      </c>
      <c r="Q183" t="s">
        <v>34</v>
      </c>
      <c r="R183" t="s">
        <v>24</v>
      </c>
      <c r="S183" t="s">
        <v>180</v>
      </c>
      <c r="T183">
        <v>2876520.9463200001</v>
      </c>
      <c r="U183">
        <v>9739798.9936800003</v>
      </c>
    </row>
    <row r="184" spans="1:21" x14ac:dyDescent="0.2">
      <c r="A184" t="s">
        <v>238</v>
      </c>
      <c r="B184">
        <v>1</v>
      </c>
      <c r="C184">
        <v>1</v>
      </c>
      <c r="D184">
        <v>0</v>
      </c>
      <c r="E184">
        <v>0</v>
      </c>
      <c r="F184">
        <v>56000</v>
      </c>
      <c r="G184">
        <v>39700</v>
      </c>
      <c r="H184">
        <v>16300</v>
      </c>
      <c r="K184">
        <v>270</v>
      </c>
      <c r="L184">
        <v>518</v>
      </c>
      <c r="M184">
        <v>1</v>
      </c>
      <c r="N184">
        <v>1</v>
      </c>
      <c r="O184">
        <v>0.22190442477876099</v>
      </c>
      <c r="P184" t="s">
        <v>179</v>
      </c>
      <c r="Q184" t="s">
        <v>23</v>
      </c>
      <c r="R184" t="s">
        <v>24</v>
      </c>
      <c r="S184" t="s">
        <v>182</v>
      </c>
      <c r="T184">
        <v>1873627.8201769909</v>
      </c>
      <c r="U184">
        <v>6569772.1798230093</v>
      </c>
    </row>
    <row r="185" spans="1:21" x14ac:dyDescent="0.2">
      <c r="A185" t="s">
        <v>239</v>
      </c>
      <c r="B185">
        <v>1</v>
      </c>
      <c r="C185">
        <v>1</v>
      </c>
      <c r="D185">
        <v>0</v>
      </c>
      <c r="E185">
        <v>0</v>
      </c>
      <c r="F185">
        <v>16000</v>
      </c>
      <c r="G185">
        <v>0</v>
      </c>
      <c r="H185">
        <v>16000</v>
      </c>
      <c r="I185">
        <v>386</v>
      </c>
      <c r="L185">
        <v>860</v>
      </c>
      <c r="M185">
        <v>1</v>
      </c>
      <c r="N185">
        <v>1</v>
      </c>
      <c r="O185">
        <v>0.22190442477876099</v>
      </c>
      <c r="P185" t="s">
        <v>179</v>
      </c>
      <c r="Q185" t="s">
        <v>23</v>
      </c>
      <c r="R185" t="s">
        <v>24</v>
      </c>
      <c r="S185" t="s">
        <v>182</v>
      </c>
      <c r="T185">
        <v>3053404.8849557522</v>
      </c>
      <c r="U185">
        <v>10706595.115044249</v>
      </c>
    </row>
    <row r="186" spans="1:21" x14ac:dyDescent="0.2">
      <c r="A186" t="s">
        <v>240</v>
      </c>
      <c r="B186">
        <v>2</v>
      </c>
      <c r="C186">
        <v>2</v>
      </c>
      <c r="D186">
        <v>0</v>
      </c>
      <c r="E186">
        <v>0</v>
      </c>
      <c r="F186">
        <v>159200</v>
      </c>
      <c r="G186">
        <v>143280</v>
      </c>
      <c r="H186">
        <v>15920</v>
      </c>
      <c r="K186">
        <v>95</v>
      </c>
      <c r="L186">
        <v>718</v>
      </c>
      <c r="M186">
        <v>1</v>
      </c>
      <c r="N186">
        <v>1</v>
      </c>
      <c r="O186">
        <v>0.14399999999999999</v>
      </c>
      <c r="P186" t="s">
        <v>179</v>
      </c>
      <c r="Q186" t="s">
        <v>23</v>
      </c>
      <c r="R186" t="s">
        <v>24</v>
      </c>
      <c r="S186" t="s">
        <v>182</v>
      </c>
      <c r="T186">
        <v>1646000.64</v>
      </c>
      <c r="U186">
        <v>9784559.3599999994</v>
      </c>
    </row>
    <row r="187" spans="1:21" x14ac:dyDescent="0.2">
      <c r="A187" t="s">
        <v>241</v>
      </c>
      <c r="B187">
        <v>1</v>
      </c>
      <c r="C187">
        <v>1</v>
      </c>
      <c r="D187">
        <v>0</v>
      </c>
      <c r="E187">
        <v>0</v>
      </c>
      <c r="F187">
        <v>14000</v>
      </c>
      <c r="G187">
        <v>0</v>
      </c>
      <c r="H187">
        <v>14000</v>
      </c>
      <c r="I187">
        <v>32</v>
      </c>
      <c r="L187">
        <v>1049</v>
      </c>
      <c r="M187">
        <v>1</v>
      </c>
      <c r="N187">
        <v>1</v>
      </c>
      <c r="O187">
        <v>0.22190442477876099</v>
      </c>
      <c r="P187" t="s">
        <v>179</v>
      </c>
      <c r="Q187" t="s">
        <v>23</v>
      </c>
      <c r="R187" t="s">
        <v>24</v>
      </c>
      <c r="S187" t="s">
        <v>182</v>
      </c>
      <c r="T187">
        <v>3258888.3823008849</v>
      </c>
      <c r="U187">
        <v>11427111.617699111</v>
      </c>
    </row>
    <row r="188" spans="1:21" x14ac:dyDescent="0.2">
      <c r="A188" t="s">
        <v>242</v>
      </c>
      <c r="B188">
        <v>1</v>
      </c>
      <c r="C188">
        <v>1</v>
      </c>
      <c r="D188">
        <v>0</v>
      </c>
      <c r="E188">
        <v>0</v>
      </c>
      <c r="F188">
        <v>33000</v>
      </c>
      <c r="G188">
        <v>19800</v>
      </c>
      <c r="H188">
        <v>13200</v>
      </c>
      <c r="K188">
        <v>105</v>
      </c>
      <c r="L188">
        <v>177</v>
      </c>
      <c r="M188">
        <v>1</v>
      </c>
      <c r="N188">
        <v>0</v>
      </c>
      <c r="O188">
        <v>0.33285663716814162</v>
      </c>
      <c r="P188" t="s">
        <v>179</v>
      </c>
      <c r="Q188" t="s">
        <v>23</v>
      </c>
      <c r="R188" t="s">
        <v>188</v>
      </c>
      <c r="S188" t="s">
        <v>243</v>
      </c>
      <c r="T188">
        <v>777686.2470796461</v>
      </c>
      <c r="U188">
        <v>1558713.752920354</v>
      </c>
    </row>
    <row r="189" spans="1:21" x14ac:dyDescent="0.2">
      <c r="A189" t="s">
        <v>244</v>
      </c>
      <c r="B189">
        <v>1</v>
      </c>
      <c r="C189">
        <v>1</v>
      </c>
      <c r="D189">
        <v>0</v>
      </c>
      <c r="E189">
        <v>0</v>
      </c>
      <c r="F189">
        <v>13000</v>
      </c>
      <c r="G189">
        <v>0</v>
      </c>
      <c r="H189">
        <v>13000</v>
      </c>
      <c r="I189">
        <v>775</v>
      </c>
      <c r="L189">
        <v>920</v>
      </c>
      <c r="M189">
        <v>1</v>
      </c>
      <c r="N189">
        <v>1</v>
      </c>
      <c r="O189">
        <v>0.22190442477876099</v>
      </c>
      <c r="P189" t="s">
        <v>179</v>
      </c>
      <c r="Q189" t="s">
        <v>23</v>
      </c>
      <c r="R189" t="s">
        <v>24</v>
      </c>
      <c r="S189" t="s">
        <v>182</v>
      </c>
      <c r="T189">
        <v>2653976.9203539821</v>
      </c>
      <c r="U189">
        <v>9306023.0796460174</v>
      </c>
    </row>
    <row r="190" spans="1:21" x14ac:dyDescent="0.2">
      <c r="A190" t="s">
        <v>245</v>
      </c>
      <c r="B190">
        <v>1</v>
      </c>
      <c r="C190">
        <v>1</v>
      </c>
      <c r="D190">
        <v>0</v>
      </c>
      <c r="E190">
        <v>0</v>
      </c>
      <c r="F190">
        <v>13000</v>
      </c>
      <c r="G190">
        <v>0</v>
      </c>
      <c r="H190">
        <v>13000</v>
      </c>
      <c r="I190">
        <v>20</v>
      </c>
      <c r="L190">
        <v>813</v>
      </c>
      <c r="M190">
        <v>1</v>
      </c>
      <c r="N190">
        <v>1</v>
      </c>
      <c r="O190">
        <v>0.22190442477876099</v>
      </c>
      <c r="P190" t="s">
        <v>179</v>
      </c>
      <c r="Q190" t="s">
        <v>23</v>
      </c>
      <c r="R190" t="s">
        <v>24</v>
      </c>
      <c r="S190" t="s">
        <v>182</v>
      </c>
      <c r="T190">
        <v>2345307.8654867262</v>
      </c>
      <c r="U190">
        <v>8223692.1345132748</v>
      </c>
    </row>
    <row r="191" spans="1:21" x14ac:dyDescent="0.2">
      <c r="A191" t="s">
        <v>246</v>
      </c>
      <c r="B191">
        <v>1</v>
      </c>
      <c r="C191">
        <v>1</v>
      </c>
      <c r="D191">
        <v>0</v>
      </c>
      <c r="E191">
        <v>0</v>
      </c>
      <c r="F191">
        <v>13000</v>
      </c>
      <c r="G191">
        <v>650</v>
      </c>
      <c r="H191">
        <v>12350</v>
      </c>
      <c r="I191">
        <v>91</v>
      </c>
      <c r="K191">
        <v>793</v>
      </c>
      <c r="L191">
        <v>963</v>
      </c>
      <c r="M191">
        <v>1</v>
      </c>
      <c r="N191">
        <v>1</v>
      </c>
      <c r="O191">
        <v>0.22190442477876099</v>
      </c>
      <c r="P191" t="s">
        <v>179</v>
      </c>
      <c r="Q191" t="s">
        <v>23</v>
      </c>
      <c r="R191" t="s">
        <v>24</v>
      </c>
      <c r="S191" t="s">
        <v>182</v>
      </c>
      <c r="T191">
        <v>2639120.4191150442</v>
      </c>
      <c r="U191">
        <v>9253929.5808849558</v>
      </c>
    </row>
    <row r="192" spans="1:21" x14ac:dyDescent="0.2">
      <c r="A192" t="s">
        <v>247</v>
      </c>
      <c r="B192">
        <v>3</v>
      </c>
      <c r="C192">
        <v>2</v>
      </c>
      <c r="D192">
        <v>1</v>
      </c>
      <c r="E192">
        <v>0.33333333333333331</v>
      </c>
      <c r="F192">
        <v>209000</v>
      </c>
      <c r="G192">
        <v>197000</v>
      </c>
      <c r="H192">
        <v>12000</v>
      </c>
      <c r="J192">
        <v>401</v>
      </c>
      <c r="K192">
        <v>7</v>
      </c>
      <c r="L192">
        <v>36</v>
      </c>
      <c r="M192">
        <v>0</v>
      </c>
      <c r="N192">
        <v>0</v>
      </c>
      <c r="O192">
        <v>0.48</v>
      </c>
      <c r="P192" t="s">
        <v>179</v>
      </c>
      <c r="Q192" t="s">
        <v>27</v>
      </c>
      <c r="R192" t="s">
        <v>63</v>
      </c>
      <c r="S192" t="s">
        <v>248</v>
      </c>
      <c r="T192">
        <v>207360</v>
      </c>
      <c r="U192">
        <v>224640</v>
      </c>
    </row>
    <row r="193" spans="1:21" x14ac:dyDescent="0.2">
      <c r="A193" t="s">
        <v>249</v>
      </c>
      <c r="B193">
        <v>1</v>
      </c>
      <c r="C193">
        <v>1</v>
      </c>
      <c r="D193">
        <v>0</v>
      </c>
      <c r="E193">
        <v>0</v>
      </c>
      <c r="F193">
        <v>423534.2</v>
      </c>
      <c r="G193">
        <v>412247.18000000011</v>
      </c>
      <c r="H193">
        <v>11287.01999999996</v>
      </c>
      <c r="K193">
        <v>198</v>
      </c>
      <c r="L193">
        <v>296</v>
      </c>
      <c r="M193">
        <v>1</v>
      </c>
      <c r="N193">
        <v>1</v>
      </c>
      <c r="O193">
        <v>0.22190442477876099</v>
      </c>
      <c r="P193" t="s">
        <v>179</v>
      </c>
      <c r="Q193" t="s">
        <v>23</v>
      </c>
      <c r="R193" t="s">
        <v>24</v>
      </c>
      <c r="S193" t="s">
        <v>182</v>
      </c>
      <c r="T193">
        <v>741373.34544764331</v>
      </c>
      <c r="U193">
        <v>2599584.5745523451</v>
      </c>
    </row>
    <row r="194" spans="1:21" x14ac:dyDescent="0.2">
      <c r="A194" t="s">
        <v>250</v>
      </c>
      <c r="B194">
        <v>2</v>
      </c>
      <c r="C194">
        <v>2</v>
      </c>
      <c r="D194">
        <v>0</v>
      </c>
      <c r="E194">
        <v>0</v>
      </c>
      <c r="F194">
        <v>101190</v>
      </c>
      <c r="G194">
        <v>90000</v>
      </c>
      <c r="H194">
        <v>11190</v>
      </c>
      <c r="I194">
        <v>62</v>
      </c>
      <c r="K194">
        <v>19</v>
      </c>
      <c r="L194">
        <v>463.84986595174257</v>
      </c>
      <c r="M194">
        <v>1</v>
      </c>
      <c r="N194">
        <v>0.73190348525469173</v>
      </c>
      <c r="O194">
        <v>0.14399999999999999</v>
      </c>
      <c r="P194" t="s">
        <v>179</v>
      </c>
      <c r="Q194" t="s">
        <v>23</v>
      </c>
      <c r="R194" t="s">
        <v>24</v>
      </c>
      <c r="S194" t="s">
        <v>182</v>
      </c>
      <c r="T194">
        <v>747429.12</v>
      </c>
      <c r="U194">
        <v>4443050.88</v>
      </c>
    </row>
    <row r="195" spans="1:21" x14ac:dyDescent="0.2">
      <c r="A195" t="s">
        <v>251</v>
      </c>
      <c r="B195">
        <v>1</v>
      </c>
      <c r="C195">
        <v>1</v>
      </c>
      <c r="D195">
        <v>0</v>
      </c>
      <c r="E195">
        <v>0</v>
      </c>
      <c r="F195">
        <v>158000</v>
      </c>
      <c r="G195">
        <v>147346.62</v>
      </c>
      <c r="H195">
        <v>10653.38</v>
      </c>
      <c r="K195">
        <v>972</v>
      </c>
      <c r="L195">
        <v>1011</v>
      </c>
      <c r="M195">
        <v>1</v>
      </c>
      <c r="N195">
        <v>1</v>
      </c>
      <c r="O195">
        <v>0.22190442477876099</v>
      </c>
      <c r="P195" t="s">
        <v>179</v>
      </c>
      <c r="Q195" t="s">
        <v>23</v>
      </c>
      <c r="R195" t="s">
        <v>24</v>
      </c>
      <c r="S195" t="s">
        <v>182</v>
      </c>
      <c r="T195">
        <v>2390036.5146189039</v>
      </c>
      <c r="U195">
        <v>8380530.6653811019</v>
      </c>
    </row>
    <row r="196" spans="1:21" x14ac:dyDescent="0.2">
      <c r="A196" t="s">
        <v>252</v>
      </c>
      <c r="B196">
        <v>1</v>
      </c>
      <c r="C196">
        <v>1</v>
      </c>
      <c r="D196">
        <v>0</v>
      </c>
      <c r="E196">
        <v>0</v>
      </c>
      <c r="F196">
        <v>105000</v>
      </c>
      <c r="G196">
        <v>94500</v>
      </c>
      <c r="H196">
        <v>10500</v>
      </c>
      <c r="K196">
        <v>27</v>
      </c>
      <c r="L196">
        <v>50</v>
      </c>
      <c r="M196">
        <v>0</v>
      </c>
      <c r="N196">
        <v>0</v>
      </c>
      <c r="O196">
        <v>0.41607079646017697</v>
      </c>
      <c r="P196" t="s">
        <v>179</v>
      </c>
      <c r="Q196" t="s">
        <v>23</v>
      </c>
      <c r="R196" t="s">
        <v>63</v>
      </c>
      <c r="S196" t="s">
        <v>184</v>
      </c>
      <c r="T196">
        <v>218437.16814159291</v>
      </c>
      <c r="U196">
        <v>306562.83185840712</v>
      </c>
    </row>
    <row r="197" spans="1:21" x14ac:dyDescent="0.2">
      <c r="A197" t="s">
        <v>253</v>
      </c>
      <c r="B197">
        <v>1</v>
      </c>
      <c r="C197">
        <v>1</v>
      </c>
      <c r="D197">
        <v>0</v>
      </c>
      <c r="E197">
        <v>0</v>
      </c>
      <c r="F197">
        <v>10000</v>
      </c>
      <c r="G197">
        <v>0</v>
      </c>
      <c r="H197">
        <v>10000</v>
      </c>
      <c r="I197">
        <v>11</v>
      </c>
      <c r="L197">
        <v>970</v>
      </c>
      <c r="M197">
        <v>1</v>
      </c>
      <c r="N197">
        <v>1</v>
      </c>
      <c r="O197">
        <v>0.22190442477876099</v>
      </c>
      <c r="P197" t="s">
        <v>179</v>
      </c>
      <c r="Q197" t="s">
        <v>23</v>
      </c>
      <c r="R197" t="s">
        <v>24</v>
      </c>
      <c r="S197" t="s">
        <v>182</v>
      </c>
      <c r="T197">
        <v>2152472.9203539821</v>
      </c>
      <c r="U197">
        <v>7547527.0796460174</v>
      </c>
    </row>
    <row r="198" spans="1:21" x14ac:dyDescent="0.2">
      <c r="A198" t="s">
        <v>254</v>
      </c>
      <c r="B198">
        <v>1</v>
      </c>
      <c r="C198">
        <v>1</v>
      </c>
      <c r="D198">
        <v>0</v>
      </c>
      <c r="E198">
        <v>0</v>
      </c>
      <c r="F198">
        <v>10000</v>
      </c>
      <c r="G198">
        <v>0</v>
      </c>
      <c r="H198">
        <v>10000</v>
      </c>
      <c r="L198">
        <v>955</v>
      </c>
      <c r="M198">
        <v>1</v>
      </c>
      <c r="N198">
        <v>1</v>
      </c>
      <c r="O198">
        <v>0.22190442477876099</v>
      </c>
      <c r="P198" t="s">
        <v>179</v>
      </c>
      <c r="Q198" t="s">
        <v>23</v>
      </c>
      <c r="R198" t="s">
        <v>24</v>
      </c>
      <c r="S198" t="s">
        <v>182</v>
      </c>
      <c r="T198">
        <v>2119187.2566371681</v>
      </c>
      <c r="U198">
        <v>7430812.7433628319</v>
      </c>
    </row>
    <row r="199" spans="1:21" x14ac:dyDescent="0.2">
      <c r="A199" t="s">
        <v>255</v>
      </c>
      <c r="B199">
        <v>1</v>
      </c>
      <c r="C199">
        <v>1</v>
      </c>
      <c r="D199">
        <v>0</v>
      </c>
      <c r="E199">
        <v>0</v>
      </c>
      <c r="F199">
        <v>9000</v>
      </c>
      <c r="G199">
        <v>0</v>
      </c>
      <c r="H199">
        <v>9000</v>
      </c>
      <c r="L199">
        <v>623</v>
      </c>
      <c r="M199">
        <v>1</v>
      </c>
      <c r="N199">
        <v>1</v>
      </c>
      <c r="O199">
        <v>0.22190442477876099</v>
      </c>
      <c r="P199" t="s">
        <v>179</v>
      </c>
      <c r="Q199" t="s">
        <v>23</v>
      </c>
      <c r="R199" t="s">
        <v>24</v>
      </c>
      <c r="S199" t="s">
        <v>182</v>
      </c>
      <c r="T199">
        <v>1244218.1097345131</v>
      </c>
      <c r="U199">
        <v>4362781.8902654871</v>
      </c>
    </row>
    <row r="200" spans="1:21" x14ac:dyDescent="0.2">
      <c r="A200" t="s">
        <v>256</v>
      </c>
      <c r="B200">
        <v>1</v>
      </c>
      <c r="C200">
        <v>1</v>
      </c>
      <c r="D200">
        <v>0</v>
      </c>
      <c r="E200">
        <v>0</v>
      </c>
      <c r="F200">
        <v>8000</v>
      </c>
      <c r="G200">
        <v>0</v>
      </c>
      <c r="H200">
        <v>8000</v>
      </c>
      <c r="L200">
        <v>1011</v>
      </c>
      <c r="M200">
        <v>1</v>
      </c>
      <c r="N200">
        <v>1</v>
      </c>
      <c r="O200">
        <v>0.22190442477876099</v>
      </c>
      <c r="P200" t="s">
        <v>179</v>
      </c>
      <c r="Q200" t="s">
        <v>23</v>
      </c>
      <c r="R200" t="s">
        <v>24</v>
      </c>
      <c r="S200" t="s">
        <v>182</v>
      </c>
      <c r="T200">
        <v>1794762.987610619</v>
      </c>
      <c r="U200">
        <v>6293237.0123893796</v>
      </c>
    </row>
    <row r="201" spans="1:21" x14ac:dyDescent="0.2">
      <c r="A201" t="s">
        <v>257</v>
      </c>
      <c r="B201">
        <v>1</v>
      </c>
      <c r="C201">
        <v>1</v>
      </c>
      <c r="D201">
        <v>0</v>
      </c>
      <c r="E201">
        <v>0</v>
      </c>
      <c r="F201">
        <v>8000</v>
      </c>
      <c r="G201">
        <v>0</v>
      </c>
      <c r="H201">
        <v>8000</v>
      </c>
      <c r="L201">
        <v>317</v>
      </c>
      <c r="M201">
        <v>1</v>
      </c>
      <c r="N201">
        <v>1</v>
      </c>
      <c r="O201">
        <v>0.22190442477876099</v>
      </c>
      <c r="P201" t="s">
        <v>179</v>
      </c>
      <c r="Q201" t="s">
        <v>23</v>
      </c>
      <c r="R201" t="s">
        <v>24</v>
      </c>
      <c r="S201" t="s">
        <v>182</v>
      </c>
      <c r="T201">
        <v>562749.62123893807</v>
      </c>
      <c r="U201">
        <v>1973250.3787610619</v>
      </c>
    </row>
    <row r="202" spans="1:21" x14ac:dyDescent="0.2">
      <c r="A202" t="s">
        <v>258</v>
      </c>
      <c r="B202">
        <v>1</v>
      </c>
      <c r="C202">
        <v>1</v>
      </c>
      <c r="D202">
        <v>0</v>
      </c>
      <c r="E202">
        <v>0</v>
      </c>
      <c r="F202">
        <v>73775</v>
      </c>
      <c r="G202">
        <v>66397.5</v>
      </c>
      <c r="H202">
        <v>7377.5</v>
      </c>
      <c r="K202">
        <v>39</v>
      </c>
      <c r="L202">
        <v>148</v>
      </c>
      <c r="M202">
        <v>1</v>
      </c>
      <c r="N202">
        <v>0</v>
      </c>
      <c r="O202">
        <v>0.33285663716814162</v>
      </c>
      <c r="P202" t="s">
        <v>179</v>
      </c>
      <c r="Q202" t="s">
        <v>23</v>
      </c>
      <c r="R202" t="s">
        <v>188</v>
      </c>
      <c r="S202" t="s">
        <v>243</v>
      </c>
      <c r="T202">
        <v>363436.17642477882</v>
      </c>
      <c r="U202">
        <v>728433.82357522123</v>
      </c>
    </row>
    <row r="203" spans="1:21" x14ac:dyDescent="0.2">
      <c r="A203" t="s">
        <v>259</v>
      </c>
      <c r="B203">
        <v>1</v>
      </c>
      <c r="C203">
        <v>1</v>
      </c>
      <c r="D203">
        <v>0</v>
      </c>
      <c r="E203">
        <v>0</v>
      </c>
      <c r="F203">
        <v>73104</v>
      </c>
      <c r="G203">
        <v>65793.600000000006</v>
      </c>
      <c r="H203">
        <v>7310.3999999999942</v>
      </c>
      <c r="K203">
        <v>113</v>
      </c>
      <c r="L203">
        <v>478</v>
      </c>
      <c r="M203">
        <v>1</v>
      </c>
      <c r="N203">
        <v>1</v>
      </c>
      <c r="O203">
        <v>0.22190442477876099</v>
      </c>
      <c r="P203" t="s">
        <v>179</v>
      </c>
      <c r="Q203" t="s">
        <v>23</v>
      </c>
      <c r="R203" t="s">
        <v>24</v>
      </c>
      <c r="S203" t="s">
        <v>182</v>
      </c>
      <c r="T203">
        <v>775416.43109946838</v>
      </c>
      <c r="U203">
        <v>2718954.768900529</v>
      </c>
    </row>
    <row r="204" spans="1:21" x14ac:dyDescent="0.2">
      <c r="A204" t="s">
        <v>260</v>
      </c>
      <c r="B204">
        <v>1</v>
      </c>
      <c r="C204">
        <v>1</v>
      </c>
      <c r="D204">
        <v>0</v>
      </c>
      <c r="E204">
        <v>0</v>
      </c>
      <c r="F204">
        <v>7000</v>
      </c>
      <c r="G204">
        <v>0</v>
      </c>
      <c r="H204">
        <v>7000</v>
      </c>
      <c r="L204">
        <v>968</v>
      </c>
      <c r="M204">
        <v>1</v>
      </c>
      <c r="N204">
        <v>1</v>
      </c>
      <c r="O204">
        <v>0.22190442477876099</v>
      </c>
      <c r="P204" t="s">
        <v>179</v>
      </c>
      <c r="Q204" t="s">
        <v>23</v>
      </c>
      <c r="R204" t="s">
        <v>24</v>
      </c>
      <c r="S204" t="s">
        <v>182</v>
      </c>
      <c r="T204">
        <v>1503624.3823008849</v>
      </c>
      <c r="U204">
        <v>5272375.6176991155</v>
      </c>
    </row>
    <row r="205" spans="1:21" x14ac:dyDescent="0.2">
      <c r="A205" t="s">
        <v>261</v>
      </c>
      <c r="B205">
        <v>1</v>
      </c>
      <c r="C205">
        <v>1</v>
      </c>
      <c r="D205">
        <v>0</v>
      </c>
      <c r="E205">
        <v>0</v>
      </c>
      <c r="F205">
        <v>5999.99</v>
      </c>
      <c r="G205">
        <v>0</v>
      </c>
      <c r="H205">
        <v>5999.99</v>
      </c>
      <c r="I205">
        <v>31</v>
      </c>
      <c r="L205">
        <v>933</v>
      </c>
      <c r="M205">
        <v>1</v>
      </c>
      <c r="N205">
        <v>1</v>
      </c>
      <c r="O205">
        <v>0.22190442477876099</v>
      </c>
      <c r="P205" t="s">
        <v>179</v>
      </c>
      <c r="Q205" t="s">
        <v>23</v>
      </c>
      <c r="R205" t="s">
        <v>24</v>
      </c>
      <c r="S205" t="s">
        <v>182</v>
      </c>
      <c r="T205">
        <v>1242218.8995432211</v>
      </c>
      <c r="U205">
        <v>4355771.7704567788</v>
      </c>
    </row>
    <row r="206" spans="1:21" x14ac:dyDescent="0.2">
      <c r="A206" t="s">
        <v>262</v>
      </c>
      <c r="B206">
        <v>1</v>
      </c>
      <c r="C206">
        <v>1</v>
      </c>
      <c r="D206">
        <v>0</v>
      </c>
      <c r="E206">
        <v>0</v>
      </c>
      <c r="F206">
        <v>18993.599999999999</v>
      </c>
      <c r="G206">
        <v>13139.64</v>
      </c>
      <c r="H206">
        <v>5853.9599999999991</v>
      </c>
      <c r="I206">
        <v>38</v>
      </c>
      <c r="K206">
        <v>792</v>
      </c>
      <c r="L206">
        <v>921</v>
      </c>
      <c r="M206">
        <v>1</v>
      </c>
      <c r="N206">
        <v>1</v>
      </c>
      <c r="O206">
        <v>0.22190442477876099</v>
      </c>
      <c r="P206" t="s">
        <v>179</v>
      </c>
      <c r="Q206" t="s">
        <v>23</v>
      </c>
      <c r="R206" t="s">
        <v>24</v>
      </c>
      <c r="S206" t="s">
        <v>182</v>
      </c>
      <c r="T206">
        <v>1196397.0759861241</v>
      </c>
      <c r="U206">
        <v>4195100.0840138756</v>
      </c>
    </row>
    <row r="207" spans="1:21" x14ac:dyDescent="0.2">
      <c r="A207" t="s">
        <v>263</v>
      </c>
      <c r="B207">
        <v>1</v>
      </c>
      <c r="C207">
        <v>1</v>
      </c>
      <c r="D207">
        <v>0</v>
      </c>
      <c r="E207">
        <v>0</v>
      </c>
      <c r="F207">
        <v>5607.5</v>
      </c>
      <c r="G207">
        <v>0</v>
      </c>
      <c r="H207">
        <v>5607.5</v>
      </c>
      <c r="I207">
        <v>243</v>
      </c>
      <c r="L207">
        <v>959</v>
      </c>
      <c r="M207">
        <v>1</v>
      </c>
      <c r="N207">
        <v>1</v>
      </c>
      <c r="O207">
        <v>0.22190442477876099</v>
      </c>
      <c r="P207" t="s">
        <v>179</v>
      </c>
      <c r="Q207" t="s">
        <v>23</v>
      </c>
      <c r="R207" t="s">
        <v>24</v>
      </c>
      <c r="S207" t="s">
        <v>182</v>
      </c>
      <c r="T207">
        <v>1193311.57040708</v>
      </c>
      <c r="U207">
        <v>4184280.92959292</v>
      </c>
    </row>
    <row r="208" spans="1:21" x14ac:dyDescent="0.2">
      <c r="A208" t="s">
        <v>264</v>
      </c>
      <c r="B208">
        <v>1</v>
      </c>
      <c r="C208">
        <v>1</v>
      </c>
      <c r="D208">
        <v>0</v>
      </c>
      <c r="E208">
        <v>0</v>
      </c>
      <c r="F208">
        <v>5000</v>
      </c>
      <c r="G208">
        <v>0</v>
      </c>
      <c r="H208">
        <v>5000</v>
      </c>
      <c r="L208">
        <v>872</v>
      </c>
      <c r="M208">
        <v>1</v>
      </c>
      <c r="N208">
        <v>1</v>
      </c>
      <c r="O208">
        <v>0.22190442477876099</v>
      </c>
      <c r="P208" t="s">
        <v>179</v>
      </c>
      <c r="Q208" t="s">
        <v>23</v>
      </c>
      <c r="R208" t="s">
        <v>24</v>
      </c>
      <c r="S208" t="s">
        <v>182</v>
      </c>
      <c r="T208">
        <v>967503.29203539819</v>
      </c>
      <c r="U208">
        <v>3392496.7079646019</v>
      </c>
    </row>
    <row r="209" spans="1:21" x14ac:dyDescent="0.2">
      <c r="A209" t="s">
        <v>265</v>
      </c>
      <c r="B209">
        <v>1</v>
      </c>
      <c r="C209">
        <v>1</v>
      </c>
      <c r="D209">
        <v>0</v>
      </c>
      <c r="E209">
        <v>0</v>
      </c>
      <c r="F209">
        <v>5000</v>
      </c>
      <c r="G209">
        <v>0</v>
      </c>
      <c r="H209">
        <v>5000</v>
      </c>
      <c r="I209">
        <v>28</v>
      </c>
      <c r="L209">
        <v>864</v>
      </c>
      <c r="M209">
        <v>1</v>
      </c>
      <c r="N209">
        <v>1</v>
      </c>
      <c r="O209">
        <v>0.22190442477876099</v>
      </c>
      <c r="P209" t="s">
        <v>179</v>
      </c>
      <c r="Q209" t="s">
        <v>23</v>
      </c>
      <c r="R209" t="s">
        <v>24</v>
      </c>
      <c r="S209" t="s">
        <v>182</v>
      </c>
      <c r="T209">
        <v>958627.11504424771</v>
      </c>
      <c r="U209">
        <v>3361372.8849557522</v>
      </c>
    </row>
    <row r="210" spans="1:21" x14ac:dyDescent="0.2">
      <c r="A210" t="s">
        <v>266</v>
      </c>
      <c r="B210">
        <v>1</v>
      </c>
      <c r="C210">
        <v>1</v>
      </c>
      <c r="D210">
        <v>0</v>
      </c>
      <c r="E210">
        <v>0</v>
      </c>
      <c r="F210">
        <v>5000</v>
      </c>
      <c r="G210">
        <v>0</v>
      </c>
      <c r="H210">
        <v>5000</v>
      </c>
      <c r="L210">
        <v>742</v>
      </c>
      <c r="M210">
        <v>1</v>
      </c>
      <c r="N210">
        <v>1</v>
      </c>
      <c r="O210">
        <v>0.22190442477876099</v>
      </c>
      <c r="P210" t="s">
        <v>179</v>
      </c>
      <c r="Q210" t="s">
        <v>23</v>
      </c>
      <c r="R210" t="s">
        <v>24</v>
      </c>
      <c r="S210" t="s">
        <v>182</v>
      </c>
      <c r="T210">
        <v>823265.4159292035</v>
      </c>
      <c r="U210">
        <v>2886734.5840707971</v>
      </c>
    </row>
    <row r="211" spans="1:21" x14ac:dyDescent="0.2">
      <c r="A211" t="s">
        <v>267</v>
      </c>
      <c r="B211">
        <v>1</v>
      </c>
      <c r="C211">
        <v>1</v>
      </c>
      <c r="D211">
        <v>0</v>
      </c>
      <c r="E211">
        <v>0</v>
      </c>
      <c r="F211">
        <v>98000</v>
      </c>
      <c r="G211">
        <v>93100</v>
      </c>
      <c r="H211">
        <v>4900</v>
      </c>
      <c r="I211">
        <v>105</v>
      </c>
      <c r="K211">
        <v>135</v>
      </c>
      <c r="L211">
        <v>632</v>
      </c>
      <c r="M211">
        <v>1</v>
      </c>
      <c r="N211">
        <v>1</v>
      </c>
      <c r="O211">
        <v>0.22190442477876099</v>
      </c>
      <c r="P211" t="s">
        <v>179</v>
      </c>
      <c r="Q211" t="s">
        <v>23</v>
      </c>
      <c r="R211" t="s">
        <v>24</v>
      </c>
      <c r="S211" t="s">
        <v>182</v>
      </c>
      <c r="T211">
        <v>687193.62265486724</v>
      </c>
      <c r="U211">
        <v>2409606.3773451331</v>
      </c>
    </row>
    <row r="212" spans="1:21" x14ac:dyDescent="0.2">
      <c r="A212" t="s">
        <v>268</v>
      </c>
      <c r="B212">
        <v>1</v>
      </c>
      <c r="C212">
        <v>1</v>
      </c>
      <c r="D212">
        <v>0</v>
      </c>
      <c r="E212">
        <v>0</v>
      </c>
      <c r="F212">
        <v>45000</v>
      </c>
      <c r="G212">
        <v>40500</v>
      </c>
      <c r="H212">
        <v>4500</v>
      </c>
      <c r="K212">
        <v>80</v>
      </c>
      <c r="L212">
        <v>158</v>
      </c>
      <c r="M212">
        <v>1</v>
      </c>
      <c r="N212">
        <v>0</v>
      </c>
      <c r="O212">
        <v>0.33285663716814162</v>
      </c>
      <c r="P212" t="s">
        <v>179</v>
      </c>
      <c r="Q212" t="s">
        <v>23</v>
      </c>
      <c r="R212" t="s">
        <v>188</v>
      </c>
      <c r="S212" t="s">
        <v>243</v>
      </c>
      <c r="T212">
        <v>236661.06902654871</v>
      </c>
      <c r="U212">
        <v>474338.93097345129</v>
      </c>
    </row>
    <row r="213" spans="1:21" x14ac:dyDescent="0.2">
      <c r="A213" t="s">
        <v>269</v>
      </c>
      <c r="B213">
        <v>1</v>
      </c>
      <c r="C213">
        <v>1</v>
      </c>
      <c r="D213">
        <v>0</v>
      </c>
      <c r="E213">
        <v>0</v>
      </c>
      <c r="F213">
        <v>131200</v>
      </c>
      <c r="G213">
        <v>127264</v>
      </c>
      <c r="H213">
        <v>3936</v>
      </c>
      <c r="K213">
        <v>4</v>
      </c>
      <c r="L213">
        <v>235</v>
      </c>
      <c r="M213">
        <v>1</v>
      </c>
      <c r="N213">
        <v>1</v>
      </c>
      <c r="O213">
        <v>0.22190442477876099</v>
      </c>
      <c r="P213" t="s">
        <v>179</v>
      </c>
      <c r="Q213" t="s">
        <v>23</v>
      </c>
      <c r="R213" t="s">
        <v>24</v>
      </c>
      <c r="S213" t="s">
        <v>182</v>
      </c>
      <c r="T213">
        <v>205252.71674336281</v>
      </c>
      <c r="U213">
        <v>719707.28325663717</v>
      </c>
    </row>
    <row r="214" spans="1:21" x14ac:dyDescent="0.2">
      <c r="A214" t="s">
        <v>270</v>
      </c>
      <c r="B214">
        <v>1</v>
      </c>
      <c r="C214">
        <v>1</v>
      </c>
      <c r="D214">
        <v>0</v>
      </c>
      <c r="E214">
        <v>0</v>
      </c>
      <c r="F214">
        <v>39000</v>
      </c>
      <c r="G214">
        <v>35100</v>
      </c>
      <c r="H214">
        <v>3900</v>
      </c>
      <c r="K214">
        <v>80</v>
      </c>
      <c r="L214">
        <v>262</v>
      </c>
      <c r="M214">
        <v>1</v>
      </c>
      <c r="N214">
        <v>1</v>
      </c>
      <c r="O214">
        <v>0.22190442477876099</v>
      </c>
      <c r="P214" t="s">
        <v>179</v>
      </c>
      <c r="Q214" t="s">
        <v>23</v>
      </c>
      <c r="R214" t="s">
        <v>24</v>
      </c>
      <c r="S214" t="s">
        <v>182</v>
      </c>
      <c r="T214">
        <v>226741.94123893799</v>
      </c>
      <c r="U214">
        <v>795058.05876106198</v>
      </c>
    </row>
    <row r="215" spans="1:21" x14ac:dyDescent="0.2">
      <c r="A215" t="s">
        <v>271</v>
      </c>
      <c r="B215">
        <v>1</v>
      </c>
      <c r="C215">
        <v>1</v>
      </c>
      <c r="D215">
        <v>0</v>
      </c>
      <c r="E215">
        <v>0</v>
      </c>
      <c r="F215">
        <v>3300</v>
      </c>
      <c r="G215">
        <v>0</v>
      </c>
      <c r="H215">
        <v>3300</v>
      </c>
      <c r="I215">
        <v>211</v>
      </c>
      <c r="L215">
        <v>892</v>
      </c>
      <c r="M215">
        <v>1</v>
      </c>
      <c r="N215">
        <v>1</v>
      </c>
      <c r="O215">
        <v>0.22190442477876099</v>
      </c>
      <c r="P215" t="s">
        <v>179</v>
      </c>
      <c r="Q215" t="s">
        <v>23</v>
      </c>
      <c r="R215" t="s">
        <v>24</v>
      </c>
      <c r="S215" t="s">
        <v>182</v>
      </c>
      <c r="T215">
        <v>653197.86477876105</v>
      </c>
      <c r="U215">
        <v>2290402.1352212392</v>
      </c>
    </row>
    <row r="216" spans="1:21" x14ac:dyDescent="0.2">
      <c r="A216" t="s">
        <v>272</v>
      </c>
      <c r="B216">
        <v>1</v>
      </c>
      <c r="C216">
        <v>1</v>
      </c>
      <c r="D216">
        <v>0</v>
      </c>
      <c r="E216">
        <v>0</v>
      </c>
      <c r="F216">
        <v>3000</v>
      </c>
      <c r="G216">
        <v>0</v>
      </c>
      <c r="H216">
        <v>3000</v>
      </c>
      <c r="L216">
        <v>372</v>
      </c>
      <c r="M216">
        <v>1</v>
      </c>
      <c r="N216">
        <v>1</v>
      </c>
      <c r="O216">
        <v>0.22190442477876099</v>
      </c>
      <c r="P216" t="s">
        <v>179</v>
      </c>
      <c r="Q216" t="s">
        <v>23</v>
      </c>
      <c r="R216" t="s">
        <v>24</v>
      </c>
      <c r="S216" t="s">
        <v>182</v>
      </c>
      <c r="T216">
        <v>247645.33805309731</v>
      </c>
      <c r="U216">
        <v>868354.66194690263</v>
      </c>
    </row>
    <row r="217" spans="1:21" x14ac:dyDescent="0.2">
      <c r="A217" t="s">
        <v>273</v>
      </c>
      <c r="B217">
        <v>1</v>
      </c>
      <c r="C217">
        <v>1</v>
      </c>
      <c r="D217">
        <v>0</v>
      </c>
      <c r="E217">
        <v>0</v>
      </c>
      <c r="F217">
        <v>60000</v>
      </c>
      <c r="G217">
        <v>58347</v>
      </c>
      <c r="H217">
        <v>1653</v>
      </c>
      <c r="K217">
        <v>583</v>
      </c>
      <c r="L217">
        <v>655</v>
      </c>
      <c r="M217">
        <v>1</v>
      </c>
      <c r="N217">
        <v>1</v>
      </c>
      <c r="O217">
        <v>0.22190442477876099</v>
      </c>
      <c r="P217" t="s">
        <v>179</v>
      </c>
      <c r="Q217" t="s">
        <v>23</v>
      </c>
      <c r="R217" t="s">
        <v>24</v>
      </c>
      <c r="S217" t="s">
        <v>182</v>
      </c>
      <c r="T217">
        <v>240259.2492743363</v>
      </c>
      <c r="U217">
        <v>842455.75072566373</v>
      </c>
    </row>
    <row r="218" spans="1:21" x14ac:dyDescent="0.2">
      <c r="A218" t="s">
        <v>274</v>
      </c>
      <c r="B218">
        <v>4</v>
      </c>
      <c r="C218">
        <v>1</v>
      </c>
      <c r="D218">
        <v>3</v>
      </c>
      <c r="E218">
        <v>0.75</v>
      </c>
      <c r="F218">
        <v>703130</v>
      </c>
      <c r="G218">
        <v>1034517.56</v>
      </c>
      <c r="H218">
        <v>638.44000000000233</v>
      </c>
      <c r="J218">
        <v>341</v>
      </c>
      <c r="K218">
        <v>399</v>
      </c>
      <c r="L218">
        <v>652</v>
      </c>
      <c r="M218">
        <v>1</v>
      </c>
      <c r="N218">
        <v>1</v>
      </c>
      <c r="O218">
        <v>0.39600000000000002</v>
      </c>
      <c r="P218" t="s">
        <v>179</v>
      </c>
      <c r="Q218" t="s">
        <v>27</v>
      </c>
      <c r="R218" t="s">
        <v>24</v>
      </c>
      <c r="S218" t="s">
        <v>199</v>
      </c>
      <c r="T218">
        <v>164840.1004800006</v>
      </c>
      <c r="U218">
        <v>251422.77952000091</v>
      </c>
    </row>
    <row r="219" spans="1:21" x14ac:dyDescent="0.2">
      <c r="A219" t="s">
        <v>275</v>
      </c>
      <c r="B219">
        <v>1</v>
      </c>
      <c r="C219">
        <v>1</v>
      </c>
      <c r="D219">
        <v>0</v>
      </c>
      <c r="E219">
        <v>0</v>
      </c>
      <c r="F219">
        <v>3000</v>
      </c>
      <c r="G219">
        <v>2700</v>
      </c>
      <c r="H219">
        <v>300</v>
      </c>
      <c r="I219">
        <v>395</v>
      </c>
      <c r="K219">
        <v>344</v>
      </c>
      <c r="L219">
        <v>883</v>
      </c>
      <c r="M219">
        <v>1</v>
      </c>
      <c r="N219">
        <v>1</v>
      </c>
      <c r="O219">
        <v>0.22190442477876099</v>
      </c>
      <c r="P219" t="s">
        <v>179</v>
      </c>
      <c r="Q219" t="s">
        <v>23</v>
      </c>
      <c r="R219" t="s">
        <v>24</v>
      </c>
      <c r="S219" t="s">
        <v>182</v>
      </c>
      <c r="T219">
        <v>58782.482123893802</v>
      </c>
      <c r="U219">
        <v>206117.5178761062</v>
      </c>
    </row>
    <row r="220" spans="1:21" x14ac:dyDescent="0.2">
      <c r="A220" t="s">
        <v>276</v>
      </c>
      <c r="B220">
        <v>2</v>
      </c>
      <c r="C220">
        <v>1</v>
      </c>
      <c r="D220">
        <v>1</v>
      </c>
      <c r="E220">
        <v>0.5</v>
      </c>
      <c r="F220">
        <v>424984.63</v>
      </c>
      <c r="G220">
        <v>953675.46</v>
      </c>
      <c r="H220">
        <v>63</v>
      </c>
      <c r="J220">
        <v>482</v>
      </c>
      <c r="K220">
        <v>824</v>
      </c>
      <c r="L220">
        <v>827</v>
      </c>
      <c r="M220">
        <v>1</v>
      </c>
      <c r="N220">
        <v>1</v>
      </c>
      <c r="O220">
        <v>0.31199999999999989</v>
      </c>
      <c r="P220" t="s">
        <v>179</v>
      </c>
      <c r="Q220" t="s">
        <v>27</v>
      </c>
      <c r="R220" t="s">
        <v>24</v>
      </c>
      <c r="S220" t="s">
        <v>199</v>
      </c>
      <c r="T220">
        <v>16255.512000000001</v>
      </c>
      <c r="U220">
        <v>35845.487999999998</v>
      </c>
    </row>
    <row r="221" spans="1:21" x14ac:dyDescent="0.2">
      <c r="A221" t="s">
        <v>277</v>
      </c>
      <c r="B221">
        <v>1</v>
      </c>
      <c r="C221">
        <v>1</v>
      </c>
      <c r="D221">
        <v>0</v>
      </c>
      <c r="E221">
        <v>0</v>
      </c>
      <c r="F221">
        <v>58</v>
      </c>
      <c r="G221">
        <v>0</v>
      </c>
      <c r="H221">
        <v>58</v>
      </c>
      <c r="L221">
        <v>701</v>
      </c>
      <c r="M221">
        <v>1</v>
      </c>
      <c r="N221">
        <v>1</v>
      </c>
      <c r="O221">
        <v>0.22190442477876099</v>
      </c>
      <c r="P221" t="s">
        <v>179</v>
      </c>
      <c r="Q221" t="s">
        <v>23</v>
      </c>
      <c r="R221" t="s">
        <v>24</v>
      </c>
      <c r="S221" t="s">
        <v>182</v>
      </c>
      <c r="T221">
        <v>9022.1901026548658</v>
      </c>
      <c r="U221">
        <v>31635.809897345131</v>
      </c>
    </row>
    <row r="222" spans="1:21" x14ac:dyDescent="0.2">
      <c r="A222" t="s">
        <v>278</v>
      </c>
      <c r="B222">
        <v>2</v>
      </c>
      <c r="C222">
        <v>2</v>
      </c>
      <c r="D222">
        <v>0</v>
      </c>
      <c r="E222">
        <v>0</v>
      </c>
      <c r="F222">
        <v>4.18</v>
      </c>
      <c r="G222">
        <v>0</v>
      </c>
      <c r="H222">
        <v>4.18</v>
      </c>
      <c r="I222">
        <v>48.5</v>
      </c>
      <c r="L222">
        <v>875</v>
      </c>
      <c r="M222">
        <v>1</v>
      </c>
      <c r="N222">
        <v>1</v>
      </c>
      <c r="O222">
        <v>0.14399999999999999</v>
      </c>
      <c r="P222" t="s">
        <v>179</v>
      </c>
      <c r="Q222" t="s">
        <v>23</v>
      </c>
      <c r="R222" t="s">
        <v>24</v>
      </c>
      <c r="S222" t="s">
        <v>182</v>
      </c>
      <c r="T222">
        <v>526.67999999999995</v>
      </c>
      <c r="U222">
        <v>3130.82</v>
      </c>
    </row>
    <row r="223" spans="1:21" x14ac:dyDescent="0.2">
      <c r="A223" t="s">
        <v>279</v>
      </c>
      <c r="B223">
        <v>4</v>
      </c>
      <c r="C223">
        <v>1</v>
      </c>
      <c r="D223">
        <v>0</v>
      </c>
      <c r="E223">
        <v>0</v>
      </c>
      <c r="F223">
        <v>-420482.24</v>
      </c>
      <c r="G223">
        <v>344216.06</v>
      </c>
      <c r="H223">
        <v>1.0000000009313229E-2</v>
      </c>
      <c r="I223">
        <v>830</v>
      </c>
      <c r="K223">
        <v>440</v>
      </c>
      <c r="L223">
        <v>295</v>
      </c>
      <c r="M223">
        <v>1</v>
      </c>
      <c r="N223">
        <v>1</v>
      </c>
      <c r="O223">
        <v>0.14399999999999999</v>
      </c>
      <c r="P223" t="s">
        <v>179</v>
      </c>
      <c r="Q223" t="s">
        <v>23</v>
      </c>
      <c r="R223" t="s">
        <v>24</v>
      </c>
      <c r="S223" t="s">
        <v>182</v>
      </c>
      <c r="T223">
        <v>0.42480000039562582</v>
      </c>
      <c r="U223">
        <v>2.525200002351776</v>
      </c>
    </row>
    <row r="224" spans="1:21" x14ac:dyDescent="0.2">
      <c r="A224" t="s">
        <v>280</v>
      </c>
      <c r="B224">
        <v>1</v>
      </c>
      <c r="C224">
        <v>1</v>
      </c>
      <c r="D224">
        <v>0</v>
      </c>
      <c r="E224">
        <v>0</v>
      </c>
      <c r="F224">
        <v>222478.75</v>
      </c>
      <c r="G224">
        <v>222478.75</v>
      </c>
      <c r="H224">
        <v>2.91038304567337E-11</v>
      </c>
      <c r="K224">
        <v>359</v>
      </c>
      <c r="L224">
        <v>577</v>
      </c>
      <c r="M224">
        <v>1</v>
      </c>
      <c r="N224">
        <v>1</v>
      </c>
      <c r="O224">
        <v>0.22190442477876099</v>
      </c>
      <c r="P224" t="s">
        <v>179</v>
      </c>
      <c r="Q224" t="s">
        <v>23</v>
      </c>
      <c r="R224" t="s">
        <v>24</v>
      </c>
      <c r="S224" t="s">
        <v>182</v>
      </c>
      <c r="T224">
        <v>3.7264210724197651E-9</v>
      </c>
      <c r="U224">
        <v>1.306648910111558E-8</v>
      </c>
    </row>
    <row r="225" spans="1:21" x14ac:dyDescent="0.2">
      <c r="A225" t="s">
        <v>281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147346.62</v>
      </c>
      <c r="H225">
        <v>0</v>
      </c>
      <c r="M225">
        <v>0</v>
      </c>
      <c r="N225">
        <v>0</v>
      </c>
      <c r="O225">
        <v>0.46230088495575222</v>
      </c>
      <c r="P225" t="s">
        <v>282</v>
      </c>
      <c r="Q225" t="s">
        <v>23</v>
      </c>
      <c r="R225" t="s">
        <v>283</v>
      </c>
      <c r="S225" t="s">
        <v>284</v>
      </c>
      <c r="T225">
        <v>0</v>
      </c>
      <c r="U225">
        <v>0</v>
      </c>
    </row>
    <row r="226" spans="1:21" x14ac:dyDescent="0.2">
      <c r="A226" t="s">
        <v>285</v>
      </c>
      <c r="B226">
        <v>2</v>
      </c>
      <c r="C226">
        <v>0</v>
      </c>
      <c r="D226">
        <v>2</v>
      </c>
      <c r="E226">
        <v>1</v>
      </c>
      <c r="F226">
        <v>154800</v>
      </c>
      <c r="G226">
        <v>154800</v>
      </c>
      <c r="H226">
        <v>0</v>
      </c>
      <c r="I226">
        <v>298</v>
      </c>
      <c r="J226">
        <v>486</v>
      </c>
      <c r="K226">
        <v>486</v>
      </c>
      <c r="M226">
        <v>0</v>
      </c>
      <c r="N226">
        <v>0</v>
      </c>
      <c r="O226">
        <v>0.95</v>
      </c>
      <c r="P226" t="s">
        <v>282</v>
      </c>
      <c r="Q226" t="s">
        <v>27</v>
      </c>
      <c r="R226" t="s">
        <v>283</v>
      </c>
      <c r="S226" t="s">
        <v>286</v>
      </c>
      <c r="T226">
        <v>0</v>
      </c>
      <c r="U226">
        <v>0</v>
      </c>
    </row>
    <row r="227" spans="1:21" x14ac:dyDescent="0.2">
      <c r="A227" t="s">
        <v>287</v>
      </c>
      <c r="B227">
        <v>1</v>
      </c>
      <c r="C227">
        <v>0</v>
      </c>
      <c r="D227">
        <v>1</v>
      </c>
      <c r="E227">
        <v>1</v>
      </c>
      <c r="F227">
        <v>70000</v>
      </c>
      <c r="G227">
        <v>70000</v>
      </c>
      <c r="H227">
        <v>0</v>
      </c>
      <c r="J227">
        <v>382</v>
      </c>
      <c r="K227">
        <v>382</v>
      </c>
      <c r="M227">
        <v>0</v>
      </c>
      <c r="N227">
        <v>0</v>
      </c>
      <c r="O227">
        <v>0.46230088495575222</v>
      </c>
      <c r="P227" t="s">
        <v>282</v>
      </c>
      <c r="Q227" t="s">
        <v>27</v>
      </c>
      <c r="R227" t="s">
        <v>283</v>
      </c>
      <c r="S227" t="s">
        <v>286</v>
      </c>
      <c r="T227">
        <v>0</v>
      </c>
      <c r="U227">
        <v>0</v>
      </c>
    </row>
    <row r="228" spans="1:21" x14ac:dyDescent="0.2">
      <c r="A228" t="s">
        <v>288</v>
      </c>
      <c r="B228">
        <v>1</v>
      </c>
      <c r="C228">
        <v>0</v>
      </c>
      <c r="D228">
        <v>1</v>
      </c>
      <c r="E228">
        <v>1</v>
      </c>
      <c r="F228">
        <v>25000</v>
      </c>
      <c r="G228">
        <v>25000</v>
      </c>
      <c r="H228">
        <v>0</v>
      </c>
      <c r="J228">
        <v>353</v>
      </c>
      <c r="K228">
        <v>353</v>
      </c>
      <c r="M228">
        <v>0</v>
      </c>
      <c r="N228">
        <v>0</v>
      </c>
      <c r="O228">
        <v>0.46230088495575222</v>
      </c>
      <c r="P228" t="s">
        <v>282</v>
      </c>
      <c r="Q228" t="s">
        <v>27</v>
      </c>
      <c r="R228" t="s">
        <v>283</v>
      </c>
      <c r="S228" t="s">
        <v>286</v>
      </c>
      <c r="T228">
        <v>0</v>
      </c>
      <c r="U228">
        <v>0</v>
      </c>
    </row>
    <row r="229" spans="1:21" x14ac:dyDescent="0.2">
      <c r="A229" t="s">
        <v>289</v>
      </c>
      <c r="B229">
        <v>1</v>
      </c>
      <c r="C229">
        <v>0</v>
      </c>
      <c r="D229">
        <v>1</v>
      </c>
      <c r="E229">
        <v>1</v>
      </c>
      <c r="F229">
        <v>1.42</v>
      </c>
      <c r="G229">
        <v>58763.86</v>
      </c>
      <c r="H229">
        <v>0</v>
      </c>
      <c r="I229">
        <v>118</v>
      </c>
      <c r="J229">
        <v>172</v>
      </c>
      <c r="K229">
        <v>172</v>
      </c>
      <c r="M229">
        <v>0</v>
      </c>
      <c r="N229">
        <v>0</v>
      </c>
      <c r="O229">
        <v>0.46230088495575222</v>
      </c>
      <c r="P229" t="s">
        <v>282</v>
      </c>
      <c r="Q229" t="s">
        <v>27</v>
      </c>
      <c r="R229" t="s">
        <v>283</v>
      </c>
      <c r="S229" t="s">
        <v>286</v>
      </c>
      <c r="T229">
        <v>0</v>
      </c>
      <c r="U229">
        <v>0</v>
      </c>
    </row>
    <row r="230" spans="1:21" x14ac:dyDescent="0.2">
      <c r="A230" t="s">
        <v>290</v>
      </c>
      <c r="B230">
        <v>2</v>
      </c>
      <c r="C230">
        <v>0</v>
      </c>
      <c r="D230">
        <v>2</v>
      </c>
      <c r="E230">
        <v>1</v>
      </c>
      <c r="F230">
        <v>70003.5</v>
      </c>
      <c r="G230">
        <v>88488.75</v>
      </c>
      <c r="H230">
        <v>0</v>
      </c>
      <c r="I230">
        <v>90</v>
      </c>
      <c r="J230">
        <v>275.5</v>
      </c>
      <c r="K230">
        <v>275.5</v>
      </c>
      <c r="M230">
        <v>0</v>
      </c>
      <c r="N230">
        <v>0</v>
      </c>
      <c r="O230">
        <v>0.95</v>
      </c>
      <c r="P230" t="s">
        <v>282</v>
      </c>
      <c r="Q230" t="s">
        <v>27</v>
      </c>
      <c r="R230" t="s">
        <v>283</v>
      </c>
      <c r="S230" t="s">
        <v>286</v>
      </c>
      <c r="T230">
        <v>0</v>
      </c>
      <c r="U230">
        <v>0</v>
      </c>
    </row>
    <row r="231" spans="1:21" x14ac:dyDescent="0.2">
      <c r="A231" t="s">
        <v>291</v>
      </c>
      <c r="B231">
        <v>1</v>
      </c>
      <c r="C231">
        <v>0</v>
      </c>
      <c r="D231">
        <v>1</v>
      </c>
      <c r="E231">
        <v>1</v>
      </c>
      <c r="F231">
        <v>22275</v>
      </c>
      <c r="G231">
        <v>22275</v>
      </c>
      <c r="H231">
        <v>0</v>
      </c>
      <c r="I231">
        <v>733</v>
      </c>
      <c r="J231">
        <v>280</v>
      </c>
      <c r="K231">
        <v>280</v>
      </c>
      <c r="M231">
        <v>0</v>
      </c>
      <c r="N231">
        <v>0</v>
      </c>
      <c r="O231">
        <v>0.46230088495575222</v>
      </c>
      <c r="P231" t="s">
        <v>282</v>
      </c>
      <c r="Q231" t="s">
        <v>27</v>
      </c>
      <c r="R231" t="s">
        <v>283</v>
      </c>
      <c r="S231" t="s">
        <v>286</v>
      </c>
      <c r="T231">
        <v>0</v>
      </c>
      <c r="U231">
        <v>0</v>
      </c>
    </row>
    <row r="232" spans="1:21" x14ac:dyDescent="0.2">
      <c r="A232" t="s">
        <v>292</v>
      </c>
      <c r="B232">
        <v>1</v>
      </c>
      <c r="C232">
        <v>0</v>
      </c>
      <c r="D232">
        <v>1</v>
      </c>
      <c r="E232">
        <v>1</v>
      </c>
      <c r="F232">
        <v>40000</v>
      </c>
      <c r="G232">
        <v>40000</v>
      </c>
      <c r="H232">
        <v>0</v>
      </c>
      <c r="J232">
        <v>0</v>
      </c>
      <c r="K232">
        <v>0</v>
      </c>
      <c r="M232">
        <v>0</v>
      </c>
      <c r="N232">
        <v>0</v>
      </c>
      <c r="O232">
        <v>0.46230088495575222</v>
      </c>
      <c r="P232" t="s">
        <v>282</v>
      </c>
      <c r="Q232" t="s">
        <v>59</v>
      </c>
      <c r="R232" t="s">
        <v>283</v>
      </c>
      <c r="S232" t="s">
        <v>293</v>
      </c>
      <c r="T232">
        <v>0</v>
      </c>
      <c r="U232">
        <v>0</v>
      </c>
    </row>
    <row r="233" spans="1:21" x14ac:dyDescent="0.2">
      <c r="A233" t="s">
        <v>294</v>
      </c>
      <c r="B233">
        <v>1</v>
      </c>
      <c r="C233">
        <v>0</v>
      </c>
      <c r="D233">
        <v>0</v>
      </c>
      <c r="E233">
        <v>0</v>
      </c>
      <c r="F233">
        <v>-92000</v>
      </c>
      <c r="G233">
        <v>100000</v>
      </c>
      <c r="H233">
        <v>0</v>
      </c>
      <c r="I233">
        <v>115</v>
      </c>
      <c r="K233">
        <v>834</v>
      </c>
      <c r="M233">
        <v>0</v>
      </c>
      <c r="N233">
        <v>0</v>
      </c>
      <c r="O233">
        <v>0.46230088495575222</v>
      </c>
      <c r="P233" t="s">
        <v>282</v>
      </c>
      <c r="Q233" t="s">
        <v>23</v>
      </c>
      <c r="R233" t="s">
        <v>283</v>
      </c>
      <c r="S233" t="s">
        <v>284</v>
      </c>
      <c r="T233">
        <v>0</v>
      </c>
      <c r="U233">
        <v>0</v>
      </c>
    </row>
    <row r="234" spans="1:21" x14ac:dyDescent="0.2">
      <c r="A234" t="s">
        <v>295</v>
      </c>
      <c r="B234">
        <v>1</v>
      </c>
      <c r="C234">
        <v>0</v>
      </c>
      <c r="D234">
        <v>1</v>
      </c>
      <c r="E234">
        <v>1</v>
      </c>
      <c r="F234">
        <v>115000</v>
      </c>
      <c r="G234">
        <v>115000</v>
      </c>
      <c r="H234">
        <v>0</v>
      </c>
      <c r="J234">
        <v>333</v>
      </c>
      <c r="K234">
        <v>333</v>
      </c>
      <c r="M234">
        <v>0</v>
      </c>
      <c r="N234">
        <v>0</v>
      </c>
      <c r="O234">
        <v>0.46230088495575222</v>
      </c>
      <c r="P234" t="s">
        <v>282</v>
      </c>
      <c r="Q234" t="s">
        <v>27</v>
      </c>
      <c r="R234" t="s">
        <v>283</v>
      </c>
      <c r="S234" t="s">
        <v>286</v>
      </c>
      <c r="T234">
        <v>0</v>
      </c>
      <c r="U234">
        <v>0</v>
      </c>
    </row>
    <row r="235" spans="1:21" x14ac:dyDescent="0.2">
      <c r="A235" t="s">
        <v>296</v>
      </c>
      <c r="B235">
        <v>3</v>
      </c>
      <c r="C235">
        <v>0</v>
      </c>
      <c r="D235">
        <v>3</v>
      </c>
      <c r="E235">
        <v>1</v>
      </c>
      <c r="F235">
        <v>67003.86</v>
      </c>
      <c r="G235">
        <v>155394</v>
      </c>
      <c r="H235">
        <v>0</v>
      </c>
      <c r="I235">
        <v>22.5</v>
      </c>
      <c r="J235">
        <v>652</v>
      </c>
      <c r="K235">
        <v>652</v>
      </c>
      <c r="M235">
        <v>0</v>
      </c>
      <c r="N235">
        <v>0</v>
      </c>
      <c r="O235">
        <v>0.95</v>
      </c>
      <c r="P235" t="s">
        <v>282</v>
      </c>
      <c r="Q235" t="s">
        <v>27</v>
      </c>
      <c r="R235" t="s">
        <v>283</v>
      </c>
      <c r="S235" t="s">
        <v>286</v>
      </c>
      <c r="T235">
        <v>0</v>
      </c>
      <c r="U235">
        <v>0</v>
      </c>
    </row>
    <row r="236" spans="1:21" x14ac:dyDescent="0.2">
      <c r="A236" t="s">
        <v>297</v>
      </c>
      <c r="B236">
        <v>3</v>
      </c>
      <c r="C236">
        <v>0</v>
      </c>
      <c r="D236">
        <v>3</v>
      </c>
      <c r="E236">
        <v>1</v>
      </c>
      <c r="F236">
        <v>113000</v>
      </c>
      <c r="G236">
        <v>113000</v>
      </c>
      <c r="H236">
        <v>0</v>
      </c>
      <c r="J236">
        <v>31</v>
      </c>
      <c r="K236">
        <v>31</v>
      </c>
      <c r="M236">
        <v>0</v>
      </c>
      <c r="N236">
        <v>0</v>
      </c>
      <c r="O236">
        <v>0.95</v>
      </c>
      <c r="P236" t="s">
        <v>282</v>
      </c>
      <c r="Q236" t="s">
        <v>34</v>
      </c>
      <c r="R236" t="s">
        <v>283</v>
      </c>
      <c r="S236" t="s">
        <v>298</v>
      </c>
      <c r="T236">
        <v>0</v>
      </c>
      <c r="U236">
        <v>0</v>
      </c>
    </row>
    <row r="237" spans="1:21" x14ac:dyDescent="0.2">
      <c r="A237" t="s">
        <v>299</v>
      </c>
      <c r="B237">
        <v>1</v>
      </c>
      <c r="C237">
        <v>0</v>
      </c>
      <c r="D237">
        <v>1</v>
      </c>
      <c r="E237">
        <v>1</v>
      </c>
      <c r="F237">
        <v>110000</v>
      </c>
      <c r="G237">
        <v>110000</v>
      </c>
      <c r="H237">
        <v>0</v>
      </c>
      <c r="J237">
        <v>688</v>
      </c>
      <c r="K237">
        <v>688</v>
      </c>
      <c r="M237">
        <v>0</v>
      </c>
      <c r="N237">
        <v>0</v>
      </c>
      <c r="O237">
        <v>0.46230088495575222</v>
      </c>
      <c r="P237" t="s">
        <v>282</v>
      </c>
      <c r="Q237" t="s">
        <v>27</v>
      </c>
      <c r="R237" t="s">
        <v>283</v>
      </c>
      <c r="S237" t="s">
        <v>286</v>
      </c>
      <c r="T237">
        <v>0</v>
      </c>
      <c r="U237">
        <v>0</v>
      </c>
    </row>
    <row r="238" spans="1:21" x14ac:dyDescent="0.2">
      <c r="A238" t="s">
        <v>300</v>
      </c>
      <c r="B238">
        <v>1</v>
      </c>
      <c r="C238">
        <v>0</v>
      </c>
      <c r="D238">
        <v>1</v>
      </c>
      <c r="E238">
        <v>1</v>
      </c>
      <c r="F238">
        <v>19667.8</v>
      </c>
      <c r="G238">
        <v>237225.15</v>
      </c>
      <c r="H238">
        <v>0</v>
      </c>
      <c r="I238">
        <v>27</v>
      </c>
      <c r="J238">
        <v>495</v>
      </c>
      <c r="K238">
        <v>530</v>
      </c>
      <c r="M238">
        <v>0</v>
      </c>
      <c r="N238">
        <v>0</v>
      </c>
      <c r="O238">
        <v>0.46230088495575222</v>
      </c>
      <c r="P238" t="s">
        <v>282</v>
      </c>
      <c r="Q238" t="s">
        <v>27</v>
      </c>
      <c r="R238" t="s">
        <v>283</v>
      </c>
      <c r="S238" t="s">
        <v>286</v>
      </c>
      <c r="T238">
        <v>0</v>
      </c>
      <c r="U238">
        <v>0</v>
      </c>
    </row>
    <row r="239" spans="1:21" x14ac:dyDescent="0.2">
      <c r="A239" t="s">
        <v>301</v>
      </c>
      <c r="B239">
        <v>1</v>
      </c>
      <c r="C239">
        <v>0</v>
      </c>
      <c r="D239">
        <v>1</v>
      </c>
      <c r="E239">
        <v>1</v>
      </c>
      <c r="F239">
        <v>40000</v>
      </c>
      <c r="G239">
        <v>40000</v>
      </c>
      <c r="H239">
        <v>0</v>
      </c>
      <c r="J239">
        <v>55</v>
      </c>
      <c r="K239">
        <v>55</v>
      </c>
      <c r="M239">
        <v>0</v>
      </c>
      <c r="N239">
        <v>0</v>
      </c>
      <c r="O239">
        <v>0.46230088495575222</v>
      </c>
      <c r="P239" t="s">
        <v>282</v>
      </c>
      <c r="Q239" t="s">
        <v>34</v>
      </c>
      <c r="R239" t="s">
        <v>283</v>
      </c>
      <c r="S239" t="s">
        <v>298</v>
      </c>
      <c r="T239">
        <v>0</v>
      </c>
      <c r="U239">
        <v>0</v>
      </c>
    </row>
    <row r="240" spans="1:21" x14ac:dyDescent="0.2">
      <c r="A240" t="s">
        <v>302</v>
      </c>
      <c r="B240">
        <v>1</v>
      </c>
      <c r="C240">
        <v>0</v>
      </c>
      <c r="D240">
        <v>0</v>
      </c>
      <c r="E240">
        <v>0</v>
      </c>
      <c r="F240">
        <v>60000</v>
      </c>
      <c r="G240">
        <v>147346.62</v>
      </c>
      <c r="H240">
        <v>0</v>
      </c>
      <c r="K240">
        <v>404</v>
      </c>
      <c r="M240">
        <v>0</v>
      </c>
      <c r="N240">
        <v>0</v>
      </c>
      <c r="O240">
        <v>0.46230088495575222</v>
      </c>
      <c r="P240" t="s">
        <v>282</v>
      </c>
      <c r="Q240" t="s">
        <v>23</v>
      </c>
      <c r="R240" t="s">
        <v>283</v>
      </c>
      <c r="S240" t="s">
        <v>284</v>
      </c>
      <c r="T240">
        <v>0</v>
      </c>
      <c r="U240">
        <v>0</v>
      </c>
    </row>
    <row r="241" spans="1:21" x14ac:dyDescent="0.2">
      <c r="A241" t="s">
        <v>303</v>
      </c>
      <c r="B241">
        <v>1</v>
      </c>
      <c r="C241">
        <v>0</v>
      </c>
      <c r="D241">
        <v>1</v>
      </c>
      <c r="E241">
        <v>1</v>
      </c>
      <c r="F241">
        <v>15000</v>
      </c>
      <c r="G241">
        <v>15000</v>
      </c>
      <c r="H241">
        <v>0</v>
      </c>
      <c r="J241">
        <v>0</v>
      </c>
      <c r="K241">
        <v>0</v>
      </c>
      <c r="M241">
        <v>0</v>
      </c>
      <c r="N241">
        <v>0</v>
      </c>
      <c r="O241">
        <v>0.46230088495575222</v>
      </c>
      <c r="P241" t="s">
        <v>282</v>
      </c>
      <c r="Q241" t="s">
        <v>59</v>
      </c>
      <c r="R241" t="s">
        <v>283</v>
      </c>
      <c r="S241" t="s">
        <v>293</v>
      </c>
      <c r="T241">
        <v>0</v>
      </c>
      <c r="U241">
        <v>0</v>
      </c>
    </row>
    <row r="242" spans="1:21" x14ac:dyDescent="0.2">
      <c r="A242" t="s">
        <v>304</v>
      </c>
      <c r="B242">
        <v>1</v>
      </c>
      <c r="C242">
        <v>0</v>
      </c>
      <c r="D242">
        <v>0</v>
      </c>
      <c r="E242">
        <v>0</v>
      </c>
      <c r="F242">
        <v>80000</v>
      </c>
      <c r="G242">
        <v>147346.62</v>
      </c>
      <c r="H242">
        <v>0</v>
      </c>
      <c r="K242">
        <v>273</v>
      </c>
      <c r="M242">
        <v>0</v>
      </c>
      <c r="N242">
        <v>0</v>
      </c>
      <c r="O242">
        <v>0.46230088495575222</v>
      </c>
      <c r="P242" t="s">
        <v>282</v>
      </c>
      <c r="Q242" t="s">
        <v>23</v>
      </c>
      <c r="R242" t="s">
        <v>283</v>
      </c>
      <c r="S242" t="s">
        <v>284</v>
      </c>
      <c r="T242">
        <v>0</v>
      </c>
      <c r="U242">
        <v>0</v>
      </c>
    </row>
    <row r="243" spans="1:21" x14ac:dyDescent="0.2">
      <c r="A243" t="s">
        <v>305</v>
      </c>
      <c r="B243">
        <v>1</v>
      </c>
      <c r="C243">
        <v>0</v>
      </c>
      <c r="D243">
        <v>1</v>
      </c>
      <c r="E243">
        <v>1</v>
      </c>
      <c r="F243">
        <v>65000</v>
      </c>
      <c r="G243">
        <v>65000</v>
      </c>
      <c r="H243">
        <v>0</v>
      </c>
      <c r="J243">
        <v>162</v>
      </c>
      <c r="K243">
        <v>162</v>
      </c>
      <c r="M243">
        <v>0</v>
      </c>
      <c r="N243">
        <v>0</v>
      </c>
      <c r="O243">
        <v>0.46230088495575222</v>
      </c>
      <c r="P243" t="s">
        <v>282</v>
      </c>
      <c r="Q243" t="s">
        <v>27</v>
      </c>
      <c r="R243" t="s">
        <v>283</v>
      </c>
      <c r="S243" t="s">
        <v>286</v>
      </c>
      <c r="T243">
        <v>0</v>
      </c>
      <c r="U243">
        <v>0</v>
      </c>
    </row>
    <row r="244" spans="1:21" x14ac:dyDescent="0.2">
      <c r="A244" t="s">
        <v>306</v>
      </c>
      <c r="B244">
        <v>2</v>
      </c>
      <c r="C244">
        <v>0</v>
      </c>
      <c r="D244">
        <v>2</v>
      </c>
      <c r="E244">
        <v>1</v>
      </c>
      <c r="F244">
        <v>11.4</v>
      </c>
      <c r="G244">
        <v>44118</v>
      </c>
      <c r="H244">
        <v>0</v>
      </c>
      <c r="J244">
        <v>487</v>
      </c>
      <c r="K244">
        <v>487</v>
      </c>
      <c r="M244">
        <v>0</v>
      </c>
      <c r="N244">
        <v>0</v>
      </c>
      <c r="O244">
        <v>0.95</v>
      </c>
      <c r="P244" t="s">
        <v>282</v>
      </c>
      <c r="Q244" t="s">
        <v>27</v>
      </c>
      <c r="R244" t="s">
        <v>283</v>
      </c>
      <c r="S244" t="s">
        <v>286</v>
      </c>
      <c r="T244">
        <v>0</v>
      </c>
      <c r="U244">
        <v>0</v>
      </c>
    </row>
    <row r="245" spans="1:21" x14ac:dyDescent="0.2">
      <c r="A245" t="s">
        <v>307</v>
      </c>
      <c r="B245">
        <v>1</v>
      </c>
      <c r="C245">
        <v>0</v>
      </c>
      <c r="D245">
        <v>1</v>
      </c>
      <c r="E245">
        <v>1</v>
      </c>
      <c r="F245">
        <v>671500</v>
      </c>
      <c r="G245">
        <v>671500</v>
      </c>
      <c r="H245">
        <v>0</v>
      </c>
      <c r="J245">
        <v>7</v>
      </c>
      <c r="K245">
        <v>7</v>
      </c>
      <c r="M245">
        <v>0</v>
      </c>
      <c r="N245">
        <v>0</v>
      </c>
      <c r="O245">
        <v>0.46230088495575222</v>
      </c>
      <c r="P245" t="s">
        <v>282</v>
      </c>
      <c r="Q245" t="s">
        <v>59</v>
      </c>
      <c r="R245" t="s">
        <v>283</v>
      </c>
      <c r="S245" t="s">
        <v>293</v>
      </c>
      <c r="T245">
        <v>0</v>
      </c>
      <c r="U245">
        <v>0</v>
      </c>
    </row>
    <row r="246" spans="1:21" x14ac:dyDescent="0.2">
      <c r="A246" t="s">
        <v>308</v>
      </c>
      <c r="B246">
        <v>1</v>
      </c>
      <c r="C246">
        <v>0</v>
      </c>
      <c r="D246">
        <v>0</v>
      </c>
      <c r="E246">
        <v>0</v>
      </c>
      <c r="F246">
        <v>12000</v>
      </c>
      <c r="G246">
        <v>147346.62</v>
      </c>
      <c r="H246">
        <v>0</v>
      </c>
      <c r="K246">
        <v>318</v>
      </c>
      <c r="M246">
        <v>0</v>
      </c>
      <c r="N246">
        <v>0</v>
      </c>
      <c r="O246">
        <v>0.46230088495575222</v>
      </c>
      <c r="P246" t="s">
        <v>282</v>
      </c>
      <c r="Q246" t="s">
        <v>23</v>
      </c>
      <c r="R246" t="s">
        <v>283</v>
      </c>
      <c r="S246" t="s">
        <v>284</v>
      </c>
      <c r="T246">
        <v>0</v>
      </c>
      <c r="U246">
        <v>0</v>
      </c>
    </row>
    <row r="247" spans="1:21" x14ac:dyDescent="0.2">
      <c r="A247" t="s">
        <v>309</v>
      </c>
      <c r="B247">
        <v>1</v>
      </c>
      <c r="C247">
        <v>0</v>
      </c>
      <c r="D247">
        <v>1</v>
      </c>
      <c r="E247">
        <v>1</v>
      </c>
      <c r="F247">
        <v>61480</v>
      </c>
      <c r="G247">
        <v>61480</v>
      </c>
      <c r="H247">
        <v>0</v>
      </c>
      <c r="J247">
        <v>45</v>
      </c>
      <c r="K247">
        <v>45</v>
      </c>
      <c r="M247">
        <v>0</v>
      </c>
      <c r="N247">
        <v>0</v>
      </c>
      <c r="O247">
        <v>0.46230088495575222</v>
      </c>
      <c r="P247" t="s">
        <v>282</v>
      </c>
      <c r="Q247" t="s">
        <v>34</v>
      </c>
      <c r="R247" t="s">
        <v>283</v>
      </c>
      <c r="S247" t="s">
        <v>298</v>
      </c>
      <c r="T247">
        <v>0</v>
      </c>
      <c r="U247">
        <v>0</v>
      </c>
    </row>
    <row r="248" spans="1:21" x14ac:dyDescent="0.2">
      <c r="A248" t="s">
        <v>310</v>
      </c>
      <c r="B248">
        <v>1</v>
      </c>
      <c r="C248">
        <v>0</v>
      </c>
      <c r="D248">
        <v>1</v>
      </c>
      <c r="E248">
        <v>1</v>
      </c>
      <c r="F248">
        <v>125000</v>
      </c>
      <c r="G248">
        <v>125000</v>
      </c>
      <c r="H248">
        <v>0</v>
      </c>
      <c r="J248">
        <v>270</v>
      </c>
      <c r="K248">
        <v>270</v>
      </c>
      <c r="M248">
        <v>0</v>
      </c>
      <c r="N248">
        <v>0</v>
      </c>
      <c r="O248">
        <v>0.46230088495575222</v>
      </c>
      <c r="P248" t="s">
        <v>282</v>
      </c>
      <c r="Q248" t="s">
        <v>27</v>
      </c>
      <c r="R248" t="s">
        <v>283</v>
      </c>
      <c r="S248" t="s">
        <v>286</v>
      </c>
      <c r="T248">
        <v>0</v>
      </c>
      <c r="U248">
        <v>0</v>
      </c>
    </row>
    <row r="249" spans="1:21" x14ac:dyDescent="0.2">
      <c r="A249" t="s">
        <v>311</v>
      </c>
      <c r="B249">
        <v>1</v>
      </c>
      <c r="C249">
        <v>0</v>
      </c>
      <c r="D249">
        <v>1</v>
      </c>
      <c r="E249">
        <v>1</v>
      </c>
      <c r="F249">
        <v>417187.5</v>
      </c>
      <c r="G249">
        <v>417187.5</v>
      </c>
      <c r="H249">
        <v>0</v>
      </c>
      <c r="J249">
        <v>204</v>
      </c>
      <c r="K249">
        <v>204</v>
      </c>
      <c r="M249">
        <v>0</v>
      </c>
      <c r="N249">
        <v>0</v>
      </c>
      <c r="O249">
        <v>0.46230088495575222</v>
      </c>
      <c r="P249" t="s">
        <v>282</v>
      </c>
      <c r="Q249" t="s">
        <v>27</v>
      </c>
      <c r="R249" t="s">
        <v>283</v>
      </c>
      <c r="S249" t="s">
        <v>286</v>
      </c>
      <c r="T249">
        <v>0</v>
      </c>
      <c r="U249">
        <v>0</v>
      </c>
    </row>
    <row r="250" spans="1:21" x14ac:dyDescent="0.2">
      <c r="A250" t="s">
        <v>312</v>
      </c>
      <c r="B250">
        <v>1</v>
      </c>
      <c r="C250">
        <v>0</v>
      </c>
      <c r="D250">
        <v>0</v>
      </c>
      <c r="E250">
        <v>0</v>
      </c>
      <c r="F250">
        <v>10000</v>
      </c>
      <c r="G250">
        <v>147346.62</v>
      </c>
      <c r="H250">
        <v>0</v>
      </c>
      <c r="K250">
        <v>213</v>
      </c>
      <c r="M250">
        <v>0</v>
      </c>
      <c r="N250">
        <v>0</v>
      </c>
      <c r="O250">
        <v>0.46230088495575222</v>
      </c>
      <c r="P250" t="s">
        <v>282</v>
      </c>
      <c r="Q250" t="s">
        <v>23</v>
      </c>
      <c r="R250" t="s">
        <v>283</v>
      </c>
      <c r="S250" t="s">
        <v>284</v>
      </c>
      <c r="T250">
        <v>0</v>
      </c>
      <c r="U250">
        <v>0</v>
      </c>
    </row>
    <row r="251" spans="1:21" x14ac:dyDescent="0.2">
      <c r="A251" t="s">
        <v>313</v>
      </c>
      <c r="B251">
        <v>1</v>
      </c>
      <c r="C251">
        <v>0</v>
      </c>
      <c r="D251">
        <v>0</v>
      </c>
      <c r="E251">
        <v>0</v>
      </c>
      <c r="F251">
        <v>20000</v>
      </c>
      <c r="G251">
        <v>147346.62</v>
      </c>
      <c r="H251">
        <v>0</v>
      </c>
      <c r="K251">
        <v>440</v>
      </c>
      <c r="M251">
        <v>0</v>
      </c>
      <c r="N251">
        <v>0</v>
      </c>
      <c r="O251">
        <v>0.46230088495575222</v>
      </c>
      <c r="P251" t="s">
        <v>282</v>
      </c>
      <c r="Q251" t="s">
        <v>23</v>
      </c>
      <c r="R251" t="s">
        <v>283</v>
      </c>
      <c r="S251" t="s">
        <v>284</v>
      </c>
      <c r="T251">
        <v>0</v>
      </c>
      <c r="U251">
        <v>0</v>
      </c>
    </row>
    <row r="252" spans="1:21" x14ac:dyDescent="0.2">
      <c r="A252" t="s">
        <v>314</v>
      </c>
      <c r="B252">
        <v>1</v>
      </c>
      <c r="C252">
        <v>0</v>
      </c>
      <c r="D252">
        <v>1</v>
      </c>
      <c r="E252">
        <v>1</v>
      </c>
      <c r="F252">
        <v>3.85</v>
      </c>
      <c r="G252">
        <v>59267.05</v>
      </c>
      <c r="H252">
        <v>0</v>
      </c>
      <c r="I252">
        <v>68</v>
      </c>
      <c r="J252">
        <v>532</v>
      </c>
      <c r="K252">
        <v>900</v>
      </c>
      <c r="M252">
        <v>0</v>
      </c>
      <c r="N252">
        <v>0</v>
      </c>
      <c r="O252">
        <v>0.46230088495575222</v>
      </c>
      <c r="P252" t="s">
        <v>282</v>
      </c>
      <c r="Q252" t="s">
        <v>27</v>
      </c>
      <c r="R252" t="s">
        <v>283</v>
      </c>
      <c r="S252" t="s">
        <v>286</v>
      </c>
      <c r="T252">
        <v>0</v>
      </c>
      <c r="U252">
        <v>0</v>
      </c>
    </row>
    <row r="253" spans="1:21" x14ac:dyDescent="0.2">
      <c r="A253" t="s">
        <v>315</v>
      </c>
      <c r="B253">
        <v>1</v>
      </c>
      <c r="C253">
        <v>0</v>
      </c>
      <c r="D253">
        <v>1</v>
      </c>
      <c r="E253">
        <v>1</v>
      </c>
      <c r="F253">
        <v>3.5</v>
      </c>
      <c r="G253">
        <v>53970</v>
      </c>
      <c r="H253">
        <v>0</v>
      </c>
      <c r="I253">
        <v>41</v>
      </c>
      <c r="J253">
        <v>580</v>
      </c>
      <c r="K253">
        <v>580</v>
      </c>
      <c r="M253">
        <v>0</v>
      </c>
      <c r="N253">
        <v>0</v>
      </c>
      <c r="O253">
        <v>0.46230088495575222</v>
      </c>
      <c r="P253" t="s">
        <v>282</v>
      </c>
      <c r="Q253" t="s">
        <v>27</v>
      </c>
      <c r="R253" t="s">
        <v>283</v>
      </c>
      <c r="S253" t="s">
        <v>286</v>
      </c>
      <c r="T253">
        <v>0</v>
      </c>
      <c r="U253">
        <v>0</v>
      </c>
    </row>
    <row r="254" spans="1:21" x14ac:dyDescent="0.2">
      <c r="A254" t="s">
        <v>316</v>
      </c>
      <c r="B254">
        <v>1</v>
      </c>
      <c r="C254">
        <v>0</v>
      </c>
      <c r="D254">
        <v>1</v>
      </c>
      <c r="E254">
        <v>1</v>
      </c>
      <c r="F254">
        <v>89000</v>
      </c>
      <c r="G254">
        <v>89000</v>
      </c>
      <c r="H254">
        <v>0</v>
      </c>
      <c r="J254">
        <v>86</v>
      </c>
      <c r="K254">
        <v>86</v>
      </c>
      <c r="M254">
        <v>0</v>
      </c>
      <c r="N254">
        <v>0</v>
      </c>
      <c r="O254">
        <v>0.46230088495575222</v>
      </c>
      <c r="P254" t="s">
        <v>282</v>
      </c>
      <c r="Q254" t="s">
        <v>40</v>
      </c>
      <c r="R254" t="s">
        <v>283</v>
      </c>
      <c r="S254" t="s">
        <v>317</v>
      </c>
      <c r="T254">
        <v>0</v>
      </c>
      <c r="U254">
        <v>0</v>
      </c>
    </row>
    <row r="255" spans="1:21" x14ac:dyDescent="0.2">
      <c r="A255" t="s">
        <v>318</v>
      </c>
      <c r="B255">
        <v>1</v>
      </c>
      <c r="C255">
        <v>0</v>
      </c>
      <c r="D255">
        <v>1</v>
      </c>
      <c r="E255">
        <v>1</v>
      </c>
      <c r="F255">
        <v>32000</v>
      </c>
      <c r="G255">
        <v>32000</v>
      </c>
      <c r="H255">
        <v>0</v>
      </c>
      <c r="J255">
        <v>95</v>
      </c>
      <c r="K255">
        <v>95</v>
      </c>
      <c r="M255">
        <v>0</v>
      </c>
      <c r="N255">
        <v>0</v>
      </c>
      <c r="O255">
        <v>0.46230088495575222</v>
      </c>
      <c r="P255" t="s">
        <v>282</v>
      </c>
      <c r="Q255" t="s">
        <v>27</v>
      </c>
      <c r="R255" t="s">
        <v>283</v>
      </c>
      <c r="S255" t="s">
        <v>286</v>
      </c>
      <c r="T255">
        <v>0</v>
      </c>
      <c r="U255">
        <v>0</v>
      </c>
    </row>
    <row r="256" spans="1:21" x14ac:dyDescent="0.2">
      <c r="A256" t="s">
        <v>319</v>
      </c>
      <c r="B256">
        <v>2</v>
      </c>
      <c r="C256">
        <v>0</v>
      </c>
      <c r="D256">
        <v>1</v>
      </c>
      <c r="E256">
        <v>0.5</v>
      </c>
      <c r="F256">
        <v>70669.03</v>
      </c>
      <c r="G256">
        <v>218015.65</v>
      </c>
      <c r="H256">
        <v>0</v>
      </c>
      <c r="K256">
        <v>204.5</v>
      </c>
      <c r="M256">
        <v>0</v>
      </c>
      <c r="N256">
        <v>0</v>
      </c>
      <c r="O256">
        <v>0.64999999999999991</v>
      </c>
      <c r="P256" t="s">
        <v>282</v>
      </c>
      <c r="Q256" t="s">
        <v>23</v>
      </c>
      <c r="R256" t="s">
        <v>283</v>
      </c>
      <c r="S256" t="s">
        <v>284</v>
      </c>
      <c r="T256">
        <v>0</v>
      </c>
      <c r="U256">
        <v>0</v>
      </c>
    </row>
    <row r="257" spans="1:21" x14ac:dyDescent="0.2">
      <c r="A257" t="s">
        <v>320</v>
      </c>
      <c r="B257">
        <v>1</v>
      </c>
      <c r="C257">
        <v>0</v>
      </c>
      <c r="D257">
        <v>0</v>
      </c>
      <c r="E257">
        <v>0</v>
      </c>
      <c r="F257">
        <v>98000</v>
      </c>
      <c r="G257">
        <v>147346.62</v>
      </c>
      <c r="H257">
        <v>0</v>
      </c>
      <c r="K257">
        <v>5</v>
      </c>
      <c r="M257">
        <v>0</v>
      </c>
      <c r="N257">
        <v>0</v>
      </c>
      <c r="O257">
        <v>0.46230088495575222</v>
      </c>
      <c r="P257" t="s">
        <v>282</v>
      </c>
      <c r="Q257" t="s">
        <v>23</v>
      </c>
      <c r="R257" t="s">
        <v>283</v>
      </c>
      <c r="S257" t="s">
        <v>284</v>
      </c>
      <c r="T257">
        <v>0</v>
      </c>
      <c r="U257">
        <v>0</v>
      </c>
    </row>
    <row r="258" spans="1:21" x14ac:dyDescent="0.2">
      <c r="A258" t="s">
        <v>321</v>
      </c>
      <c r="B258">
        <v>1</v>
      </c>
      <c r="C258">
        <v>0</v>
      </c>
      <c r="D258">
        <v>1</v>
      </c>
      <c r="E258">
        <v>1</v>
      </c>
      <c r="F258">
        <v>15000</v>
      </c>
      <c r="G258">
        <v>15000</v>
      </c>
      <c r="H258">
        <v>0</v>
      </c>
      <c r="J258">
        <v>76</v>
      </c>
      <c r="K258">
        <v>76</v>
      </c>
      <c r="M258">
        <v>0</v>
      </c>
      <c r="N258">
        <v>0</v>
      </c>
      <c r="O258">
        <v>0.46230088495575222</v>
      </c>
      <c r="P258" t="s">
        <v>282</v>
      </c>
      <c r="Q258" t="s">
        <v>40</v>
      </c>
      <c r="R258" t="s">
        <v>283</v>
      </c>
      <c r="S258" t="s">
        <v>317</v>
      </c>
      <c r="T258">
        <v>0</v>
      </c>
      <c r="U258">
        <v>0</v>
      </c>
    </row>
    <row r="259" spans="1:21" x14ac:dyDescent="0.2">
      <c r="A259" t="s">
        <v>322</v>
      </c>
      <c r="B259">
        <v>1</v>
      </c>
      <c r="C259">
        <v>0</v>
      </c>
      <c r="D259">
        <v>1</v>
      </c>
      <c r="E259">
        <v>1</v>
      </c>
      <c r="F259">
        <v>150000</v>
      </c>
      <c r="G259">
        <v>150000</v>
      </c>
      <c r="H259">
        <v>0</v>
      </c>
      <c r="J259">
        <v>395</v>
      </c>
      <c r="K259">
        <v>395</v>
      </c>
      <c r="M259">
        <v>0</v>
      </c>
      <c r="N259">
        <v>0</v>
      </c>
      <c r="O259">
        <v>0.46230088495575222</v>
      </c>
      <c r="P259" t="s">
        <v>282</v>
      </c>
      <c r="Q259" t="s">
        <v>27</v>
      </c>
      <c r="R259" t="s">
        <v>283</v>
      </c>
      <c r="S259" t="s">
        <v>286</v>
      </c>
      <c r="T259">
        <v>0</v>
      </c>
      <c r="U259">
        <v>0</v>
      </c>
    </row>
    <row r="260" spans="1:21" x14ac:dyDescent="0.2">
      <c r="A260" t="s">
        <v>323</v>
      </c>
      <c r="B260">
        <v>2</v>
      </c>
      <c r="C260">
        <v>0</v>
      </c>
      <c r="D260">
        <v>2</v>
      </c>
      <c r="E260">
        <v>1</v>
      </c>
      <c r="F260">
        <v>89000</v>
      </c>
      <c r="G260">
        <v>89000</v>
      </c>
      <c r="H260">
        <v>0</v>
      </c>
      <c r="J260">
        <v>379.5</v>
      </c>
      <c r="K260">
        <v>379.5</v>
      </c>
      <c r="M260">
        <v>0</v>
      </c>
      <c r="N260">
        <v>0</v>
      </c>
      <c r="O260">
        <v>0.95</v>
      </c>
      <c r="P260" t="s">
        <v>282</v>
      </c>
      <c r="Q260" t="s">
        <v>27</v>
      </c>
      <c r="R260" t="s">
        <v>283</v>
      </c>
      <c r="S260" t="s">
        <v>286</v>
      </c>
      <c r="T260">
        <v>0</v>
      </c>
      <c r="U260">
        <v>0</v>
      </c>
    </row>
    <row r="261" spans="1:21" x14ac:dyDescent="0.2">
      <c r="A261" t="s">
        <v>324</v>
      </c>
      <c r="B261">
        <v>1</v>
      </c>
      <c r="C261">
        <v>0</v>
      </c>
      <c r="D261">
        <v>1</v>
      </c>
      <c r="E261">
        <v>1</v>
      </c>
      <c r="F261">
        <v>105</v>
      </c>
      <c r="G261">
        <v>36855</v>
      </c>
      <c r="H261">
        <v>0</v>
      </c>
      <c r="I261">
        <v>18</v>
      </c>
      <c r="J261">
        <v>25</v>
      </c>
      <c r="K261">
        <v>25</v>
      </c>
      <c r="M261">
        <v>0</v>
      </c>
      <c r="N261">
        <v>0</v>
      </c>
      <c r="O261">
        <v>0.46230088495575222</v>
      </c>
      <c r="P261" t="s">
        <v>282</v>
      </c>
      <c r="Q261" t="s">
        <v>59</v>
      </c>
      <c r="R261" t="s">
        <v>283</v>
      </c>
      <c r="S261" t="s">
        <v>293</v>
      </c>
      <c r="T261">
        <v>0</v>
      </c>
      <c r="U261">
        <v>0</v>
      </c>
    </row>
    <row r="262" spans="1:21" x14ac:dyDescent="0.2">
      <c r="A262" t="s">
        <v>325</v>
      </c>
      <c r="B262">
        <v>1</v>
      </c>
      <c r="C262">
        <v>0</v>
      </c>
      <c r="D262">
        <v>1</v>
      </c>
      <c r="E262">
        <v>1</v>
      </c>
      <c r="F262">
        <v>148000</v>
      </c>
      <c r="G262">
        <v>148000</v>
      </c>
      <c r="H262">
        <v>0</v>
      </c>
      <c r="J262">
        <v>0</v>
      </c>
      <c r="K262">
        <v>0</v>
      </c>
      <c r="M262">
        <v>0</v>
      </c>
      <c r="N262">
        <v>0</v>
      </c>
      <c r="O262">
        <v>0.46230088495575222</v>
      </c>
      <c r="P262" t="s">
        <v>282</v>
      </c>
      <c r="Q262" t="s">
        <v>59</v>
      </c>
      <c r="R262" t="s">
        <v>283</v>
      </c>
      <c r="S262" t="s">
        <v>293</v>
      </c>
      <c r="T262">
        <v>0</v>
      </c>
      <c r="U262">
        <v>0</v>
      </c>
    </row>
    <row r="263" spans="1:21" x14ac:dyDescent="0.2">
      <c r="A263" t="s">
        <v>326</v>
      </c>
      <c r="B263">
        <v>1</v>
      </c>
      <c r="C263">
        <v>0</v>
      </c>
      <c r="D263">
        <v>1</v>
      </c>
      <c r="E263">
        <v>1</v>
      </c>
      <c r="F263">
        <v>30000</v>
      </c>
      <c r="G263">
        <v>30000</v>
      </c>
      <c r="H263">
        <v>0</v>
      </c>
      <c r="I263">
        <v>10</v>
      </c>
      <c r="J263">
        <v>912</v>
      </c>
      <c r="K263">
        <v>912</v>
      </c>
      <c r="M263">
        <v>0</v>
      </c>
      <c r="N263">
        <v>0</v>
      </c>
      <c r="O263">
        <v>0.46230088495575222</v>
      </c>
      <c r="P263" t="s">
        <v>282</v>
      </c>
      <c r="Q263" t="s">
        <v>27</v>
      </c>
      <c r="R263" t="s">
        <v>283</v>
      </c>
      <c r="S263" t="s">
        <v>286</v>
      </c>
      <c r="T263">
        <v>0</v>
      </c>
      <c r="U263">
        <v>0</v>
      </c>
    </row>
    <row r="264" spans="1:21" x14ac:dyDescent="0.2">
      <c r="A264" t="s">
        <v>327</v>
      </c>
      <c r="B264">
        <v>1</v>
      </c>
      <c r="C264">
        <v>0</v>
      </c>
      <c r="D264">
        <v>1</v>
      </c>
      <c r="E264">
        <v>1</v>
      </c>
      <c r="F264">
        <v>452000</v>
      </c>
      <c r="G264">
        <v>452000</v>
      </c>
      <c r="H264">
        <v>0</v>
      </c>
      <c r="J264">
        <v>329</v>
      </c>
      <c r="K264">
        <v>329</v>
      </c>
      <c r="M264">
        <v>0</v>
      </c>
      <c r="N264">
        <v>0</v>
      </c>
      <c r="O264">
        <v>0.46230088495575222</v>
      </c>
      <c r="P264" t="s">
        <v>282</v>
      </c>
      <c r="Q264" t="s">
        <v>27</v>
      </c>
      <c r="R264" t="s">
        <v>283</v>
      </c>
      <c r="S264" t="s">
        <v>286</v>
      </c>
      <c r="T264">
        <v>0</v>
      </c>
      <c r="U264">
        <v>0</v>
      </c>
    </row>
    <row r="265" spans="1:21" x14ac:dyDescent="0.2">
      <c r="A265" t="s">
        <v>328</v>
      </c>
      <c r="B265">
        <v>1</v>
      </c>
      <c r="C265">
        <v>0</v>
      </c>
      <c r="D265">
        <v>1</v>
      </c>
      <c r="E265">
        <v>1</v>
      </c>
      <c r="F265">
        <v>29606</v>
      </c>
      <c r="G265">
        <v>45750</v>
      </c>
      <c r="H265">
        <v>0</v>
      </c>
      <c r="J265">
        <v>13</v>
      </c>
      <c r="K265">
        <v>13</v>
      </c>
      <c r="M265">
        <v>0</v>
      </c>
      <c r="N265">
        <v>0</v>
      </c>
      <c r="O265">
        <v>0.46230088495575222</v>
      </c>
      <c r="P265" t="s">
        <v>282</v>
      </c>
      <c r="Q265" t="s">
        <v>59</v>
      </c>
      <c r="R265" t="s">
        <v>283</v>
      </c>
      <c r="S265" t="s">
        <v>293</v>
      </c>
      <c r="T265">
        <v>0</v>
      </c>
      <c r="U265">
        <v>0</v>
      </c>
    </row>
    <row r="266" spans="1:21" x14ac:dyDescent="0.2">
      <c r="A266" t="s">
        <v>329</v>
      </c>
      <c r="B266">
        <v>4</v>
      </c>
      <c r="C266">
        <v>0</v>
      </c>
      <c r="D266">
        <v>4</v>
      </c>
      <c r="E266">
        <v>1</v>
      </c>
      <c r="F266">
        <v>279368</v>
      </c>
      <c r="G266">
        <v>279368</v>
      </c>
      <c r="H266">
        <v>0</v>
      </c>
      <c r="J266">
        <v>374</v>
      </c>
      <c r="K266">
        <v>374</v>
      </c>
      <c r="M266">
        <v>0</v>
      </c>
      <c r="N266">
        <v>0</v>
      </c>
      <c r="O266">
        <v>0.95</v>
      </c>
      <c r="P266" t="s">
        <v>282</v>
      </c>
      <c r="Q266" t="s">
        <v>27</v>
      </c>
      <c r="R266" t="s">
        <v>283</v>
      </c>
      <c r="S266" t="s">
        <v>286</v>
      </c>
      <c r="T266">
        <v>0</v>
      </c>
      <c r="U266">
        <v>0</v>
      </c>
    </row>
    <row r="267" spans="1:21" x14ac:dyDescent="0.2">
      <c r="A267" t="s">
        <v>330</v>
      </c>
      <c r="B267">
        <v>1</v>
      </c>
      <c r="C267">
        <v>0</v>
      </c>
      <c r="D267">
        <v>0</v>
      </c>
      <c r="E267">
        <v>0</v>
      </c>
      <c r="F267">
        <v>6000</v>
      </c>
      <c r="G267">
        <v>147346.62</v>
      </c>
      <c r="H267">
        <v>0</v>
      </c>
      <c r="K267">
        <v>328</v>
      </c>
      <c r="M267">
        <v>0</v>
      </c>
      <c r="N267">
        <v>0</v>
      </c>
      <c r="O267">
        <v>0.46230088495575222</v>
      </c>
      <c r="P267" t="s">
        <v>282</v>
      </c>
      <c r="Q267" t="s">
        <v>23</v>
      </c>
      <c r="R267" t="s">
        <v>283</v>
      </c>
      <c r="S267" t="s">
        <v>284</v>
      </c>
      <c r="T267">
        <v>0</v>
      </c>
      <c r="U267">
        <v>0</v>
      </c>
    </row>
    <row r="268" spans="1:21" x14ac:dyDescent="0.2">
      <c r="A268" t="s">
        <v>331</v>
      </c>
      <c r="B268">
        <v>2</v>
      </c>
      <c r="C268">
        <v>0</v>
      </c>
      <c r="D268">
        <v>2</v>
      </c>
      <c r="E268">
        <v>1</v>
      </c>
      <c r="F268">
        <v>164003.79999999999</v>
      </c>
      <c r="G268">
        <v>180000</v>
      </c>
      <c r="H268">
        <v>0</v>
      </c>
      <c r="I268">
        <v>266.5</v>
      </c>
      <c r="J268">
        <v>912</v>
      </c>
      <c r="K268">
        <v>912</v>
      </c>
      <c r="M268">
        <v>0</v>
      </c>
      <c r="N268">
        <v>0</v>
      </c>
      <c r="O268">
        <v>0.95</v>
      </c>
      <c r="P268" t="s">
        <v>282</v>
      </c>
      <c r="Q268" t="s">
        <v>27</v>
      </c>
      <c r="R268" t="s">
        <v>283</v>
      </c>
      <c r="S268" t="s">
        <v>286</v>
      </c>
      <c r="T268">
        <v>0</v>
      </c>
      <c r="U268">
        <v>0</v>
      </c>
    </row>
    <row r="269" spans="1:21" x14ac:dyDescent="0.2">
      <c r="A269" t="s">
        <v>332</v>
      </c>
      <c r="B269">
        <v>2</v>
      </c>
      <c r="C269">
        <v>0</v>
      </c>
      <c r="D269">
        <v>2</v>
      </c>
      <c r="E269">
        <v>1</v>
      </c>
      <c r="F269">
        <v>20000</v>
      </c>
      <c r="G269">
        <v>20000</v>
      </c>
      <c r="H269">
        <v>0</v>
      </c>
      <c r="J269">
        <v>27</v>
      </c>
      <c r="K269">
        <v>27</v>
      </c>
      <c r="M269">
        <v>0</v>
      </c>
      <c r="N269">
        <v>0</v>
      </c>
      <c r="O269">
        <v>0.95</v>
      </c>
      <c r="P269" t="s">
        <v>282</v>
      </c>
      <c r="Q269" t="s">
        <v>59</v>
      </c>
      <c r="R269" t="s">
        <v>283</v>
      </c>
      <c r="S269" t="s">
        <v>293</v>
      </c>
      <c r="T269">
        <v>0</v>
      </c>
      <c r="U269">
        <v>0</v>
      </c>
    </row>
    <row r="270" spans="1:21" x14ac:dyDescent="0.2">
      <c r="A270" t="s">
        <v>333</v>
      </c>
      <c r="B270">
        <v>1</v>
      </c>
      <c r="C270">
        <v>0</v>
      </c>
      <c r="D270">
        <v>1</v>
      </c>
      <c r="E270">
        <v>1</v>
      </c>
      <c r="F270">
        <v>26000</v>
      </c>
      <c r="G270">
        <v>26000</v>
      </c>
      <c r="H270">
        <v>0</v>
      </c>
      <c r="J270">
        <v>26</v>
      </c>
      <c r="K270">
        <v>26</v>
      </c>
      <c r="M270">
        <v>0</v>
      </c>
      <c r="N270">
        <v>0</v>
      </c>
      <c r="O270">
        <v>0.46230088495575222</v>
      </c>
      <c r="P270" t="s">
        <v>282</v>
      </c>
      <c r="Q270" t="s">
        <v>59</v>
      </c>
      <c r="R270" t="s">
        <v>283</v>
      </c>
      <c r="S270" t="s">
        <v>293</v>
      </c>
      <c r="T270">
        <v>0</v>
      </c>
      <c r="U270">
        <v>0</v>
      </c>
    </row>
    <row r="271" spans="1:21" x14ac:dyDescent="0.2">
      <c r="A271" t="s">
        <v>334</v>
      </c>
      <c r="B271">
        <v>1</v>
      </c>
      <c r="C271">
        <v>0</v>
      </c>
      <c r="D271">
        <v>1</v>
      </c>
      <c r="E271">
        <v>1</v>
      </c>
      <c r="F271">
        <v>2.09</v>
      </c>
      <c r="G271">
        <v>5096.6400000000003</v>
      </c>
      <c r="H271">
        <v>0</v>
      </c>
      <c r="I271">
        <v>25</v>
      </c>
      <c r="J271">
        <v>859</v>
      </c>
      <c r="K271">
        <v>859</v>
      </c>
      <c r="M271">
        <v>0</v>
      </c>
      <c r="N271">
        <v>0</v>
      </c>
      <c r="O271">
        <v>0.46230088495575222</v>
      </c>
      <c r="P271" t="s">
        <v>282</v>
      </c>
      <c r="Q271" t="s">
        <v>27</v>
      </c>
      <c r="R271" t="s">
        <v>283</v>
      </c>
      <c r="S271" t="s">
        <v>286</v>
      </c>
      <c r="T271">
        <v>0</v>
      </c>
      <c r="U271">
        <v>0</v>
      </c>
    </row>
    <row r="272" spans="1:21" x14ac:dyDescent="0.2">
      <c r="A272" t="s">
        <v>335</v>
      </c>
      <c r="B272">
        <v>1</v>
      </c>
      <c r="C272">
        <v>0</v>
      </c>
      <c r="D272">
        <v>1</v>
      </c>
      <c r="E272">
        <v>1</v>
      </c>
      <c r="F272">
        <v>50000</v>
      </c>
      <c r="G272">
        <v>50000</v>
      </c>
      <c r="H272">
        <v>0</v>
      </c>
      <c r="I272">
        <v>107</v>
      </c>
      <c r="J272">
        <v>157</v>
      </c>
      <c r="K272">
        <v>157</v>
      </c>
      <c r="M272">
        <v>0</v>
      </c>
      <c r="N272">
        <v>0</v>
      </c>
      <c r="O272">
        <v>0.46230088495575222</v>
      </c>
      <c r="P272" t="s">
        <v>282</v>
      </c>
      <c r="Q272" t="s">
        <v>27</v>
      </c>
      <c r="R272" t="s">
        <v>283</v>
      </c>
      <c r="S272" t="s">
        <v>286</v>
      </c>
      <c r="T272">
        <v>0</v>
      </c>
      <c r="U272">
        <v>0</v>
      </c>
    </row>
    <row r="273" spans="1:21" x14ac:dyDescent="0.2">
      <c r="A273" t="s">
        <v>336</v>
      </c>
      <c r="B273">
        <v>1</v>
      </c>
      <c r="C273">
        <v>0</v>
      </c>
      <c r="D273">
        <v>1</v>
      </c>
      <c r="E273">
        <v>1</v>
      </c>
      <c r="F273">
        <v>99400</v>
      </c>
      <c r="G273">
        <v>99400</v>
      </c>
      <c r="H273">
        <v>0</v>
      </c>
      <c r="J273">
        <v>18</v>
      </c>
      <c r="K273">
        <v>18</v>
      </c>
      <c r="M273">
        <v>0</v>
      </c>
      <c r="N273">
        <v>0</v>
      </c>
      <c r="O273">
        <v>0.46230088495575222</v>
      </c>
      <c r="P273" t="s">
        <v>282</v>
      </c>
      <c r="Q273" t="s">
        <v>59</v>
      </c>
      <c r="R273" t="s">
        <v>283</v>
      </c>
      <c r="S273" t="s">
        <v>293</v>
      </c>
      <c r="T273">
        <v>0</v>
      </c>
      <c r="U273">
        <v>0</v>
      </c>
    </row>
    <row r="274" spans="1:21" x14ac:dyDescent="0.2">
      <c r="A274" t="s">
        <v>337</v>
      </c>
      <c r="B274">
        <v>1</v>
      </c>
      <c r="C274">
        <v>0</v>
      </c>
      <c r="D274">
        <v>1</v>
      </c>
      <c r="E274">
        <v>1</v>
      </c>
      <c r="F274">
        <v>2.99</v>
      </c>
      <c r="G274">
        <v>59590.8</v>
      </c>
      <c r="H274">
        <v>0</v>
      </c>
      <c r="J274">
        <v>62</v>
      </c>
      <c r="K274">
        <v>484</v>
      </c>
      <c r="M274">
        <v>0</v>
      </c>
      <c r="N274">
        <v>0</v>
      </c>
      <c r="O274">
        <v>0.46230088495575222</v>
      </c>
      <c r="P274" t="s">
        <v>282</v>
      </c>
      <c r="Q274" t="s">
        <v>40</v>
      </c>
      <c r="R274" t="s">
        <v>283</v>
      </c>
      <c r="S274" t="s">
        <v>317</v>
      </c>
      <c r="T274">
        <v>0</v>
      </c>
      <c r="U27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AD5A-6268-5C44-AF4D-218E7D9A15F5}">
  <dimension ref="A1:G64"/>
  <sheetViews>
    <sheetView tabSelected="1" zoomScale="114" workbookViewId="0">
      <selection activeCell="F9" sqref="F9"/>
    </sheetView>
  </sheetViews>
  <sheetFormatPr baseColWidth="10" defaultRowHeight="16" x14ac:dyDescent="0.2"/>
  <cols>
    <col min="1" max="1" width="23.5" style="9" customWidth="1"/>
    <col min="3" max="3" width="10.33203125" customWidth="1"/>
    <col min="4" max="4" width="11.33203125" customWidth="1"/>
  </cols>
  <sheetData>
    <row r="1" spans="1:7" ht="48" x14ac:dyDescent="0.2">
      <c r="A1" s="7" t="s">
        <v>0</v>
      </c>
      <c r="B1" s="7" t="s">
        <v>1</v>
      </c>
      <c r="C1" s="7" t="s">
        <v>341</v>
      </c>
      <c r="D1" s="7" t="s">
        <v>10</v>
      </c>
      <c r="E1" s="7" t="s">
        <v>5</v>
      </c>
      <c r="F1" s="7" t="s">
        <v>6</v>
      </c>
      <c r="G1" s="7" t="s">
        <v>342</v>
      </c>
    </row>
    <row r="2" spans="1:7" x14ac:dyDescent="0.2">
      <c r="A2" s="8" t="s">
        <v>26</v>
      </c>
      <c r="B2" s="5">
        <v>13</v>
      </c>
      <c r="C2" s="5">
        <v>111.8</v>
      </c>
      <c r="D2" s="5">
        <v>111</v>
      </c>
      <c r="E2" s="5">
        <v>4559701</v>
      </c>
      <c r="F2" s="5">
        <v>2580344.1</v>
      </c>
      <c r="G2" s="6">
        <v>0.56589999999999996</v>
      </c>
    </row>
    <row r="3" spans="1:7" x14ac:dyDescent="0.2">
      <c r="A3" s="8" t="s">
        <v>33</v>
      </c>
      <c r="B3" s="5">
        <v>4</v>
      </c>
      <c r="C3" s="5">
        <v>113.8</v>
      </c>
      <c r="D3" s="5">
        <v>56.5</v>
      </c>
      <c r="E3" s="5">
        <v>1613000</v>
      </c>
      <c r="F3" s="5">
        <v>1613000</v>
      </c>
      <c r="G3" s="6">
        <v>1</v>
      </c>
    </row>
    <row r="4" spans="1:7" x14ac:dyDescent="0.2">
      <c r="A4" s="8" t="s">
        <v>45</v>
      </c>
      <c r="B4" s="5">
        <v>3</v>
      </c>
      <c r="C4" s="5"/>
      <c r="D4" s="5"/>
      <c r="E4" s="5">
        <v>1400400</v>
      </c>
      <c r="F4" s="5"/>
      <c r="G4" s="6">
        <v>0</v>
      </c>
    </row>
    <row r="5" spans="1:7" x14ac:dyDescent="0.2">
      <c r="A5" s="8" t="s">
        <v>68</v>
      </c>
      <c r="B5" s="5">
        <v>2</v>
      </c>
      <c r="C5" s="5">
        <v>36</v>
      </c>
      <c r="D5" s="5">
        <v>36</v>
      </c>
      <c r="E5" s="5">
        <v>940721.2</v>
      </c>
      <c r="F5" s="5">
        <v>325543.2</v>
      </c>
      <c r="G5" s="6">
        <v>0.34610000000000002</v>
      </c>
    </row>
    <row r="6" spans="1:7" ht="32" x14ac:dyDescent="0.2">
      <c r="A6" s="8" t="s">
        <v>44</v>
      </c>
      <c r="B6" s="5">
        <v>3</v>
      </c>
      <c r="C6" s="5">
        <v>56</v>
      </c>
      <c r="D6" s="5">
        <v>56</v>
      </c>
      <c r="E6" s="5">
        <v>917814</v>
      </c>
      <c r="F6" s="5">
        <v>424270</v>
      </c>
      <c r="G6" s="6">
        <v>0.46229999999999999</v>
      </c>
    </row>
    <row r="7" spans="1:7" x14ac:dyDescent="0.2">
      <c r="A7" s="8" t="s">
        <v>30</v>
      </c>
      <c r="B7" s="5">
        <v>2</v>
      </c>
      <c r="C7" s="5"/>
      <c r="D7" s="5"/>
      <c r="E7" s="5">
        <v>772009</v>
      </c>
      <c r="F7" s="5"/>
      <c r="G7" s="6">
        <v>0</v>
      </c>
    </row>
    <row r="8" spans="1:7" ht="32" x14ac:dyDescent="0.2">
      <c r="A8" s="8" t="s">
        <v>62</v>
      </c>
      <c r="B8" s="5">
        <v>1</v>
      </c>
      <c r="C8" s="5"/>
      <c r="D8" s="5"/>
      <c r="E8" s="5">
        <v>666731.03</v>
      </c>
      <c r="F8" s="5"/>
      <c r="G8" s="6">
        <v>0</v>
      </c>
    </row>
    <row r="9" spans="1:7" ht="32" x14ac:dyDescent="0.2">
      <c r="A9" s="8" t="s">
        <v>67</v>
      </c>
      <c r="B9" s="5">
        <v>1</v>
      </c>
      <c r="C9" s="5"/>
      <c r="D9" s="5"/>
      <c r="E9" s="5">
        <v>617999.99</v>
      </c>
      <c r="F9" s="5"/>
      <c r="G9" s="6">
        <v>0</v>
      </c>
    </row>
    <row r="10" spans="1:7" ht="32" x14ac:dyDescent="0.2">
      <c r="A10" s="8" t="s">
        <v>58</v>
      </c>
      <c r="B10" s="5">
        <v>3</v>
      </c>
      <c r="C10" s="5">
        <v>18</v>
      </c>
      <c r="D10" s="5">
        <v>19</v>
      </c>
      <c r="E10" s="5">
        <v>573350</v>
      </c>
      <c r="F10" s="5">
        <v>508590</v>
      </c>
      <c r="G10" s="6">
        <v>0.88700000000000001</v>
      </c>
    </row>
    <row r="11" spans="1:7" x14ac:dyDescent="0.2">
      <c r="A11" s="8" t="s">
        <v>227</v>
      </c>
      <c r="B11" s="5">
        <v>2</v>
      </c>
      <c r="C11" s="5">
        <v>16</v>
      </c>
      <c r="D11" s="5">
        <v>16</v>
      </c>
      <c r="E11" s="5">
        <v>439344</v>
      </c>
      <c r="F11" s="5">
        <v>417874</v>
      </c>
      <c r="G11" s="6">
        <v>0.95109999999999995</v>
      </c>
    </row>
    <row r="12" spans="1:7" x14ac:dyDescent="0.2">
      <c r="A12" s="8" t="s">
        <v>51</v>
      </c>
      <c r="B12" s="5">
        <v>2</v>
      </c>
      <c r="C12" s="5">
        <v>56.5</v>
      </c>
      <c r="D12" s="5">
        <v>56.5</v>
      </c>
      <c r="E12" s="5">
        <v>426950</v>
      </c>
      <c r="F12" s="5">
        <v>399080</v>
      </c>
      <c r="G12" s="6">
        <v>0.93469999999999998</v>
      </c>
    </row>
    <row r="13" spans="1:7" x14ac:dyDescent="0.2">
      <c r="A13" s="8" t="s">
        <v>249</v>
      </c>
      <c r="B13" s="5">
        <v>1</v>
      </c>
      <c r="C13" s="5">
        <v>198</v>
      </c>
      <c r="D13" s="5">
        <v>198</v>
      </c>
      <c r="E13" s="5">
        <v>423534.2</v>
      </c>
      <c r="F13" s="5">
        <v>412247.18</v>
      </c>
      <c r="G13" s="6">
        <v>0.97340000000000004</v>
      </c>
    </row>
    <row r="14" spans="1:7" ht="32" x14ac:dyDescent="0.2">
      <c r="A14" s="8" t="s">
        <v>214</v>
      </c>
      <c r="B14" s="5">
        <v>1</v>
      </c>
      <c r="C14" s="5">
        <v>154</v>
      </c>
      <c r="D14" s="5">
        <v>154</v>
      </c>
      <c r="E14" s="5">
        <v>281267</v>
      </c>
      <c r="F14" s="5">
        <v>253100</v>
      </c>
      <c r="G14" s="6">
        <v>0.89990000000000003</v>
      </c>
    </row>
    <row r="15" spans="1:7" x14ac:dyDescent="0.2">
      <c r="A15" s="8" t="s">
        <v>108</v>
      </c>
      <c r="B15" s="5">
        <v>1</v>
      </c>
      <c r="C15" s="5"/>
      <c r="D15" s="5"/>
      <c r="E15" s="5">
        <v>235000</v>
      </c>
      <c r="F15" s="5">
        <v>47000</v>
      </c>
      <c r="G15" s="6">
        <v>0.2</v>
      </c>
    </row>
    <row r="16" spans="1:7" ht="32" x14ac:dyDescent="0.2">
      <c r="A16" s="8" t="s">
        <v>65</v>
      </c>
      <c r="B16" s="5">
        <v>1</v>
      </c>
      <c r="C16" s="5">
        <v>137</v>
      </c>
      <c r="D16" s="5">
        <v>137</v>
      </c>
      <c r="E16" s="5">
        <v>229793</v>
      </c>
      <c r="F16" s="5">
        <v>129793</v>
      </c>
      <c r="G16" s="6">
        <v>0.56479999999999997</v>
      </c>
    </row>
    <row r="17" spans="1:7" x14ac:dyDescent="0.2">
      <c r="A17" s="8" t="s">
        <v>120</v>
      </c>
      <c r="B17" s="5">
        <v>1</v>
      </c>
      <c r="C17" s="5">
        <v>47</v>
      </c>
      <c r="D17" s="5">
        <v>47</v>
      </c>
      <c r="E17" s="5">
        <v>228000</v>
      </c>
      <c r="F17" s="5">
        <v>100000</v>
      </c>
      <c r="G17" s="6">
        <v>0.43859999999999999</v>
      </c>
    </row>
    <row r="18" spans="1:7" x14ac:dyDescent="0.2">
      <c r="A18" s="8" t="s">
        <v>52</v>
      </c>
      <c r="B18" s="5">
        <v>1</v>
      </c>
      <c r="C18" s="5">
        <v>35</v>
      </c>
      <c r="D18" s="5">
        <v>35</v>
      </c>
      <c r="E18" s="5">
        <v>189120</v>
      </c>
      <c r="F18" s="5">
        <v>170208</v>
      </c>
      <c r="G18" s="6">
        <v>0.9</v>
      </c>
    </row>
    <row r="19" spans="1:7" x14ac:dyDescent="0.2">
      <c r="A19" s="8" t="s">
        <v>234</v>
      </c>
      <c r="B19" s="5">
        <v>2</v>
      </c>
      <c r="C19" s="5">
        <v>71.5</v>
      </c>
      <c r="D19" s="5">
        <v>71.5</v>
      </c>
      <c r="E19" s="5">
        <v>186000</v>
      </c>
      <c r="F19" s="5">
        <v>167400</v>
      </c>
      <c r="G19" s="6">
        <v>0.9</v>
      </c>
    </row>
    <row r="20" spans="1:7" x14ac:dyDescent="0.2">
      <c r="A20" s="8" t="s">
        <v>235</v>
      </c>
      <c r="B20" s="5">
        <v>1</v>
      </c>
      <c r="C20" s="5">
        <v>117</v>
      </c>
      <c r="D20" s="5">
        <v>117</v>
      </c>
      <c r="E20" s="5">
        <v>180000</v>
      </c>
      <c r="F20" s="5">
        <v>162000</v>
      </c>
      <c r="G20" s="6">
        <v>0.9</v>
      </c>
    </row>
    <row r="21" spans="1:7" x14ac:dyDescent="0.2">
      <c r="A21" s="8" t="s">
        <v>49</v>
      </c>
      <c r="B21" s="5">
        <v>1</v>
      </c>
      <c r="C21" s="5">
        <v>108</v>
      </c>
      <c r="D21" s="5">
        <v>108</v>
      </c>
      <c r="E21" s="5">
        <v>160000</v>
      </c>
      <c r="F21" s="5">
        <v>152000</v>
      </c>
      <c r="G21" s="6">
        <v>0.95</v>
      </c>
    </row>
    <row r="22" spans="1:7" ht="32" x14ac:dyDescent="0.2">
      <c r="A22" s="8" t="s">
        <v>84</v>
      </c>
      <c r="B22" s="5">
        <v>2</v>
      </c>
      <c r="C22" s="5">
        <v>35</v>
      </c>
      <c r="D22" s="5">
        <v>35</v>
      </c>
      <c r="E22" s="5">
        <v>150000</v>
      </c>
      <c r="F22" s="5">
        <v>150000</v>
      </c>
      <c r="G22" s="6">
        <v>1</v>
      </c>
    </row>
    <row r="23" spans="1:7" ht="32" x14ac:dyDescent="0.2">
      <c r="A23" s="8" t="s">
        <v>325</v>
      </c>
      <c r="B23" s="5">
        <v>1</v>
      </c>
      <c r="C23" s="5">
        <v>0</v>
      </c>
      <c r="D23" s="5">
        <v>0</v>
      </c>
      <c r="E23" s="5">
        <v>148000</v>
      </c>
      <c r="F23" s="5">
        <v>148000</v>
      </c>
      <c r="G23" s="6">
        <v>1</v>
      </c>
    </row>
    <row r="24" spans="1:7" x14ac:dyDescent="0.2">
      <c r="A24" s="8" t="s">
        <v>329</v>
      </c>
      <c r="B24" s="5">
        <v>2</v>
      </c>
      <c r="C24" s="5">
        <v>62</v>
      </c>
      <c r="D24" s="5">
        <v>62</v>
      </c>
      <c r="E24" s="5">
        <v>139073</v>
      </c>
      <c r="F24" s="5">
        <v>139073</v>
      </c>
      <c r="G24" s="6">
        <v>1</v>
      </c>
    </row>
    <row r="25" spans="1:7" x14ac:dyDescent="0.2">
      <c r="A25" s="8" t="s">
        <v>76</v>
      </c>
      <c r="B25" s="5">
        <v>2</v>
      </c>
      <c r="C25" s="5">
        <v>48.5</v>
      </c>
      <c r="D25" s="5">
        <v>48.5</v>
      </c>
      <c r="E25" s="5">
        <v>136765</v>
      </c>
      <c r="F25" s="5">
        <v>116040</v>
      </c>
      <c r="G25" s="6">
        <v>0.84850000000000003</v>
      </c>
    </row>
    <row r="26" spans="1:7" ht="32" x14ac:dyDescent="0.2">
      <c r="A26" s="8" t="s">
        <v>269</v>
      </c>
      <c r="B26" s="5">
        <v>1</v>
      </c>
      <c r="C26" s="5">
        <v>4</v>
      </c>
      <c r="D26" s="5">
        <v>4</v>
      </c>
      <c r="E26" s="5">
        <v>131200</v>
      </c>
      <c r="F26" s="5">
        <v>127264</v>
      </c>
      <c r="G26" s="6">
        <v>0.97</v>
      </c>
    </row>
    <row r="27" spans="1:7" x14ac:dyDescent="0.2">
      <c r="A27" s="8" t="s">
        <v>237</v>
      </c>
      <c r="B27" s="5">
        <v>2</v>
      </c>
      <c r="C27" s="5">
        <v>39.5</v>
      </c>
      <c r="D27" s="5">
        <v>39.5</v>
      </c>
      <c r="E27" s="5">
        <v>130400</v>
      </c>
      <c r="F27" s="5">
        <v>125500</v>
      </c>
      <c r="G27" s="6">
        <v>0.96240000000000003</v>
      </c>
    </row>
    <row r="28" spans="1:7" ht="48" x14ac:dyDescent="0.2">
      <c r="A28" s="8" t="s">
        <v>102</v>
      </c>
      <c r="B28" s="5">
        <v>2</v>
      </c>
      <c r="C28" s="5"/>
      <c r="D28" s="5"/>
      <c r="E28" s="5">
        <v>127493.2</v>
      </c>
      <c r="F28" s="5"/>
      <c r="G28" s="6">
        <v>0</v>
      </c>
    </row>
    <row r="29" spans="1:7" x14ac:dyDescent="0.2">
      <c r="A29" s="8" t="s">
        <v>247</v>
      </c>
      <c r="B29" s="5">
        <v>2</v>
      </c>
      <c r="C29" s="5">
        <v>7</v>
      </c>
      <c r="D29" s="5">
        <v>7</v>
      </c>
      <c r="E29" s="5">
        <v>120000</v>
      </c>
      <c r="F29" s="5">
        <v>108000</v>
      </c>
      <c r="G29" s="6">
        <v>0.9</v>
      </c>
    </row>
    <row r="30" spans="1:7" x14ac:dyDescent="0.2">
      <c r="A30" s="8" t="s">
        <v>77</v>
      </c>
      <c r="B30" s="5">
        <v>1</v>
      </c>
      <c r="C30" s="5"/>
      <c r="D30" s="5"/>
      <c r="E30" s="5">
        <v>120000</v>
      </c>
      <c r="F30" s="5"/>
      <c r="G30" s="6">
        <v>0</v>
      </c>
    </row>
    <row r="31" spans="1:7" ht="32" x14ac:dyDescent="0.2">
      <c r="A31" s="8" t="s">
        <v>297</v>
      </c>
      <c r="B31" s="5">
        <v>3</v>
      </c>
      <c r="C31" s="5">
        <v>22.7</v>
      </c>
      <c r="D31" s="5">
        <v>31</v>
      </c>
      <c r="E31" s="5">
        <v>113000</v>
      </c>
      <c r="F31" s="5">
        <v>113000</v>
      </c>
      <c r="G31" s="6">
        <v>1</v>
      </c>
    </row>
    <row r="32" spans="1:7" x14ac:dyDescent="0.2">
      <c r="A32" s="8" t="s">
        <v>75</v>
      </c>
      <c r="B32" s="5">
        <v>2</v>
      </c>
      <c r="C32" s="5">
        <v>221</v>
      </c>
      <c r="D32" s="5">
        <v>221</v>
      </c>
      <c r="E32" s="5">
        <v>108000</v>
      </c>
      <c r="F32" s="5">
        <v>147346.62</v>
      </c>
      <c r="G32" s="6">
        <v>1.3643000000000001</v>
      </c>
    </row>
    <row r="33" spans="1:7" ht="32" x14ac:dyDescent="0.2">
      <c r="A33" s="8" t="s">
        <v>252</v>
      </c>
      <c r="B33" s="5">
        <v>1</v>
      </c>
      <c r="C33" s="5">
        <v>27</v>
      </c>
      <c r="D33" s="5">
        <v>27</v>
      </c>
      <c r="E33" s="5">
        <v>105000</v>
      </c>
      <c r="F33" s="5">
        <v>94500</v>
      </c>
      <c r="G33" s="6">
        <v>0.9</v>
      </c>
    </row>
    <row r="34" spans="1:7" x14ac:dyDescent="0.2">
      <c r="A34" s="8" t="s">
        <v>336</v>
      </c>
      <c r="B34" s="5">
        <v>1</v>
      </c>
      <c r="C34" s="5">
        <v>18</v>
      </c>
      <c r="D34" s="5">
        <v>18</v>
      </c>
      <c r="E34" s="5">
        <v>99400</v>
      </c>
      <c r="F34" s="5">
        <v>99400</v>
      </c>
      <c r="G34" s="6">
        <v>1</v>
      </c>
    </row>
    <row r="35" spans="1:7" x14ac:dyDescent="0.2">
      <c r="A35" s="8" t="s">
        <v>316</v>
      </c>
      <c r="B35" s="5">
        <v>1</v>
      </c>
      <c r="C35" s="5">
        <v>86</v>
      </c>
      <c r="D35" s="5">
        <v>86</v>
      </c>
      <c r="E35" s="5">
        <v>89000</v>
      </c>
      <c r="F35" s="5">
        <v>89000</v>
      </c>
      <c r="G35" s="6">
        <v>1</v>
      </c>
    </row>
    <row r="36" spans="1:7" x14ac:dyDescent="0.2">
      <c r="A36" s="8" t="s">
        <v>304</v>
      </c>
      <c r="B36" s="5">
        <v>1</v>
      </c>
      <c r="C36" s="5">
        <v>273</v>
      </c>
      <c r="D36" s="5">
        <v>273</v>
      </c>
      <c r="E36" s="5">
        <v>80000</v>
      </c>
      <c r="F36" s="5">
        <v>147346.62</v>
      </c>
      <c r="G36" s="6">
        <v>1.8418000000000001</v>
      </c>
    </row>
    <row r="37" spans="1:7" ht="32" x14ac:dyDescent="0.2">
      <c r="A37" s="8" t="s">
        <v>187</v>
      </c>
      <c r="B37" s="5">
        <v>2</v>
      </c>
      <c r="C37" s="5">
        <v>12</v>
      </c>
      <c r="D37" s="5">
        <v>12</v>
      </c>
      <c r="E37" s="5">
        <v>75000</v>
      </c>
      <c r="F37" s="5">
        <v>29500</v>
      </c>
      <c r="G37" s="6">
        <v>0.39329999999999998</v>
      </c>
    </row>
    <row r="38" spans="1:7" x14ac:dyDescent="0.2">
      <c r="A38" s="8" t="s">
        <v>258</v>
      </c>
      <c r="B38" s="5">
        <v>1</v>
      </c>
      <c r="C38" s="5">
        <v>39</v>
      </c>
      <c r="D38" s="5">
        <v>39</v>
      </c>
      <c r="E38" s="5">
        <v>73775</v>
      </c>
      <c r="F38" s="5">
        <v>66397.5</v>
      </c>
      <c r="G38" s="6">
        <v>0.9</v>
      </c>
    </row>
    <row r="39" spans="1:7" x14ac:dyDescent="0.2">
      <c r="A39" s="8" t="s">
        <v>183</v>
      </c>
      <c r="B39" s="5">
        <v>1</v>
      </c>
      <c r="C39" s="5">
        <v>0</v>
      </c>
      <c r="D39" s="5">
        <v>0</v>
      </c>
      <c r="E39" s="5">
        <v>68000</v>
      </c>
      <c r="F39" s="5">
        <v>20000</v>
      </c>
      <c r="G39" s="6">
        <v>0.29409999999999997</v>
      </c>
    </row>
    <row r="40" spans="1:7" x14ac:dyDescent="0.2">
      <c r="A40" s="8" t="s">
        <v>39</v>
      </c>
      <c r="B40" s="5">
        <v>1</v>
      </c>
      <c r="C40" s="5">
        <v>94</v>
      </c>
      <c r="D40" s="5">
        <v>94</v>
      </c>
      <c r="E40" s="5">
        <v>67389.81</v>
      </c>
      <c r="F40" s="5">
        <v>67389.81</v>
      </c>
      <c r="G40" s="6">
        <v>1</v>
      </c>
    </row>
    <row r="41" spans="1:7" ht="32" x14ac:dyDescent="0.2">
      <c r="A41" s="8" t="s">
        <v>72</v>
      </c>
      <c r="B41" s="5">
        <v>2</v>
      </c>
      <c r="C41" s="5">
        <v>50.5</v>
      </c>
      <c r="D41" s="5">
        <v>50.5</v>
      </c>
      <c r="E41" s="5">
        <v>66000</v>
      </c>
      <c r="F41" s="5">
        <v>66000</v>
      </c>
      <c r="G41" s="6">
        <v>1</v>
      </c>
    </row>
    <row r="42" spans="1:7" x14ac:dyDescent="0.2">
      <c r="A42" s="8" t="s">
        <v>153</v>
      </c>
      <c r="B42" s="5">
        <v>1</v>
      </c>
      <c r="C42" s="5"/>
      <c r="D42" s="5"/>
      <c r="E42" s="5">
        <v>65686.5</v>
      </c>
      <c r="F42" s="5"/>
      <c r="G42" s="6">
        <v>0</v>
      </c>
    </row>
    <row r="43" spans="1:7" ht="32" x14ac:dyDescent="0.2">
      <c r="A43" s="8" t="s">
        <v>305</v>
      </c>
      <c r="B43" s="5">
        <v>1</v>
      </c>
      <c r="C43" s="5">
        <v>162</v>
      </c>
      <c r="D43" s="5">
        <v>162</v>
      </c>
      <c r="E43" s="5">
        <v>65000</v>
      </c>
      <c r="F43" s="5">
        <v>65000</v>
      </c>
      <c r="G43" s="6">
        <v>1</v>
      </c>
    </row>
    <row r="44" spans="1:7" x14ac:dyDescent="0.2">
      <c r="A44" s="8" t="s">
        <v>193</v>
      </c>
      <c r="B44" s="5">
        <v>1</v>
      </c>
      <c r="C44" s="5">
        <v>118</v>
      </c>
      <c r="D44" s="5">
        <v>118</v>
      </c>
      <c r="E44" s="5">
        <v>64580.4</v>
      </c>
      <c r="F44" s="5">
        <v>61515.4</v>
      </c>
      <c r="G44" s="6">
        <v>0.95250000000000001</v>
      </c>
    </row>
    <row r="45" spans="1:7" x14ac:dyDescent="0.2">
      <c r="A45" s="8" t="s">
        <v>309</v>
      </c>
      <c r="B45" s="5">
        <v>1</v>
      </c>
      <c r="C45" s="5">
        <v>45</v>
      </c>
      <c r="D45" s="5">
        <v>45</v>
      </c>
      <c r="E45" s="5">
        <v>61480</v>
      </c>
      <c r="F45" s="5">
        <v>61480</v>
      </c>
      <c r="G45" s="6">
        <v>1</v>
      </c>
    </row>
    <row r="46" spans="1:7" x14ac:dyDescent="0.2">
      <c r="A46" s="8" t="s">
        <v>201</v>
      </c>
      <c r="B46" s="5">
        <v>1</v>
      </c>
      <c r="C46" s="5">
        <v>1</v>
      </c>
      <c r="D46" s="5">
        <v>1</v>
      </c>
      <c r="E46" s="5">
        <v>58000</v>
      </c>
      <c r="F46" s="5">
        <v>58000</v>
      </c>
      <c r="G46" s="6">
        <v>1</v>
      </c>
    </row>
    <row r="47" spans="1:7" x14ac:dyDescent="0.2">
      <c r="A47" s="8" t="s">
        <v>115</v>
      </c>
      <c r="B47" s="5">
        <v>2</v>
      </c>
      <c r="C47" s="5"/>
      <c r="D47" s="5"/>
      <c r="E47" s="5">
        <v>57825.4</v>
      </c>
      <c r="F47" s="5"/>
      <c r="G47" s="6">
        <v>0</v>
      </c>
    </row>
    <row r="48" spans="1:7" x14ac:dyDescent="0.2">
      <c r="A48" s="8" t="s">
        <v>268</v>
      </c>
      <c r="B48" s="5">
        <v>1</v>
      </c>
      <c r="C48" s="5">
        <v>80</v>
      </c>
      <c r="D48" s="5">
        <v>80</v>
      </c>
      <c r="E48" s="5">
        <v>45000</v>
      </c>
      <c r="F48" s="5">
        <v>40500</v>
      </c>
      <c r="G48" s="6">
        <v>0.9</v>
      </c>
    </row>
    <row r="49" spans="1:7" ht="32" x14ac:dyDescent="0.2">
      <c r="A49" s="8" t="s">
        <v>292</v>
      </c>
      <c r="B49" s="5">
        <v>1</v>
      </c>
      <c r="C49" s="5">
        <v>0</v>
      </c>
      <c r="D49" s="5">
        <v>0</v>
      </c>
      <c r="E49" s="5">
        <v>40000</v>
      </c>
      <c r="F49" s="5">
        <v>40000</v>
      </c>
      <c r="G49" s="6">
        <v>1</v>
      </c>
    </row>
    <row r="50" spans="1:7" ht="32" x14ac:dyDescent="0.2">
      <c r="A50" s="8" t="s">
        <v>270</v>
      </c>
      <c r="B50" s="5">
        <v>1</v>
      </c>
      <c r="C50" s="5">
        <v>80</v>
      </c>
      <c r="D50" s="5">
        <v>80</v>
      </c>
      <c r="E50" s="5">
        <v>39000</v>
      </c>
      <c r="F50" s="5">
        <v>35100</v>
      </c>
      <c r="G50" s="6">
        <v>0.9</v>
      </c>
    </row>
    <row r="51" spans="1:7" x14ac:dyDescent="0.2">
      <c r="A51" s="8" t="s">
        <v>211</v>
      </c>
      <c r="B51" s="5">
        <v>1</v>
      </c>
      <c r="C51" s="5">
        <v>155</v>
      </c>
      <c r="D51" s="5">
        <v>155</v>
      </c>
      <c r="E51" s="5">
        <v>35600</v>
      </c>
      <c r="F51" s="5">
        <v>9451.5</v>
      </c>
      <c r="G51" s="6">
        <v>0.26550000000000001</v>
      </c>
    </row>
    <row r="52" spans="1:7" ht="32" x14ac:dyDescent="0.2">
      <c r="A52" s="8" t="s">
        <v>242</v>
      </c>
      <c r="B52" s="5">
        <v>1</v>
      </c>
      <c r="C52" s="5">
        <v>105</v>
      </c>
      <c r="D52" s="5">
        <v>105</v>
      </c>
      <c r="E52" s="5">
        <v>33000</v>
      </c>
      <c r="F52" s="5">
        <v>19800</v>
      </c>
      <c r="G52" s="6">
        <v>0.6</v>
      </c>
    </row>
    <row r="53" spans="1:7" ht="32" x14ac:dyDescent="0.2">
      <c r="A53" s="8" t="s">
        <v>250</v>
      </c>
      <c r="B53" s="5">
        <v>1</v>
      </c>
      <c r="C53" s="5">
        <v>9</v>
      </c>
      <c r="D53" s="5">
        <v>9</v>
      </c>
      <c r="E53" s="5">
        <v>30000</v>
      </c>
      <c r="F53" s="5">
        <v>27000</v>
      </c>
      <c r="G53" s="6">
        <v>0.9</v>
      </c>
    </row>
    <row r="54" spans="1:7" ht="32" x14ac:dyDescent="0.2">
      <c r="A54" s="8" t="s">
        <v>328</v>
      </c>
      <c r="B54" s="5">
        <v>1</v>
      </c>
      <c r="C54" s="5">
        <v>13</v>
      </c>
      <c r="D54" s="5">
        <v>13</v>
      </c>
      <c r="E54" s="5">
        <v>29606</v>
      </c>
      <c r="F54" s="5">
        <v>45750</v>
      </c>
      <c r="G54" s="6">
        <v>1.5452999999999999</v>
      </c>
    </row>
    <row r="55" spans="1:7" ht="32" x14ac:dyDescent="0.2">
      <c r="A55" s="8" t="s">
        <v>333</v>
      </c>
      <c r="B55" s="5">
        <v>1</v>
      </c>
      <c r="C55" s="5">
        <v>26</v>
      </c>
      <c r="D55" s="5">
        <v>26</v>
      </c>
      <c r="E55" s="5">
        <v>26000</v>
      </c>
      <c r="F55" s="5">
        <v>26000</v>
      </c>
      <c r="G55" s="6">
        <v>1</v>
      </c>
    </row>
    <row r="56" spans="1:7" ht="32" x14ac:dyDescent="0.2">
      <c r="A56" s="8" t="s">
        <v>103</v>
      </c>
      <c r="B56" s="5">
        <v>1</v>
      </c>
      <c r="C56" s="5">
        <v>49</v>
      </c>
      <c r="D56" s="5">
        <v>49</v>
      </c>
      <c r="E56" s="5">
        <v>20340</v>
      </c>
      <c r="F56" s="5">
        <v>20340</v>
      </c>
      <c r="G56" s="6">
        <v>1</v>
      </c>
    </row>
    <row r="57" spans="1:7" ht="32" x14ac:dyDescent="0.2">
      <c r="A57" s="8" t="s">
        <v>303</v>
      </c>
      <c r="B57" s="5">
        <v>1</v>
      </c>
      <c r="C57" s="5">
        <v>0</v>
      </c>
      <c r="D57" s="5">
        <v>0</v>
      </c>
      <c r="E57" s="5">
        <v>15000</v>
      </c>
      <c r="F57" s="5">
        <v>15000</v>
      </c>
      <c r="G57" s="6">
        <v>1</v>
      </c>
    </row>
    <row r="58" spans="1:7" x14ac:dyDescent="0.2">
      <c r="A58" s="8" t="s">
        <v>321</v>
      </c>
      <c r="B58" s="5">
        <v>1</v>
      </c>
      <c r="C58" s="5">
        <v>76</v>
      </c>
      <c r="D58" s="5">
        <v>76</v>
      </c>
      <c r="E58" s="5">
        <v>15000</v>
      </c>
      <c r="F58" s="5">
        <v>15000</v>
      </c>
      <c r="G58" s="6">
        <v>1</v>
      </c>
    </row>
    <row r="59" spans="1:7" x14ac:dyDescent="0.2">
      <c r="A59" s="8" t="s">
        <v>308</v>
      </c>
      <c r="B59" s="5">
        <v>1</v>
      </c>
      <c r="C59" s="5">
        <v>318</v>
      </c>
      <c r="D59" s="5">
        <v>318</v>
      </c>
      <c r="E59" s="5">
        <v>12000</v>
      </c>
      <c r="F59" s="5">
        <v>147346.62</v>
      </c>
      <c r="G59" s="6">
        <v>12.2789</v>
      </c>
    </row>
    <row r="60" spans="1:7" x14ac:dyDescent="0.2">
      <c r="A60" s="8" t="s">
        <v>232</v>
      </c>
      <c r="B60" s="5">
        <v>1</v>
      </c>
      <c r="C60" s="5">
        <v>66</v>
      </c>
      <c r="D60" s="5">
        <v>66</v>
      </c>
      <c r="E60" s="5">
        <v>12000</v>
      </c>
      <c r="F60" s="5">
        <v>10800</v>
      </c>
      <c r="G60" s="6">
        <v>0.9</v>
      </c>
    </row>
    <row r="61" spans="1:7" x14ac:dyDescent="0.2">
      <c r="A61" s="8" t="s">
        <v>312</v>
      </c>
      <c r="B61" s="5">
        <v>1</v>
      </c>
      <c r="C61" s="5">
        <v>213</v>
      </c>
      <c r="D61" s="5">
        <v>213</v>
      </c>
      <c r="E61" s="5">
        <v>10000</v>
      </c>
      <c r="F61" s="5">
        <v>147346.62</v>
      </c>
      <c r="G61" s="6">
        <v>14.7347</v>
      </c>
    </row>
    <row r="62" spans="1:7" x14ac:dyDescent="0.2">
      <c r="A62" s="8" t="s">
        <v>257</v>
      </c>
      <c r="B62" s="5">
        <v>1</v>
      </c>
      <c r="C62" s="5"/>
      <c r="D62" s="5"/>
      <c r="E62" s="5">
        <v>8000</v>
      </c>
      <c r="F62" s="5"/>
      <c r="G62" s="6">
        <v>0</v>
      </c>
    </row>
    <row r="63" spans="1:7" x14ac:dyDescent="0.2">
      <c r="A63" s="8" t="s">
        <v>319</v>
      </c>
      <c r="B63" s="5">
        <v>1</v>
      </c>
      <c r="C63" s="5">
        <v>4</v>
      </c>
      <c r="D63" s="5">
        <v>4</v>
      </c>
      <c r="E63" s="5">
        <v>7292.03</v>
      </c>
      <c r="F63" s="5">
        <v>70669.03</v>
      </c>
      <c r="G63" s="6">
        <v>9.6913</v>
      </c>
    </row>
    <row r="64" spans="1:7" x14ac:dyDescent="0.2">
      <c r="A64" s="8" t="s">
        <v>279</v>
      </c>
      <c r="B64" s="5">
        <v>1</v>
      </c>
      <c r="C64" s="5"/>
      <c r="D64" s="5"/>
      <c r="E64" s="5">
        <v>0.01</v>
      </c>
      <c r="F64" s="5"/>
      <c r="G64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回款天数分析</vt:lpstr>
      <vt:lpstr>原始数据2025年</vt:lpstr>
      <vt:lpstr>客户账龄间隔分析_按客户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 Zhang</dc:creator>
  <cp:lastModifiedBy>Linze Zhang</cp:lastModifiedBy>
  <dcterms:created xsi:type="dcterms:W3CDTF">2026-01-02T13:04:59Z</dcterms:created>
  <dcterms:modified xsi:type="dcterms:W3CDTF">2026-01-02T13:09:34Z</dcterms:modified>
</cp:coreProperties>
</file>