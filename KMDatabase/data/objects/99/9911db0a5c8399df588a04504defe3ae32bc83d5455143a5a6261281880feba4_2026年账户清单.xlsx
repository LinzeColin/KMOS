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武汉开明" sheetId="8" r:id="rId1"/>
    <sheet name="湖北开明" sheetId="7" r:id="rId2"/>
    <sheet name="湖北岚丹" sheetId="3" r:id="rId3"/>
    <sheet name="武汉彤烨" sheetId="4" r:id="rId4"/>
    <sheet name="其它" sheetId="12" r:id="rId5"/>
    <sheet name="汇总" sheetId="10" r:id="rId6"/>
  </sheets>
  <definedNames>
    <definedName name="_xlnm._FilterDatabase" localSheetId="3" hidden="1">武汉彤烨!$A$4:$I$8</definedName>
    <definedName name="_xlnm._FilterDatabase" localSheetId="5" hidden="1">汇总!$A$4:$I$43</definedName>
    <definedName name="_xlnm._FilterDatabase" localSheetId="0" hidden="1">武汉开明!$A$4:$I$14</definedName>
    <definedName name="_xlnm._FilterDatabase" localSheetId="1" hidden="1">湖北开明!$A$4:$I$9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<sst xmlns="http://schemas.openxmlformats.org/spreadsheetml/2006/main" count="259" uniqueCount="102">
  <si>
    <t>已开立银行结算账户清单</t>
  </si>
  <si>
    <t>存款人名称</t>
  </si>
  <si>
    <t>武汉开明高新科技有限公司</t>
  </si>
  <si>
    <t>基本存款账户开户许可证核准号</t>
  </si>
  <si>
    <t>J5210003355103</t>
  </si>
  <si>
    <t>顺序</t>
  </si>
  <si>
    <t>开户银行名称</t>
  </si>
  <si>
    <t>账号</t>
  </si>
  <si>
    <t>账户性质</t>
  </si>
  <si>
    <t>开户日期</t>
  </si>
  <si>
    <t>账户状态</t>
  </si>
  <si>
    <t>用途</t>
  </si>
  <si>
    <t>销户日期</t>
  </si>
  <si>
    <t>归属单位</t>
  </si>
  <si>
    <t>上海浦东发展银行股份有限公司武汉光谷支行</t>
  </si>
  <si>
    <t>70040155200004954</t>
  </si>
  <si>
    <t>基本存款账户</t>
  </si>
  <si>
    <t>正常</t>
  </si>
  <si>
    <t>收款、交税、社保及付保证金、付供应商款项（承兑）</t>
  </si>
  <si>
    <t>武汉开明</t>
  </si>
  <si>
    <t>汉口银行股份有限公司梅苑支行</t>
  </si>
  <si>
    <t>275051000149501</t>
  </si>
  <si>
    <t>一般存款账户</t>
  </si>
  <si>
    <t>收款</t>
  </si>
  <si>
    <t>中国建设银行股份有限公司鄂州豪威支行</t>
  </si>
  <si>
    <t>42001650041052500746</t>
  </si>
  <si>
    <t>扣ETC</t>
  </si>
  <si>
    <t>中国光大银行股份有限公司武汉洪山支行</t>
  </si>
  <si>
    <t>38370188000097500</t>
  </si>
  <si>
    <t>华夏银行股份有限公司武汉汉正街支行</t>
  </si>
  <si>
    <t>11168000000186346</t>
  </si>
  <si>
    <t>收款、贷款账户</t>
  </si>
  <si>
    <t>武汉农村商业银行股份有限公司豹澥支行</t>
  </si>
  <si>
    <t>211050559310028</t>
  </si>
  <si>
    <t>付款，贷款、批量工资、分包款</t>
  </si>
  <si>
    <t>中国工商银行股份有限公司武汉瀚城支行</t>
  </si>
  <si>
    <t>3202177819100004604</t>
  </si>
  <si>
    <t>贷款、开保函</t>
  </si>
  <si>
    <t>中国银行鹦鹉大道支行</t>
  </si>
  <si>
    <t>562589190492</t>
  </si>
  <si>
    <t>贷款、员工报销</t>
  </si>
  <si>
    <t>交通银行武汉洪山支行</t>
  </si>
  <si>
    <t>421421044012004632877</t>
  </si>
  <si>
    <t>贷款2月已还清</t>
  </si>
  <si>
    <t>青海柴达木农村商业银行股份有限公司</t>
  </si>
  <si>
    <t>82010000001001680</t>
  </si>
  <si>
    <t>非预算单位专用存款账</t>
  </si>
  <si>
    <t>中国建行光谷金融港支行</t>
  </si>
  <si>
    <t>42050110083500002206</t>
  </si>
  <si>
    <t>2025年12月份</t>
  </si>
  <si>
    <t>贷款</t>
  </si>
  <si>
    <t>湖北开明高新科技有限公司</t>
  </si>
  <si>
    <t>J5310001525904</t>
  </si>
  <si>
    <t>中国建设银行股份有限公司鄂州豪威支行（海关电子口岸）</t>
  </si>
  <si>
    <t>42001650041059262515</t>
  </si>
  <si>
    <t>未使用</t>
  </si>
  <si>
    <t>湖北开明</t>
  </si>
  <si>
    <t>海关</t>
  </si>
  <si>
    <t>中国银行股份有限公司鄂州分行</t>
  </si>
  <si>
    <t>贷款、报销</t>
  </si>
  <si>
    <t>中国邮政储蓄银行股份有限公司鄂州市凤凰支行</t>
  </si>
  <si>
    <t>942003010056507780</t>
  </si>
  <si>
    <t>贷款、工资、付供应商（承兑）</t>
  </si>
  <si>
    <t/>
  </si>
  <si>
    <t>中国工商银行股份有限公司鄂州西山支行</t>
  </si>
  <si>
    <t>1811004609200004096</t>
  </si>
  <si>
    <t>收款、交税、社保</t>
  </si>
  <si>
    <t>中国工商银行股份有限公司鄂州虹桥支行</t>
  </si>
  <si>
    <t>1811022619200054786</t>
  </si>
  <si>
    <t>收款、大额转账</t>
  </si>
  <si>
    <t>湖北岚丹建设工程有限公司</t>
  </si>
  <si>
    <t>J5210112604901</t>
  </si>
  <si>
    <t>中信银行股份有限公司武汉东湖支行</t>
  </si>
  <si>
    <t>8111501013501068761</t>
  </si>
  <si>
    <t>收款、工资、报销</t>
  </si>
  <si>
    <t>湖北岚丹</t>
  </si>
  <si>
    <t>中国银行武汉鹦鹉大道支行</t>
  </si>
  <si>
    <t>575589586965</t>
  </si>
  <si>
    <t>贷款担保开户、付供应商款项</t>
  </si>
  <si>
    <t>82010000001001679</t>
  </si>
  <si>
    <t>武汉彤烨科技有限公司</t>
  </si>
  <si>
    <t>J5210037539105</t>
  </si>
  <si>
    <t>7381110182600181028</t>
  </si>
  <si>
    <t>武汉彤烨</t>
  </si>
  <si>
    <t>中国建设银行股份有限公司武汉和平大道绿地支行</t>
  </si>
  <si>
    <t>42050110229600000564</t>
  </si>
  <si>
    <t>扣ETC，社保、交税</t>
  </si>
  <si>
    <t>1811004619100015212</t>
  </si>
  <si>
    <t>转账额度大</t>
  </si>
  <si>
    <t>填表说明：1、存款人重新开立基本存款账户时，需出示本清单。
2、存款人应当准确、完整地填写所有己开立且未撤销地银行结算账户。如不敷填写，可增加清单。
3、存款人可凭密码在基本存款账户开户行、基本存款账户开户地人民银行及注册地人民银行查询已开立银行结算账户的详细情况。
4、本清单一式三联，一联存款人留存，一联开户银行留存，一联中国人民银行当地分支行留存</t>
  </si>
  <si>
    <t>湖北开明高新科技有限公司工会户（工商银行西山支行，基本户）</t>
  </si>
  <si>
    <t xml:space="preserve">1811004609200029092	</t>
  </si>
  <si>
    <t>武汉信茂科技有限公司（浦发银行光谷支行，基本户）</t>
  </si>
  <si>
    <t>70040154740001894</t>
  </si>
  <si>
    <t>武汉信茂</t>
  </si>
  <si>
    <t>湖北纪凯努机械有限公司（工商银行鄂州西山支行，基本户）</t>
  </si>
  <si>
    <t>1811004609100023231  </t>
  </si>
  <si>
    <t>湖北纪凯努</t>
  </si>
  <si>
    <t>湖北曦月科技有限公司（农商行光谷科技支行、基本户）</t>
  </si>
  <si>
    <t>211781891810012</t>
  </si>
  <si>
    <t>收款、工资、报销社保</t>
  </si>
  <si>
    <t>湖北曦月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</si>
</sst>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 \ \ \ \ @"/>
    <numFmt numFmtId="178" formatCode="0_ "/>
    <numFmt numFmtId="179" formatCode="yyyy&quot;年&quot;mm&quot;月&quot;d&quot;日&quot;;@"/>
    <numFmt numFmtId="180" formatCode="yyyy&quot;年&quot;m&quot;月&quot;dd&quot;日&quot;;@"/>
    <numFmt numFmtId="181" formatCode="\ @"/>
    <numFmt numFmtId="182" formatCode="yyyy&quot;年&quot;mm&quot;月&quot;dd&quot;日&quot;;@"/>
  </numFmts>
  <fonts count="35">
    <font>
      <sz val="11"/>
      <color rgb="FF000000"/>
      <name val="Arial"/>
      <charset val="204"/>
    </font>
    <font>
      <sz val="10"/>
      <color rgb="FF000000"/>
      <name val="宋体"/>
      <charset val="204"/>
      <scheme val="minor"/>
    </font>
    <font>
      <b/>
      <sz val="10"/>
      <name val="宋体"/>
      <charset val="134"/>
      <scheme val="minor"/>
    </font>
    <font>
      <b/>
      <sz val="10"/>
      <color rgb="FF000000"/>
      <name val="宋体"/>
      <charset val="134"/>
      <scheme val="minor"/>
    </font>
    <font>
      <sz val="10"/>
      <name val="宋体"/>
      <charset val="134"/>
      <scheme val="minor"/>
    </font>
    <font>
      <sz val="10"/>
      <color rgb="FF000000"/>
      <name val="宋体"/>
      <charset val="134"/>
      <scheme val="minor"/>
    </font>
    <font>
      <sz val="10"/>
      <color theme="1" tint="0.05"/>
      <name val="宋体"/>
      <charset val="134"/>
      <scheme val="minor"/>
    </font>
    <font>
      <sz val="10"/>
      <color theme="1"/>
      <name val="宋体"/>
      <charset val="134"/>
      <scheme val="minor"/>
    </font>
    <font>
      <sz val="10"/>
      <name val="宋体"/>
      <charset val="0"/>
      <scheme val="minor"/>
    </font>
    <font>
      <sz val="10"/>
      <color rgb="FFFF0000"/>
      <name val="宋体"/>
      <charset val="134"/>
      <scheme val="minor"/>
    </font>
    <font>
      <sz val="14"/>
      <color rgb="FF000000"/>
      <name val="宋体"/>
      <charset val="204"/>
      <scheme val="minor"/>
    </font>
    <font>
      <sz val="11"/>
      <color rgb="FF000000"/>
      <name val="宋体"/>
      <charset val="204"/>
    </font>
    <font>
      <sz val="10"/>
      <name val="宋体"/>
      <charset val="204"/>
      <scheme val="major"/>
    </font>
    <font>
      <b/>
      <sz val="10"/>
      <name val="宋体"/>
      <charset val="134"/>
      <scheme val="major"/>
    </font>
    <font>
      <sz val="10"/>
      <name val="宋体"/>
      <charset val="134"/>
      <scheme val="maj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3" borderId="1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3" applyNumberFormat="0" applyFill="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3" fillId="0" borderId="0" applyNumberFormat="0" applyFill="0" applyBorder="0" applyAlignment="0" applyProtection="0">
      <alignment vertical="center"/>
    </xf>
    <xf numFmtId="0" fontId="24" fillId="4" borderId="15" applyNumberFormat="0" applyAlignment="0" applyProtection="0">
      <alignment vertical="center"/>
    </xf>
    <xf numFmtId="0" fontId="25" fillId="5" borderId="16" applyNumberFormat="0" applyAlignment="0" applyProtection="0">
      <alignment vertical="center"/>
    </xf>
    <xf numFmtId="0" fontId="26" fillId="5" borderId="15" applyNumberFormat="0" applyAlignment="0" applyProtection="0">
      <alignment vertical="center"/>
    </xf>
    <xf numFmtId="0" fontId="27" fillId="6" borderId="17" applyNumberFormat="0" applyAlignment="0" applyProtection="0">
      <alignment vertical="center"/>
    </xf>
    <xf numFmtId="0" fontId="28" fillId="0" borderId="18" applyNumberFormat="0" applyFill="0" applyAlignment="0" applyProtection="0">
      <alignment vertical="center"/>
    </xf>
    <xf numFmtId="0" fontId="29" fillId="0" borderId="19"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cellStyleXfs>
  <cellXfs count="102">
    <xf numFmtId="0" fontId="0" fillId="0" borderId="0" xfId="0" applyFill="1" applyBorder="1" applyAlignment="1">
      <alignment horizontal="left" vertical="top"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top" wrapText="1"/>
    </xf>
    <xf numFmtId="0" fontId="1" fillId="0" borderId="0" xfId="0" applyFont="1" applyFill="1" applyBorder="1" applyAlignment="1">
      <alignment horizontal="left" vertical="top" wrapText="1"/>
    </xf>
    <xf numFmtId="176" fontId="1" fillId="0" borderId="0" xfId="0" applyNumberFormat="1" applyFont="1" applyFill="1" applyBorder="1" applyAlignment="1">
      <alignment horizontal="left" vertical="top" wrapText="1"/>
    </xf>
    <xf numFmtId="177" fontId="2" fillId="0" borderId="0" xfId="0" applyNumberFormat="1" applyFont="1" applyFill="1" applyBorder="1" applyAlignment="1">
      <alignment horizontal="center" vertical="center" wrapText="1"/>
    </xf>
    <xf numFmtId="177" fontId="3" fillId="0" borderId="0" xfId="0" applyNumberFormat="1" applyFont="1" applyFill="1" applyBorder="1" applyAlignment="1">
      <alignment horizontal="left" vertical="center" wrapText="1" indent="15"/>
    </xf>
    <xf numFmtId="176" fontId="3" fillId="0" borderId="0" xfId="0" applyNumberFormat="1" applyFont="1" applyFill="1" applyBorder="1" applyAlignment="1">
      <alignment horizontal="left" vertical="center" wrapText="1" indent="15"/>
    </xf>
    <xf numFmtId="0" fontId="4" fillId="0" borderId="1" xfId="0" applyNumberFormat="1" applyFont="1" applyFill="1" applyBorder="1" applyAlignment="1">
      <alignment horizontal="center" vertical="top" wrapText="1"/>
    </xf>
    <xf numFmtId="0" fontId="1" fillId="0" borderId="2" xfId="0" applyNumberFormat="1" applyFont="1" applyFill="1" applyBorder="1" applyAlignment="1">
      <alignment horizontal="center" vertical="top" wrapText="1"/>
    </xf>
    <xf numFmtId="0" fontId="4" fillId="0" borderId="3" xfId="0"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0" borderId="1"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176" fontId="4" fillId="0" borderId="6" xfId="0" applyNumberFormat="1" applyFont="1" applyFill="1" applyBorder="1" applyAlignment="1">
      <alignment horizontal="center" vertical="center" wrapText="1"/>
    </xf>
    <xf numFmtId="0" fontId="1" fillId="0" borderId="6" xfId="0" applyFont="1" applyFill="1" applyBorder="1" applyAlignment="1">
      <alignment horizontal="left" vertical="top" wrapText="1"/>
    </xf>
    <xf numFmtId="178" fontId="5" fillId="0" borderId="7"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176" fontId="5" fillId="0" borderId="6" xfId="0" applyNumberFormat="1" applyFont="1" applyFill="1" applyBorder="1" applyAlignment="1">
      <alignment horizontal="center" vertical="center" wrapText="1"/>
    </xf>
    <xf numFmtId="176" fontId="1" fillId="0" borderId="6" xfId="0" applyNumberFormat="1" applyFont="1" applyFill="1" applyBorder="1" applyAlignment="1">
      <alignment horizontal="center" vertical="center" wrapText="1"/>
    </xf>
    <xf numFmtId="0" fontId="1" fillId="0" borderId="6" xfId="0" applyFont="1" applyFill="1" applyBorder="1" applyAlignment="1">
      <alignment horizontal="center" vertical="center" wrapText="1"/>
    </xf>
    <xf numFmtId="0" fontId="6" fillId="0" borderId="8" xfId="0" applyNumberFormat="1" applyFont="1" applyFill="1" applyBorder="1" applyAlignment="1">
      <alignment horizontal="center" vertical="center" wrapText="1"/>
    </xf>
    <xf numFmtId="178" fontId="5" fillId="0" borderId="9" xfId="0" applyNumberFormat="1" applyFont="1" applyFill="1" applyBorder="1" applyAlignment="1">
      <alignment horizontal="center" vertical="center" wrapText="1"/>
    </xf>
    <xf numFmtId="0" fontId="7" fillId="0" borderId="6" xfId="0" applyFont="1" applyFill="1" applyBorder="1" applyAlignment="1">
      <alignment horizontal="center" vertical="center"/>
    </xf>
    <xf numFmtId="0" fontId="8" fillId="0" borderId="6" xfId="0" applyFont="1" applyFill="1" applyBorder="1" applyAlignment="1">
      <alignment horizontal="center" vertical="center"/>
    </xf>
    <xf numFmtId="0" fontId="4" fillId="0" borderId="9" xfId="0" applyNumberFormat="1" applyFont="1" applyFill="1" applyBorder="1" applyAlignment="1">
      <alignment horizontal="center" vertical="center" wrapText="1"/>
    </xf>
    <xf numFmtId="179" fontId="5" fillId="0" borderId="9"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179" fontId="5" fillId="0" borderId="6" xfId="0" applyNumberFormat="1"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180" fontId="5" fillId="0" borderId="6" xfId="0" applyNumberFormat="1" applyFont="1" applyFill="1" applyBorder="1" applyAlignment="1">
      <alignment horizontal="center" vertical="center" wrapText="1"/>
    </xf>
    <xf numFmtId="0" fontId="9" fillId="0" borderId="8"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4" fillId="0" borderId="6" xfId="0" applyNumberFormat="1" applyFont="1" applyFill="1" applyBorder="1" applyAlignment="1">
      <alignment horizontal="left" vertical="center" wrapText="1"/>
    </xf>
    <xf numFmtId="0" fontId="7" fillId="0" borderId="6" xfId="0" applyFont="1" applyFill="1" applyBorder="1" applyAlignment="1">
      <alignment vertical="center"/>
    </xf>
    <xf numFmtId="0" fontId="8" fillId="0" borderId="6" xfId="0" applyFont="1" applyFill="1" applyBorder="1" applyAlignment="1">
      <alignment vertical="center"/>
    </xf>
    <xf numFmtId="178" fontId="5" fillId="0" borderId="10" xfId="0" applyNumberFormat="1" applyFont="1" applyFill="1" applyBorder="1" applyAlignment="1">
      <alignment horizontal="center" vertical="center" wrapText="1"/>
    </xf>
    <xf numFmtId="0" fontId="7" fillId="0" borderId="10" xfId="0" applyFont="1" applyFill="1" applyBorder="1" applyAlignment="1">
      <alignment vertical="center"/>
    </xf>
    <xf numFmtId="0" fontId="8" fillId="0" borderId="10" xfId="0" applyFont="1" applyFill="1" applyBorder="1" applyAlignment="1">
      <alignment vertical="center"/>
    </xf>
    <xf numFmtId="0" fontId="4" fillId="0" borderId="10" xfId="0" applyNumberFormat="1" applyFont="1" applyFill="1" applyBorder="1" applyAlignment="1">
      <alignment horizontal="center" vertical="center" wrapText="1"/>
    </xf>
    <xf numFmtId="180" fontId="5" fillId="0" borderId="10" xfId="0" applyNumberFormat="1" applyFont="1" applyFill="1" applyBorder="1" applyAlignment="1">
      <alignment horizontal="center" vertical="center" wrapText="1"/>
    </xf>
    <xf numFmtId="0" fontId="1" fillId="0" borderId="10" xfId="0" applyNumberFormat="1" applyFont="1" applyFill="1" applyBorder="1" applyAlignment="1">
      <alignment horizontal="center" vertical="center" wrapText="1"/>
    </xf>
    <xf numFmtId="178" fontId="5" fillId="0" borderId="6" xfId="0" applyNumberFormat="1" applyFont="1" applyFill="1" applyBorder="1" applyAlignment="1">
      <alignment horizontal="center" vertical="center" wrapText="1"/>
    </xf>
    <xf numFmtId="0" fontId="0" fillId="0" borderId="6" xfId="0" applyFill="1" applyBorder="1" applyAlignment="1">
      <alignment horizontal="left" vertical="top" wrapText="1"/>
    </xf>
    <xf numFmtId="0" fontId="11" fillId="0" borderId="6" xfId="0" applyFont="1" applyFill="1" applyBorder="1" applyAlignment="1">
      <alignment horizontal="left" vertical="top" wrapText="1"/>
    </xf>
    <xf numFmtId="0" fontId="1" fillId="0" borderId="0" xfId="0"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6" xfId="0" applyNumberFormat="1" applyFont="1" applyFill="1" applyBorder="1" applyAlignment="1">
      <alignment horizontal="left" vertical="center" wrapText="1"/>
    </xf>
    <xf numFmtId="0" fontId="4" fillId="0" borderId="0" xfId="0" applyNumberFormat="1" applyFont="1" applyFill="1" applyAlignment="1">
      <alignment horizontal="left" vertical="center" wrapText="1"/>
    </xf>
    <xf numFmtId="0" fontId="12" fillId="0" borderId="0" xfId="0" applyFont="1" applyFill="1" applyBorder="1" applyAlignment="1">
      <alignment horizontal="left" vertical="top" wrapText="1"/>
    </xf>
    <xf numFmtId="0" fontId="13" fillId="0" borderId="0" xfId="0" applyNumberFormat="1" applyFont="1" applyFill="1" applyAlignment="1">
      <alignment horizontal="center" vertical="center" wrapText="1"/>
    </xf>
    <xf numFmtId="0" fontId="14" fillId="0" borderId="6" xfId="0" applyNumberFormat="1" applyFont="1" applyFill="1" applyBorder="1" applyAlignment="1">
      <alignment horizontal="center" vertical="center" wrapText="1"/>
    </xf>
    <xf numFmtId="0" fontId="12" fillId="0" borderId="6" xfId="0" applyNumberFormat="1" applyFont="1" applyFill="1" applyBorder="1" applyAlignment="1">
      <alignment horizontal="center" vertical="center" wrapText="1"/>
    </xf>
    <xf numFmtId="0" fontId="14" fillId="0" borderId="6" xfId="0" applyNumberFormat="1" applyFont="1" applyFill="1" applyBorder="1" applyAlignment="1">
      <alignment horizontal="left" vertical="center" wrapText="1"/>
    </xf>
    <xf numFmtId="181" fontId="14" fillId="0" borderId="6" xfId="0" applyNumberFormat="1" applyFont="1" applyFill="1" applyBorder="1" applyAlignment="1">
      <alignment horizontal="left" vertical="center" wrapText="1" indent="1"/>
    </xf>
    <xf numFmtId="178" fontId="14" fillId="0" borderId="9" xfId="0" applyNumberFormat="1" applyFont="1" applyFill="1" applyBorder="1" applyAlignment="1">
      <alignment horizontal="center" vertical="center" wrapText="1"/>
    </xf>
    <xf numFmtId="0" fontId="14" fillId="2" borderId="9" xfId="0" applyNumberFormat="1" applyFont="1" applyFill="1" applyBorder="1" applyAlignment="1">
      <alignment horizontal="center" vertical="center" wrapText="1"/>
    </xf>
    <xf numFmtId="0" fontId="14" fillId="0" borderId="9" xfId="0" applyNumberFormat="1" applyFont="1" applyFill="1" applyBorder="1" applyAlignment="1">
      <alignment horizontal="center" vertical="center" wrapText="1"/>
    </xf>
    <xf numFmtId="179" fontId="14" fillId="0" borderId="9" xfId="0" applyNumberFormat="1" applyFont="1" applyFill="1" applyBorder="1" applyAlignment="1">
      <alignment horizontal="center" vertical="center" wrapText="1"/>
    </xf>
    <xf numFmtId="0" fontId="12" fillId="0" borderId="9" xfId="0" applyNumberFormat="1" applyFont="1" applyFill="1" applyBorder="1" applyAlignment="1">
      <alignment horizontal="left" vertical="top" wrapText="1"/>
    </xf>
    <xf numFmtId="0" fontId="12" fillId="0" borderId="9" xfId="0" applyNumberFormat="1" applyFont="1" applyFill="1" applyBorder="1" applyAlignment="1">
      <alignment horizontal="center" vertical="center" wrapText="1"/>
    </xf>
    <xf numFmtId="178" fontId="14" fillId="0" borderId="11" xfId="0" applyNumberFormat="1" applyFont="1" applyFill="1" applyBorder="1" applyAlignment="1">
      <alignment horizontal="center" vertical="center" wrapText="1"/>
    </xf>
    <xf numFmtId="0" fontId="14" fillId="2" borderId="11" xfId="0" applyNumberFormat="1" applyFont="1" applyFill="1" applyBorder="1" applyAlignment="1">
      <alignment horizontal="center" vertical="center" wrapText="1"/>
    </xf>
    <xf numFmtId="0" fontId="14" fillId="0" borderId="11" xfId="0" applyNumberFormat="1" applyFont="1" applyFill="1" applyBorder="1" applyAlignment="1">
      <alignment horizontal="center" vertical="center" wrapText="1"/>
    </xf>
    <xf numFmtId="179" fontId="14" fillId="0" borderId="11" xfId="0" applyNumberFormat="1" applyFont="1" applyFill="1" applyBorder="1" applyAlignment="1">
      <alignment horizontal="center" vertical="center" wrapText="1"/>
    </xf>
    <xf numFmtId="0" fontId="12" fillId="0" borderId="11" xfId="0" applyNumberFormat="1" applyFont="1" applyFill="1" applyBorder="1" applyAlignment="1">
      <alignment horizontal="left" vertical="top" wrapText="1"/>
    </xf>
    <xf numFmtId="178" fontId="14" fillId="0" borderId="6" xfId="0" applyNumberFormat="1" applyFont="1" applyFill="1" applyBorder="1" applyAlignment="1">
      <alignment horizontal="center" vertical="center" wrapText="1"/>
    </xf>
    <xf numFmtId="0" fontId="14" fillId="2" borderId="6" xfId="0" applyNumberFormat="1" applyFont="1" applyFill="1" applyBorder="1" applyAlignment="1">
      <alignment horizontal="center" vertical="center" wrapText="1"/>
    </xf>
    <xf numFmtId="179" fontId="14" fillId="0" borderId="6" xfId="0" applyNumberFormat="1" applyFont="1" applyFill="1" applyBorder="1" applyAlignment="1">
      <alignment horizontal="center" vertical="center" wrapText="1"/>
    </xf>
    <xf numFmtId="0" fontId="12" fillId="0" borderId="6" xfId="0" applyNumberFormat="1" applyFont="1" applyFill="1" applyBorder="1" applyAlignment="1">
      <alignment horizontal="left" vertical="top" wrapText="1"/>
    </xf>
    <xf numFmtId="177" fontId="2" fillId="0" borderId="0" xfId="0" applyNumberFormat="1" applyFont="1" applyFill="1" applyAlignment="1">
      <alignment horizontal="left" vertical="center" wrapText="1" indent="15"/>
    </xf>
    <xf numFmtId="0" fontId="4" fillId="0" borderId="6" xfId="0" applyNumberFormat="1" applyFont="1" applyFill="1" applyBorder="1" applyAlignment="1">
      <alignment horizontal="center" vertical="top" wrapText="1"/>
    </xf>
    <xf numFmtId="0" fontId="1" fillId="0" borderId="6" xfId="0" applyNumberFormat="1" applyFont="1" applyFill="1" applyBorder="1" applyAlignment="1">
      <alignment horizontal="center" vertical="top" wrapText="1"/>
    </xf>
    <xf numFmtId="178" fontId="5" fillId="0" borderId="1" xfId="0" applyNumberFormat="1" applyFont="1" applyFill="1" applyBorder="1" applyAlignment="1">
      <alignment horizontal="center" vertical="center" wrapText="1"/>
    </xf>
    <xf numFmtId="182" fontId="5" fillId="0" borderId="1" xfId="0" applyNumberFormat="1" applyFont="1" applyFill="1" applyBorder="1" applyAlignment="1">
      <alignment horizontal="center" vertical="center" wrapText="1"/>
    </xf>
    <xf numFmtId="0" fontId="1" fillId="2"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top" wrapText="1"/>
    </xf>
    <xf numFmtId="0" fontId="1" fillId="0" borderId="9" xfId="0" applyNumberFormat="1" applyFont="1" applyFill="1" applyBorder="1" applyAlignment="1">
      <alignment horizontal="left" vertical="top" wrapText="1"/>
    </xf>
    <xf numFmtId="182" fontId="5" fillId="0" borderId="6" xfId="0" applyNumberFormat="1" applyFont="1" applyFill="1" applyBorder="1" applyAlignment="1">
      <alignment horizontal="center" vertical="center" wrapText="1"/>
    </xf>
    <xf numFmtId="0" fontId="1" fillId="0" borderId="6" xfId="0" applyNumberFormat="1" applyFont="1" applyFill="1" applyBorder="1" applyAlignment="1">
      <alignment horizontal="left" vertical="top" wrapText="1"/>
    </xf>
    <xf numFmtId="179" fontId="5" fillId="0" borderId="6" xfId="0" applyNumberFormat="1" applyFont="1" applyFill="1" applyBorder="1" applyAlignment="1">
      <alignment vertical="center" wrapText="1"/>
    </xf>
    <xf numFmtId="0" fontId="1" fillId="2" borderId="6" xfId="0" applyNumberFormat="1" applyFont="1" applyFill="1" applyBorder="1" applyAlignment="1">
      <alignment horizontal="left" vertical="top" wrapText="1"/>
    </xf>
    <xf numFmtId="176" fontId="1" fillId="0" borderId="0" xfId="0" applyNumberFormat="1" applyFont="1" applyFill="1" applyBorder="1" applyAlignment="1">
      <alignment horizontal="center" vertical="top" wrapText="1"/>
    </xf>
    <xf numFmtId="177" fontId="2" fillId="0" borderId="0" xfId="0" applyNumberFormat="1" applyFont="1" applyFill="1" applyAlignment="1">
      <alignment horizontal="center" vertical="center" wrapText="1"/>
    </xf>
    <xf numFmtId="176" fontId="1" fillId="0" borderId="1" xfId="0" applyNumberFormat="1" applyFont="1" applyFill="1" applyBorder="1" applyAlignment="1">
      <alignment horizontal="center" vertical="top" wrapText="1"/>
    </xf>
    <xf numFmtId="176" fontId="5" fillId="0" borderId="1" xfId="0" applyNumberFormat="1" applyFont="1" applyFill="1" applyBorder="1" applyAlignment="1">
      <alignment horizontal="center" vertical="center" wrapText="1"/>
    </xf>
    <xf numFmtId="176" fontId="1" fillId="0" borderId="9" xfId="0" applyNumberFormat="1" applyFont="1" applyFill="1" applyBorder="1" applyAlignment="1">
      <alignment horizontal="left" vertical="top" wrapText="1"/>
    </xf>
    <xf numFmtId="176" fontId="1" fillId="0" borderId="1" xfId="0" applyNumberFormat="1" applyFont="1" applyFill="1" applyBorder="1" applyAlignment="1">
      <alignment horizontal="left" vertical="top" wrapText="1"/>
    </xf>
    <xf numFmtId="179" fontId="5" fillId="0" borderId="1"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79" fontId="5" fillId="0" borderId="7"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top" wrapText="1"/>
    </xf>
    <xf numFmtId="176" fontId="5" fillId="0" borderId="7" xfId="0" applyNumberFormat="1" applyFont="1" applyFill="1" applyBorder="1" applyAlignment="1">
      <alignment horizontal="center" vertical="center" wrapText="1"/>
    </xf>
    <xf numFmtId="176" fontId="1" fillId="0" borderId="6" xfId="0" applyNumberFormat="1" applyFont="1" applyFill="1" applyBorder="1" applyAlignment="1">
      <alignment horizontal="center" vertical="top" wrapText="1"/>
    </xf>
    <xf numFmtId="176" fontId="1" fillId="0" borderId="6" xfId="0" applyNumberFormat="1" applyFont="1" applyFill="1" applyBorder="1" applyAlignment="1">
      <alignment horizontal="left" vertical="top" wrapText="1"/>
    </xf>
    <xf numFmtId="179" fontId="5" fillId="0" borderId="10" xfId="0" applyNumberFormat="1" applyFont="1" applyFill="1" applyBorder="1" applyAlignment="1">
      <alignment vertical="center" wrapText="1"/>
    </xf>
    <xf numFmtId="176" fontId="1" fillId="0" borderId="10" xfId="0" applyNumberFormat="1" applyFont="1" applyFill="1" applyBorder="1" applyAlignment="1">
      <alignment horizontal="center" vertical="top" wrapText="1"/>
    </xf>
    <xf numFmtId="176" fontId="1" fillId="0" borderId="10" xfId="0" applyNumberFormat="1" applyFont="1" applyFill="1" applyBorder="1" applyAlignment="1">
      <alignment horizontal="left" vertical="top" wrapText="1"/>
    </xf>
    <xf numFmtId="0" fontId="1" fillId="0" borderId="6" xfId="0" applyFont="1" applyFill="1" applyBorder="1" applyAlignment="1">
      <alignment horizontal="center" vertical="top" wrapText="1"/>
    </xf>
    <xf numFmtId="0" fontId="4" fillId="0" borderId="1" xfId="0" applyNumberFormat="1" applyFont="1" applyFill="1" applyBorder="1" applyAlignment="1" quotePrefix="1">
      <alignment horizontal="center" vertical="center" wrapText="1"/>
    </xf>
    <xf numFmtId="0" fontId="4" fillId="0" borderId="7" xfId="0" applyNumberFormat="1" applyFont="1" applyFill="1" applyBorder="1" applyAlignment="1" quotePrefix="1">
      <alignment horizontal="center" vertical="center" wrapText="1"/>
    </xf>
    <xf numFmtId="0" fontId="4" fillId="0" borderId="6" xfId="0" applyNumberFormat="1" applyFont="1" applyFill="1" applyBorder="1" applyAlignment="1" quotePrefix="1">
      <alignment horizontal="center" vertical="center" wrapText="1"/>
    </xf>
    <xf numFmtId="0" fontId="4" fillId="0" borderId="10" xfId="0" applyNumberFormat="1" applyFont="1" applyFill="1" applyBorder="1" applyAlignment="1" quotePrefix="1">
      <alignment horizontal="center" vertical="center" wrapText="1"/>
    </xf>
    <xf numFmtId="0" fontId="14" fillId="0" borderId="11" xfId="0" applyNumberFormat="1" applyFont="1" applyFill="1" applyBorder="1" applyAlignment="1" quotePrefix="1">
      <alignment horizontal="center" vertical="center" wrapText="1"/>
    </xf>
    <xf numFmtId="0" fontId="8" fillId="0" borderId="6" xfId="0"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tabSelected="1" workbookViewId="0">
      <selection activeCell="C25" sqref="C25"/>
    </sheetView>
  </sheetViews>
  <sheetFormatPr defaultColWidth="10.2833333333333" defaultRowHeight="12"/>
  <cols>
    <col min="1" max="1" width="4.5" style="3" customWidth="1"/>
    <col min="2" max="2" width="43.425" style="3" customWidth="1"/>
    <col min="3" max="3" width="28.25" style="3" customWidth="1"/>
    <col min="4" max="4" width="16.925" style="3" customWidth="1"/>
    <col min="5" max="5" width="13.5083333333333" style="3" customWidth="1"/>
    <col min="6" max="6" width="7.075" style="3" customWidth="1"/>
    <col min="7" max="7" width="44.25" style="85" customWidth="1"/>
    <col min="8" max="9" width="13.5083333333333" style="4" customWidth="1"/>
    <col min="10" max="16384" width="10.2833333333333" style="3"/>
  </cols>
  <sheetData>
    <row r="1" ht="15" customHeight="1" spans="1:9">
      <c r="A1" s="73" t="s">
        <v>0</v>
      </c>
      <c r="B1" s="73"/>
      <c r="C1" s="73"/>
      <c r="D1" s="73"/>
      <c r="E1" s="73"/>
      <c r="F1" s="73"/>
      <c r="G1" s="86"/>
      <c r="H1" s="73"/>
      <c r="I1" s="73"/>
    </row>
    <row r="2" ht="14.75" customHeight="1" spans="1:9">
      <c r="A2" s="74" t="s">
        <v>1</v>
      </c>
      <c r="B2" s="75"/>
      <c r="C2" s="36" t="s">
        <v>2</v>
      </c>
      <c r="D2" s="36"/>
      <c r="E2" s="36"/>
      <c r="F2" s="36"/>
      <c r="G2" s="16"/>
      <c r="H2" s="36"/>
      <c r="I2" s="36"/>
    </row>
    <row r="3" ht="13.5" customHeight="1" spans="1:9">
      <c r="A3" s="16" t="s">
        <v>3</v>
      </c>
      <c r="B3" s="32"/>
      <c r="C3" s="36" t="s">
        <v>4</v>
      </c>
      <c r="D3" s="36"/>
      <c r="E3" s="36"/>
      <c r="F3" s="36"/>
      <c r="G3" s="16"/>
      <c r="H3" s="36"/>
      <c r="I3" s="36"/>
    </row>
    <row r="4" ht="18" customHeight="1" spans="1:9">
      <c r="A4" s="16" t="s">
        <v>5</v>
      </c>
      <c r="B4" s="16" t="s">
        <v>6</v>
      </c>
      <c r="C4" s="16" t="s">
        <v>7</v>
      </c>
      <c r="D4" s="16" t="s">
        <v>8</v>
      </c>
      <c r="E4" s="16" t="s">
        <v>9</v>
      </c>
      <c r="F4" s="16" t="s">
        <v>10</v>
      </c>
      <c r="G4" s="17" t="s">
        <v>11</v>
      </c>
      <c r="H4" s="17" t="s">
        <v>12</v>
      </c>
      <c r="I4" s="17" t="s">
        <v>13</v>
      </c>
    </row>
    <row r="5" ht="21" customHeight="1" spans="1:9">
      <c r="A5" s="76">
        <v>1</v>
      </c>
      <c r="B5" s="13" t="s">
        <v>14</v>
      </c>
      <c r="C5" s="102" t="s">
        <v>15</v>
      </c>
      <c r="D5" s="13" t="s">
        <v>16</v>
      </c>
      <c r="E5" s="77">
        <v>41516</v>
      </c>
      <c r="F5" s="13" t="s">
        <v>17</v>
      </c>
      <c r="G5" s="87" t="s">
        <v>18</v>
      </c>
      <c r="H5" s="88"/>
      <c r="I5" s="89" t="s">
        <v>19</v>
      </c>
    </row>
    <row r="6" ht="21" customHeight="1" spans="1:9">
      <c r="A6" s="76">
        <v>2</v>
      </c>
      <c r="B6" s="13" t="s">
        <v>20</v>
      </c>
      <c r="C6" s="102" t="s">
        <v>21</v>
      </c>
      <c r="D6" s="13" t="s">
        <v>22</v>
      </c>
      <c r="E6" s="77">
        <v>41831</v>
      </c>
      <c r="F6" s="13" t="s">
        <v>17</v>
      </c>
      <c r="G6" s="87" t="s">
        <v>23</v>
      </c>
      <c r="H6" s="90"/>
      <c r="I6" s="89" t="s">
        <v>19</v>
      </c>
    </row>
    <row r="7" ht="21" customHeight="1" spans="1:9">
      <c r="A7" s="76">
        <v>3</v>
      </c>
      <c r="B7" s="13" t="s">
        <v>24</v>
      </c>
      <c r="C7" s="102" t="s">
        <v>25</v>
      </c>
      <c r="D7" s="13" t="s">
        <v>22</v>
      </c>
      <c r="E7" s="91">
        <v>42163</v>
      </c>
      <c r="F7" s="13" t="s">
        <v>17</v>
      </c>
      <c r="G7" s="87" t="s">
        <v>26</v>
      </c>
      <c r="H7" s="90"/>
      <c r="I7" s="89" t="s">
        <v>19</v>
      </c>
    </row>
    <row r="8" ht="16.5" customHeight="1" spans="1:9">
      <c r="A8" s="76">
        <v>4</v>
      </c>
      <c r="B8" s="13" t="s">
        <v>27</v>
      </c>
      <c r="C8" s="102" t="s">
        <v>28</v>
      </c>
      <c r="D8" s="13" t="s">
        <v>22</v>
      </c>
      <c r="E8" s="88">
        <v>41487</v>
      </c>
      <c r="F8" s="13" t="s">
        <v>17</v>
      </c>
      <c r="G8" s="87" t="s">
        <v>23</v>
      </c>
      <c r="H8" s="88"/>
      <c r="I8" s="89" t="s">
        <v>19</v>
      </c>
    </row>
    <row r="9" ht="21" customHeight="1" spans="1:9">
      <c r="A9" s="76">
        <v>5</v>
      </c>
      <c r="B9" s="92" t="s">
        <v>29</v>
      </c>
      <c r="C9" s="103" t="s">
        <v>30</v>
      </c>
      <c r="D9" s="13" t="s">
        <v>22</v>
      </c>
      <c r="E9" s="93">
        <v>43066</v>
      </c>
      <c r="F9" s="16" t="s">
        <v>17</v>
      </c>
      <c r="G9" s="94" t="s">
        <v>31</v>
      </c>
      <c r="H9" s="95"/>
      <c r="I9" s="89" t="s">
        <v>19</v>
      </c>
    </row>
    <row r="10" ht="21" customHeight="1" spans="1:9">
      <c r="A10" s="76">
        <v>6</v>
      </c>
      <c r="B10" s="16" t="s">
        <v>32</v>
      </c>
      <c r="C10" s="104" t="s">
        <v>33</v>
      </c>
      <c r="D10" s="13" t="s">
        <v>22</v>
      </c>
      <c r="E10" s="83">
        <v>44698</v>
      </c>
      <c r="F10" s="16" t="s">
        <v>17</v>
      </c>
      <c r="G10" s="96" t="s">
        <v>34</v>
      </c>
      <c r="H10" s="97"/>
      <c r="I10" s="89" t="s">
        <v>19</v>
      </c>
    </row>
    <row r="11" ht="21" customHeight="1" spans="1:9">
      <c r="A11" s="76">
        <v>7</v>
      </c>
      <c r="B11" s="16" t="s">
        <v>35</v>
      </c>
      <c r="C11" s="104" t="s">
        <v>36</v>
      </c>
      <c r="D11" s="13" t="s">
        <v>22</v>
      </c>
      <c r="E11" s="83">
        <v>45103</v>
      </c>
      <c r="F11" s="16" t="s">
        <v>17</v>
      </c>
      <c r="G11" s="96" t="s">
        <v>37</v>
      </c>
      <c r="H11" s="97"/>
      <c r="I11" s="89" t="s">
        <v>19</v>
      </c>
    </row>
    <row r="12" ht="21" customHeight="1" spans="1:9">
      <c r="A12" s="76">
        <v>8</v>
      </c>
      <c r="B12" s="16" t="s">
        <v>38</v>
      </c>
      <c r="C12" s="104" t="s">
        <v>39</v>
      </c>
      <c r="D12" s="13" t="s">
        <v>22</v>
      </c>
      <c r="E12" s="83">
        <v>45918</v>
      </c>
      <c r="F12" s="16" t="s">
        <v>17</v>
      </c>
      <c r="G12" s="96" t="s">
        <v>40</v>
      </c>
      <c r="H12" s="97"/>
      <c r="I12" s="89" t="s">
        <v>19</v>
      </c>
    </row>
    <row r="13" ht="21" customHeight="1" spans="1:9">
      <c r="A13" s="76">
        <v>9</v>
      </c>
      <c r="B13" s="16" t="s">
        <v>41</v>
      </c>
      <c r="C13" s="104" t="s">
        <v>42</v>
      </c>
      <c r="D13" s="13" t="s">
        <v>22</v>
      </c>
      <c r="E13" s="83">
        <v>45775</v>
      </c>
      <c r="F13" s="16" t="s">
        <v>17</v>
      </c>
      <c r="G13" s="96" t="s">
        <v>43</v>
      </c>
      <c r="H13" s="97"/>
      <c r="I13" s="89" t="s">
        <v>19</v>
      </c>
    </row>
    <row r="14" ht="21" customHeight="1" spans="1:9">
      <c r="A14" s="76">
        <v>10</v>
      </c>
      <c r="B14" s="42" t="s">
        <v>44</v>
      </c>
      <c r="C14" s="105" t="s">
        <v>45</v>
      </c>
      <c r="D14" s="42" t="s">
        <v>46</v>
      </c>
      <c r="E14" s="98">
        <v>45520</v>
      </c>
      <c r="F14" s="42" t="s">
        <v>17</v>
      </c>
      <c r="G14" s="99" t="s">
        <v>23</v>
      </c>
      <c r="H14" s="100"/>
      <c r="I14" s="100" t="s">
        <v>19</v>
      </c>
    </row>
    <row r="15" ht="21" customHeight="1" spans="1:9">
      <c r="A15" s="76">
        <v>11</v>
      </c>
      <c r="B15" s="101" t="s">
        <v>47</v>
      </c>
      <c r="C15" s="104" t="s">
        <v>48</v>
      </c>
      <c r="D15" s="16" t="s">
        <v>22</v>
      </c>
      <c r="E15" s="18" t="s">
        <v>49</v>
      </c>
      <c r="F15" s="16" t="s">
        <v>17</v>
      </c>
      <c r="G15" s="96" t="s">
        <v>50</v>
      </c>
      <c r="H15" s="97"/>
      <c r="I15" s="97" t="s">
        <v>19</v>
      </c>
    </row>
  </sheetData>
  <mergeCells count="5">
    <mergeCell ref="A1:I1"/>
    <mergeCell ref="A2:B2"/>
    <mergeCell ref="C2:I2"/>
    <mergeCell ref="A3:B3"/>
    <mergeCell ref="C3:I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workbookViewId="0">
      <selection activeCell="C29" sqref="C29"/>
    </sheetView>
  </sheetViews>
  <sheetFormatPr defaultColWidth="10.2833333333333" defaultRowHeight="12"/>
  <cols>
    <col min="1" max="1" width="4.75" style="3" customWidth="1"/>
    <col min="2" max="2" width="43.425" style="3" customWidth="1"/>
    <col min="3" max="3" width="20.375" style="3" customWidth="1"/>
    <col min="4" max="4" width="16.925" style="3" customWidth="1"/>
    <col min="5" max="5" width="13.5083333333333" style="3" customWidth="1"/>
    <col min="6" max="6" width="7.075" style="3" customWidth="1"/>
    <col min="7" max="7" width="39.875" style="3" customWidth="1"/>
    <col min="8" max="9" width="13.5083333333333" style="3" customWidth="1"/>
    <col min="10" max="16384" width="10.2833333333333" style="3"/>
  </cols>
  <sheetData>
    <row r="1" ht="15" customHeight="1" spans="1:10">
      <c r="A1" s="73" t="s">
        <v>0</v>
      </c>
      <c r="B1" s="73"/>
      <c r="C1" s="73"/>
      <c r="D1" s="73"/>
      <c r="E1" s="73"/>
      <c r="F1" s="73"/>
      <c r="G1" s="73"/>
      <c r="H1" s="73"/>
      <c r="I1" s="73"/>
    </row>
    <row r="2" ht="14.75" customHeight="1" spans="1:10">
      <c r="A2" s="74" t="s">
        <v>1</v>
      </c>
      <c r="B2" s="75"/>
      <c r="C2" s="36" t="s">
        <v>51</v>
      </c>
      <c r="D2" s="36"/>
      <c r="E2" s="36"/>
      <c r="F2" s="36"/>
      <c r="G2" s="36"/>
      <c r="H2" s="36"/>
      <c r="I2" s="36"/>
    </row>
    <row r="3" ht="13.5" customHeight="1" spans="1:10">
      <c r="A3" s="16" t="s">
        <v>3</v>
      </c>
      <c r="B3" s="32"/>
      <c r="C3" s="36" t="s">
        <v>52</v>
      </c>
      <c r="D3" s="36"/>
      <c r="E3" s="36"/>
      <c r="F3" s="36"/>
      <c r="G3" s="36"/>
      <c r="H3" s="36"/>
      <c r="I3" s="36"/>
    </row>
    <row r="4" ht="14" customHeight="1" spans="1:10">
      <c r="A4" s="16" t="s">
        <v>5</v>
      </c>
      <c r="B4" s="16" t="s">
        <v>6</v>
      </c>
      <c r="C4" s="16" t="s">
        <v>7</v>
      </c>
      <c r="D4" s="16" t="s">
        <v>8</v>
      </c>
      <c r="E4" s="16" t="s">
        <v>9</v>
      </c>
      <c r="F4" s="16" t="s">
        <v>10</v>
      </c>
      <c r="G4" s="16" t="s">
        <v>11</v>
      </c>
      <c r="H4" s="16" t="s">
        <v>12</v>
      </c>
      <c r="I4" s="16" t="s">
        <v>13</v>
      </c>
    </row>
    <row r="5" ht="21" customHeight="1" spans="1:10">
      <c r="A5" s="76">
        <v>1</v>
      </c>
      <c r="B5" s="13" t="s">
        <v>53</v>
      </c>
      <c r="C5" s="13" t="s">
        <v>54</v>
      </c>
      <c r="D5" s="13" t="s">
        <v>22</v>
      </c>
      <c r="E5" s="77">
        <v>42583</v>
      </c>
      <c r="F5" s="13" t="s">
        <v>17</v>
      </c>
      <c r="G5" s="78" t="s">
        <v>55</v>
      </c>
      <c r="H5" s="79"/>
      <c r="I5" s="80" t="s">
        <v>56</v>
      </c>
      <c r="J5" s="3" t="s">
        <v>57</v>
      </c>
    </row>
    <row r="6" ht="18" customHeight="1" spans="1:10">
      <c r="A6" s="76">
        <v>2</v>
      </c>
      <c r="B6" s="16" t="s">
        <v>58</v>
      </c>
      <c r="C6" s="45">
        <v>565180592794</v>
      </c>
      <c r="D6" s="16" t="s">
        <v>22</v>
      </c>
      <c r="E6" s="81">
        <v>44379</v>
      </c>
      <c r="F6" s="16" t="s">
        <v>17</v>
      </c>
      <c r="G6" s="82" t="s">
        <v>59</v>
      </c>
      <c r="H6" s="82"/>
      <c r="I6" s="80" t="s">
        <v>56</v>
      </c>
    </row>
    <row r="7" ht="21" customHeight="1" spans="1:10">
      <c r="A7" s="76">
        <v>3</v>
      </c>
      <c r="B7" s="16" t="s">
        <v>60</v>
      </c>
      <c r="C7" s="16" t="s">
        <v>61</v>
      </c>
      <c r="D7" s="16" t="s">
        <v>22</v>
      </c>
      <c r="E7" s="83">
        <v>45404</v>
      </c>
      <c r="F7" s="16" t="s">
        <v>17</v>
      </c>
      <c r="G7" s="82" t="s">
        <v>62</v>
      </c>
      <c r="H7" s="82" t="s">
        <v>63</v>
      </c>
      <c r="I7" s="80" t="s">
        <v>56</v>
      </c>
    </row>
    <row r="8" ht="21" customHeight="1" spans="1:10">
      <c r="A8" s="76">
        <v>4</v>
      </c>
      <c r="B8" s="16" t="s">
        <v>64</v>
      </c>
      <c r="C8" s="16" t="s">
        <v>65</v>
      </c>
      <c r="D8" s="16" t="s">
        <v>16</v>
      </c>
      <c r="E8" s="83">
        <v>45470</v>
      </c>
      <c r="F8" s="16" t="s">
        <v>17</v>
      </c>
      <c r="G8" s="82" t="s">
        <v>66</v>
      </c>
      <c r="H8" s="82" t="s">
        <v>63</v>
      </c>
      <c r="I8" s="80" t="s">
        <v>56</v>
      </c>
    </row>
    <row r="9" ht="21" customHeight="1" spans="1:10">
      <c r="A9" s="76">
        <v>5</v>
      </c>
      <c r="B9" s="16" t="s">
        <v>67</v>
      </c>
      <c r="C9" s="16" t="s">
        <v>68</v>
      </c>
      <c r="D9" s="16" t="s">
        <v>22</v>
      </c>
      <c r="E9" s="83">
        <v>45470</v>
      </c>
      <c r="F9" s="16" t="s">
        <v>17</v>
      </c>
      <c r="G9" s="84" t="s">
        <v>69</v>
      </c>
      <c r="H9" s="82" t="s">
        <v>63</v>
      </c>
      <c r="I9" s="80" t="s">
        <v>56</v>
      </c>
    </row>
  </sheetData>
  <mergeCells count="5">
    <mergeCell ref="A1:I1"/>
    <mergeCell ref="A2:B2"/>
    <mergeCell ref="C2:I2"/>
    <mergeCell ref="A3:B3"/>
    <mergeCell ref="C3:I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C17" sqref="C17"/>
    </sheetView>
  </sheetViews>
  <sheetFormatPr defaultColWidth="10.2833333333333" defaultRowHeight="25" customHeight="1" outlineLevelRow="6"/>
  <cols>
    <col min="1" max="1" width="3.78333333333333" style="52" customWidth="1"/>
    <col min="2" max="2" width="28.425" style="52" customWidth="1"/>
    <col min="3" max="3" width="17.875" style="52" customWidth="1"/>
    <col min="4" max="4" width="16.925" style="52" customWidth="1"/>
    <col min="5" max="5" width="13.5083333333333" style="52" customWidth="1"/>
    <col min="6" max="6" width="7.075" style="52" customWidth="1"/>
    <col min="7" max="7" width="19.125" style="52" customWidth="1"/>
    <col min="8" max="9" width="10.2166666666667" style="52" customWidth="1"/>
    <col min="10" max="16380" width="10.2833333333333" style="52"/>
    <col min="16382" max="16384" width="10.2833333333333" style="52"/>
  </cols>
  <sheetData>
    <row r="1" customHeight="1" spans="1:9">
      <c r="A1" s="53" t="s">
        <v>0</v>
      </c>
      <c r="B1" s="53"/>
      <c r="C1" s="53"/>
      <c r="D1" s="53"/>
      <c r="E1" s="53"/>
      <c r="F1" s="53"/>
      <c r="G1" s="53"/>
      <c r="H1" s="53"/>
      <c r="I1" s="53"/>
    </row>
    <row r="2" customHeight="1" spans="1:9">
      <c r="A2" s="54" t="s">
        <v>1</v>
      </c>
      <c r="B2" s="55"/>
      <c r="C2" s="56" t="s">
        <v>70</v>
      </c>
      <c r="D2" s="56"/>
      <c r="E2" s="56"/>
      <c r="F2" s="56"/>
      <c r="G2" s="56"/>
      <c r="H2" s="56"/>
      <c r="I2" s="56"/>
    </row>
    <row r="3" customHeight="1" spans="1:9">
      <c r="A3" s="54" t="s">
        <v>3</v>
      </c>
      <c r="B3" s="55"/>
      <c r="C3" s="56" t="s">
        <v>71</v>
      </c>
      <c r="D3" s="56"/>
      <c r="E3" s="56"/>
      <c r="F3" s="56"/>
      <c r="G3" s="56"/>
      <c r="H3" s="56"/>
      <c r="I3" s="56"/>
    </row>
    <row r="4" customHeight="1" spans="1:9">
      <c r="A4" s="54" t="s">
        <v>5</v>
      </c>
      <c r="B4" s="54" t="s">
        <v>6</v>
      </c>
      <c r="C4" s="54" t="s">
        <v>7</v>
      </c>
      <c r="D4" s="54" t="s">
        <v>8</v>
      </c>
      <c r="E4" s="54" t="s">
        <v>9</v>
      </c>
      <c r="F4" s="54" t="s">
        <v>10</v>
      </c>
      <c r="G4" s="57" t="s">
        <v>11</v>
      </c>
      <c r="H4" s="57" t="s">
        <v>12</v>
      </c>
      <c r="I4" s="57" t="s">
        <v>13</v>
      </c>
    </row>
    <row r="5" customHeight="1" spans="1:9">
      <c r="A5" s="58">
        <v>1</v>
      </c>
      <c r="B5" s="59" t="s">
        <v>72</v>
      </c>
      <c r="C5" s="60" t="s">
        <v>73</v>
      </c>
      <c r="D5" s="60" t="s">
        <v>16</v>
      </c>
      <c r="E5" s="61">
        <v>44967</v>
      </c>
      <c r="F5" s="60" t="s">
        <v>17</v>
      </c>
      <c r="G5" s="62" t="s">
        <v>74</v>
      </c>
      <c r="H5" s="62"/>
      <c r="I5" s="63" t="s">
        <v>75</v>
      </c>
    </row>
    <row r="6" customHeight="1" spans="1:9">
      <c r="A6" s="64">
        <v>2</v>
      </c>
      <c r="B6" s="65" t="s">
        <v>76</v>
      </c>
      <c r="C6" s="106" t="s">
        <v>77</v>
      </c>
      <c r="D6" s="66" t="s">
        <v>22</v>
      </c>
      <c r="E6" s="67">
        <v>45989</v>
      </c>
      <c r="F6" s="66" t="s">
        <v>17</v>
      </c>
      <c r="G6" s="68" t="s">
        <v>78</v>
      </c>
      <c r="H6" s="68"/>
      <c r="I6" s="63" t="s">
        <v>75</v>
      </c>
    </row>
    <row r="7" customHeight="1" spans="1:9">
      <c r="A7" s="69">
        <v>3</v>
      </c>
      <c r="B7" s="70" t="s">
        <v>44</v>
      </c>
      <c r="C7" s="54" t="s">
        <v>79</v>
      </c>
      <c r="D7" s="54" t="s">
        <v>46</v>
      </c>
      <c r="E7" s="71">
        <v>45520</v>
      </c>
      <c r="F7" s="54" t="s">
        <v>17</v>
      </c>
      <c r="G7" s="72" t="s">
        <v>23</v>
      </c>
      <c r="H7" s="72"/>
      <c r="I7" s="63" t="s">
        <v>75</v>
      </c>
    </row>
  </sheetData>
  <mergeCells count="5">
    <mergeCell ref="A1:I1"/>
    <mergeCell ref="A2:B2"/>
    <mergeCell ref="C2:I2"/>
    <mergeCell ref="A3:B3"/>
    <mergeCell ref="C3:I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C13" sqref="C13"/>
    </sheetView>
  </sheetViews>
  <sheetFormatPr defaultColWidth="10.2833333333333" defaultRowHeight="24" customHeight="1" outlineLevelRow="7"/>
  <cols>
    <col min="1" max="1" width="3.78333333333333" style="48" customWidth="1"/>
    <col min="2" max="2" width="37.85" style="48" customWidth="1"/>
    <col min="3" max="3" width="17.7166666666667" style="48" customWidth="1"/>
    <col min="4" max="4" width="10.3583333333333" style="48" customWidth="1"/>
    <col min="5" max="5" width="13.5083333333333" style="48" customWidth="1"/>
    <col min="6" max="6" width="12.75" style="48" customWidth="1"/>
    <col min="7" max="7" width="16.375" style="48" customWidth="1"/>
    <col min="8" max="9" width="13.5083333333333" style="48" customWidth="1"/>
    <col min="10" max="16384" width="10.2833333333333" style="48"/>
  </cols>
  <sheetData>
    <row r="1" customHeight="1" spans="1:9">
      <c r="A1" s="35" t="s">
        <v>0</v>
      </c>
      <c r="B1" s="35"/>
      <c r="C1" s="35"/>
      <c r="D1" s="35"/>
      <c r="E1" s="35"/>
      <c r="F1" s="35"/>
      <c r="G1" s="35"/>
      <c r="H1" s="35"/>
      <c r="I1" s="35"/>
    </row>
    <row r="2" customHeight="1" spans="1:9">
      <c r="A2" s="16" t="s">
        <v>1</v>
      </c>
      <c r="B2" s="32"/>
      <c r="C2" s="36" t="s">
        <v>80</v>
      </c>
      <c r="D2" s="36"/>
      <c r="E2" s="36"/>
      <c r="F2" s="36"/>
      <c r="G2" s="36"/>
      <c r="H2" s="36"/>
      <c r="I2" s="36"/>
    </row>
    <row r="3" customHeight="1" spans="1:9">
      <c r="A3" s="16" t="s">
        <v>3</v>
      </c>
      <c r="B3" s="32"/>
      <c r="C3" s="36" t="s">
        <v>81</v>
      </c>
      <c r="D3" s="36"/>
      <c r="E3" s="36"/>
      <c r="F3" s="36"/>
      <c r="G3" s="36"/>
      <c r="H3" s="36"/>
      <c r="I3" s="36"/>
    </row>
    <row r="4" customHeight="1" spans="1:9">
      <c r="A4" s="16" t="s">
        <v>5</v>
      </c>
      <c r="B4" s="16" t="s">
        <v>6</v>
      </c>
      <c r="C4" s="16" t="s">
        <v>7</v>
      </c>
      <c r="D4" s="16" t="s">
        <v>8</v>
      </c>
      <c r="E4" s="16" t="s">
        <v>9</v>
      </c>
      <c r="F4" s="16" t="s">
        <v>10</v>
      </c>
      <c r="G4" s="16" t="s">
        <v>11</v>
      </c>
      <c r="H4" s="16" t="s">
        <v>12</v>
      </c>
      <c r="I4" s="16" t="s">
        <v>13</v>
      </c>
    </row>
    <row r="5" customHeight="1" spans="1:9">
      <c r="A5" s="25">
        <v>1</v>
      </c>
      <c r="B5" s="28" t="s">
        <v>72</v>
      </c>
      <c r="C5" s="28" t="s">
        <v>82</v>
      </c>
      <c r="D5" s="28" t="s">
        <v>16</v>
      </c>
      <c r="E5" s="29">
        <v>41715</v>
      </c>
      <c r="F5" s="28" t="s">
        <v>17</v>
      </c>
      <c r="G5" s="49" t="s">
        <v>74</v>
      </c>
      <c r="H5" s="49"/>
      <c r="I5" s="49" t="s">
        <v>83</v>
      </c>
    </row>
    <row r="6" customHeight="1" spans="1:9">
      <c r="A6" s="25">
        <v>2</v>
      </c>
      <c r="B6" s="16" t="s">
        <v>84</v>
      </c>
      <c r="C6" s="16" t="s">
        <v>85</v>
      </c>
      <c r="D6" s="16" t="s">
        <v>22</v>
      </c>
      <c r="E6" s="33">
        <v>44141</v>
      </c>
      <c r="F6" s="16" t="s">
        <v>17</v>
      </c>
      <c r="G6" s="50" t="s">
        <v>86</v>
      </c>
      <c r="H6" s="50"/>
      <c r="I6" s="49" t="s">
        <v>83</v>
      </c>
    </row>
    <row r="7" customHeight="1" spans="1:9">
      <c r="A7" s="25">
        <v>3</v>
      </c>
      <c r="B7" s="16" t="s">
        <v>64</v>
      </c>
      <c r="C7" s="16" t="s">
        <v>87</v>
      </c>
      <c r="D7" s="16" t="s">
        <v>22</v>
      </c>
      <c r="E7" s="31">
        <v>45470</v>
      </c>
      <c r="F7" s="16" t="s">
        <v>17</v>
      </c>
      <c r="G7" s="50" t="s">
        <v>88</v>
      </c>
      <c r="H7" s="50"/>
      <c r="I7" s="49" t="s">
        <v>83</v>
      </c>
    </row>
    <row r="8" ht="72" customHeight="1" spans="1:9">
      <c r="A8" s="51" t="s">
        <v>89</v>
      </c>
      <c r="B8" s="51"/>
      <c r="C8" s="51"/>
      <c r="D8" s="51"/>
      <c r="E8" s="51"/>
      <c r="F8" s="51"/>
      <c r="G8" s="51"/>
      <c r="H8" s="51"/>
      <c r="I8" s="51"/>
    </row>
  </sheetData>
  <mergeCells count="6">
    <mergeCell ref="A1:I1"/>
    <mergeCell ref="A2:B2"/>
    <mergeCell ref="C2:I2"/>
    <mergeCell ref="A3:B3"/>
    <mergeCell ref="C3:I3"/>
    <mergeCell ref="A8:I8"/>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B18" sqref="B18"/>
    </sheetView>
  </sheetViews>
  <sheetFormatPr defaultColWidth="9" defaultRowHeight="14.25" outlineLevelRow="7"/>
  <cols>
    <col min="1" max="1" width="7.875" customWidth="1"/>
    <col min="2" max="2" width="48.125" customWidth="1"/>
    <col min="3" max="3" width="19.5" customWidth="1"/>
    <col min="4" max="4" width="13" customWidth="1"/>
    <col min="5" max="5" width="12.75" customWidth="1"/>
    <col min="7" max="7" width="9.75" customWidth="1"/>
    <col min="8" max="8" width="9.625" customWidth="1"/>
  </cols>
  <sheetData>
    <row r="1" ht="18.75" spans="1:9">
      <c r="A1" s="35" t="s">
        <v>0</v>
      </c>
      <c r="B1" s="35"/>
      <c r="C1" s="35"/>
      <c r="D1" s="35"/>
      <c r="E1" s="35"/>
      <c r="F1" s="35"/>
      <c r="G1" s="35"/>
      <c r="H1" s="35"/>
      <c r="I1" s="35"/>
    </row>
    <row r="2" ht="18" customHeight="1" spans="1:9">
      <c r="A2" s="16" t="s">
        <v>1</v>
      </c>
      <c r="B2" s="32"/>
      <c r="C2" s="36"/>
      <c r="D2" s="36"/>
      <c r="E2" s="36"/>
      <c r="F2" s="36"/>
      <c r="G2" s="36"/>
      <c r="H2" s="36"/>
      <c r="I2" s="36"/>
    </row>
    <row r="3" ht="20" customHeight="1" spans="1:9">
      <c r="A3" s="16" t="s">
        <v>3</v>
      </c>
      <c r="B3" s="32"/>
      <c r="C3" s="36"/>
      <c r="D3" s="36"/>
      <c r="E3" s="36"/>
      <c r="F3" s="36"/>
      <c r="G3" s="36"/>
      <c r="H3" s="36"/>
      <c r="I3" s="36"/>
    </row>
    <row r="4" ht="20" customHeight="1" spans="1:9">
      <c r="A4" s="16" t="s">
        <v>5</v>
      </c>
      <c r="B4" s="16" t="s">
        <v>6</v>
      </c>
      <c r="C4" s="16" t="s">
        <v>7</v>
      </c>
      <c r="D4" s="16" t="s">
        <v>8</v>
      </c>
      <c r="E4" s="16" t="s">
        <v>9</v>
      </c>
      <c r="F4" s="16" t="s">
        <v>10</v>
      </c>
      <c r="G4" s="16" t="s">
        <v>11</v>
      </c>
      <c r="H4" s="16" t="s">
        <v>12</v>
      </c>
      <c r="I4" s="16" t="s">
        <v>13</v>
      </c>
    </row>
    <row r="5" ht="20" customHeight="1" spans="1:9">
      <c r="A5" s="25">
        <v>1</v>
      </c>
      <c r="B5" s="37" t="s">
        <v>90</v>
      </c>
      <c r="C5" s="38" t="s">
        <v>91</v>
      </c>
      <c r="D5" s="28" t="s">
        <v>16</v>
      </c>
      <c r="E5" s="29"/>
      <c r="F5" s="28" t="s">
        <v>17</v>
      </c>
      <c r="G5" s="30" t="s">
        <v>23</v>
      </c>
      <c r="H5" s="30"/>
      <c r="I5" s="30" t="s">
        <v>56</v>
      </c>
    </row>
    <row r="6" ht="20" customHeight="1" spans="1:9">
      <c r="A6" s="25">
        <v>2</v>
      </c>
      <c r="B6" s="37" t="s">
        <v>92</v>
      </c>
      <c r="C6" s="38" t="s">
        <v>93</v>
      </c>
      <c r="D6" s="28" t="s">
        <v>16</v>
      </c>
      <c r="E6" s="31"/>
      <c r="F6" s="28" t="s">
        <v>17</v>
      </c>
      <c r="G6" s="32" t="s">
        <v>23</v>
      </c>
      <c r="H6" s="32"/>
      <c r="I6" s="30" t="s">
        <v>94</v>
      </c>
    </row>
    <row r="7" ht="20" customHeight="1" spans="1:9">
      <c r="A7" s="39">
        <v>3</v>
      </c>
      <c r="B7" s="40" t="s">
        <v>95</v>
      </c>
      <c r="C7" s="41" t="s">
        <v>96</v>
      </c>
      <c r="D7" s="42" t="s">
        <v>16</v>
      </c>
      <c r="E7" s="43"/>
      <c r="F7" s="42" t="s">
        <v>17</v>
      </c>
      <c r="G7" s="44" t="s">
        <v>23</v>
      </c>
      <c r="H7" s="44"/>
      <c r="I7" s="44" t="s">
        <v>97</v>
      </c>
    </row>
    <row r="8" ht="24" spans="1:9">
      <c r="A8" s="45">
        <v>4</v>
      </c>
      <c r="B8" s="37" t="s">
        <v>98</v>
      </c>
      <c r="C8" s="107" t="s">
        <v>99</v>
      </c>
      <c r="D8" s="16" t="s">
        <v>16</v>
      </c>
      <c r="E8" s="46"/>
      <c r="F8" s="16" t="s">
        <v>17</v>
      </c>
      <c r="G8" s="32" t="s">
        <v>100</v>
      </c>
      <c r="H8" s="46"/>
      <c r="I8" s="47" t="s">
        <v>101</v>
      </c>
    </row>
  </sheetData>
  <mergeCells count="5">
    <mergeCell ref="A1:I1"/>
    <mergeCell ref="A2:B2"/>
    <mergeCell ref="C2:I2"/>
    <mergeCell ref="A3:B3"/>
    <mergeCell ref="C3:I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
  <sheetViews>
    <sheetView showZeros="0" topLeftCell="A11" workbookViewId="0">
      <selection activeCell="I32" sqref="I32:I33"/>
    </sheetView>
  </sheetViews>
  <sheetFormatPr defaultColWidth="10.2833333333333" defaultRowHeight="16" customHeight="1"/>
  <cols>
    <col min="1" max="1" width="3.93333333333333" style="2" customWidth="1"/>
    <col min="2" max="2" width="40.875" style="3" customWidth="1"/>
    <col min="3" max="3" width="17.7166666666667" style="3" customWidth="1"/>
    <col min="4" max="4" width="18.125" style="3" customWidth="1"/>
    <col min="5" max="5" width="13.5083333333333" style="4" customWidth="1"/>
    <col min="6" max="6" width="7.075" style="3" customWidth="1"/>
    <col min="7" max="7" width="18" style="4" customWidth="1"/>
    <col min="8" max="8" width="13.5083333333333" style="4" customWidth="1"/>
    <col min="9" max="16384" width="10.2833333333333" style="3"/>
  </cols>
  <sheetData>
    <row r="1" ht="33" customHeight="1" spans="1:9">
      <c r="A1" s="5" t="s">
        <v>0</v>
      </c>
      <c r="B1" s="6"/>
      <c r="C1" s="6"/>
      <c r="D1" s="6"/>
      <c r="E1" s="7"/>
      <c r="F1" s="6"/>
      <c r="G1" s="7"/>
      <c r="H1" s="7"/>
    </row>
    <row r="2" customHeight="1" spans="1:9">
      <c r="A2" s="8" t="s">
        <v>1</v>
      </c>
      <c r="B2" s="9"/>
      <c r="C2" s="10" t="str">
        <f>_xlfn.TEXTJOIN("、",,武汉开明:武汉彤烨!C2:C2)</f>
        <v>武汉开明高新科技有限公司、湖北开明高新科技有限公司、湖北岚丹建设工程有限公司、武汉彤烨科技有限公司</v>
      </c>
      <c r="D2" s="11"/>
      <c r="E2" s="11"/>
      <c r="F2" s="11"/>
      <c r="G2" s="11"/>
      <c r="H2" s="11"/>
      <c r="I2" s="12"/>
    </row>
    <row r="3" customHeight="1" spans="1:9">
      <c r="A3" s="13" t="s">
        <v>3</v>
      </c>
      <c r="B3" s="14"/>
      <c r="C3" s="10" t="str">
        <f>_xlfn.TEXTJOIN("、",,武汉开明:武汉彤烨!C3:C3)</f>
        <v>J5210003355103、J5310001525904、J5210112604901、J5210037539105</v>
      </c>
      <c r="D3" s="11"/>
      <c r="E3" s="11"/>
      <c r="F3" s="11"/>
      <c r="G3" s="11"/>
      <c r="H3" s="11"/>
      <c r="I3" s="12"/>
    </row>
    <row r="4" customHeight="1" spans="1:9">
      <c r="A4" s="13" t="s">
        <v>5</v>
      </c>
      <c r="B4" s="15" t="s">
        <v>6</v>
      </c>
      <c r="C4" s="16" t="s">
        <v>7</v>
      </c>
      <c r="D4" s="16" t="s">
        <v>8</v>
      </c>
      <c r="E4" s="17" t="s">
        <v>9</v>
      </c>
      <c r="F4" s="16" t="s">
        <v>10</v>
      </c>
      <c r="G4" s="17" t="s">
        <v>11</v>
      </c>
      <c r="H4" s="17" t="s">
        <v>12</v>
      </c>
      <c r="I4" s="18" t="s">
        <v>13</v>
      </c>
    </row>
    <row r="5" s="1" customFormat="1" customHeight="1" spans="1:9">
      <c r="A5" s="19" cm="1">
        <f t="array" ref="A5:I25">_xlfn.VSTACK(武汉开明!A5:I14,湖北开明!A5:I9,湖北岚丹!A5:I7,武汉彤烨!A5:I7)</f>
        <v>1</v>
      </c>
      <c r="B5" s="20" t="str">
        <v>上海浦东发展银行股份有限公司武汉光谷支行</v>
      </c>
      <c r="C5" s="104" t="str">
        <v>70040155200004954</v>
      </c>
      <c r="D5" s="16" t="str">
        <v>基本存款账户</v>
      </c>
      <c r="E5" s="21">
        <v>41516</v>
      </c>
      <c r="F5" s="16" t="str">
        <v>正常</v>
      </c>
      <c r="G5" s="22" t="str">
        <v>收款、交税、社保及付保证金、付供应商款项（承兑）</v>
      </c>
      <c r="H5" s="21">
        <v>0</v>
      </c>
      <c r="I5" s="23" t="str">
        <v>武汉开明</v>
      </c>
    </row>
    <row r="6" s="1" customFormat="1" customHeight="1" spans="1:9">
      <c r="A6" s="19">
        <v>2</v>
      </c>
      <c r="B6" s="20" t="str">
        <v>汉口银行股份有限公司梅苑支行</v>
      </c>
      <c r="C6" s="104" t="str">
        <v>275051000149501</v>
      </c>
      <c r="D6" s="16" t="str">
        <v>一般存款账户</v>
      </c>
      <c r="E6" s="21">
        <v>41831</v>
      </c>
      <c r="F6" s="16" t="str">
        <v>正常</v>
      </c>
      <c r="G6" s="22" t="str">
        <v>收款</v>
      </c>
      <c r="H6" s="21">
        <v>0</v>
      </c>
      <c r="I6" s="23" t="str">
        <v>武汉开明</v>
      </c>
    </row>
    <row r="7" s="1" customFormat="1" customHeight="1" spans="1:9">
      <c r="A7" s="19">
        <v>3</v>
      </c>
      <c r="B7" s="20" t="str">
        <v>中国建设银行股份有限公司鄂州豪威支行</v>
      </c>
      <c r="C7" s="104" t="str">
        <v>42001650041052500746</v>
      </c>
      <c r="D7" s="16" t="str">
        <v>一般存款账户</v>
      </c>
      <c r="E7" s="21">
        <v>42163</v>
      </c>
      <c r="F7" s="16" t="str">
        <v>正常</v>
      </c>
      <c r="G7" s="22" t="str">
        <v>扣ETC</v>
      </c>
      <c r="H7" s="21">
        <v>0</v>
      </c>
      <c r="I7" s="23" t="str">
        <v>武汉开明</v>
      </c>
    </row>
    <row r="8" s="1" customFormat="1" customHeight="1" spans="1:9">
      <c r="A8" s="19">
        <v>4</v>
      </c>
      <c r="B8" s="20" t="str">
        <v>中国光大银行股份有限公司武汉洪山支行</v>
      </c>
      <c r="C8" s="104" t="str">
        <v>38370188000097500</v>
      </c>
      <c r="D8" s="16" t="str">
        <v>一般存款账户</v>
      </c>
      <c r="E8" s="21">
        <v>41487</v>
      </c>
      <c r="F8" s="16" t="str">
        <v>正常</v>
      </c>
      <c r="G8" s="22" t="str">
        <v>收款</v>
      </c>
      <c r="H8" s="21">
        <v>0</v>
      </c>
      <c r="I8" s="23" t="str">
        <v>武汉开明</v>
      </c>
    </row>
    <row r="9" s="1" customFormat="1" customHeight="1" spans="1:9">
      <c r="A9" s="19">
        <v>5</v>
      </c>
      <c r="B9" s="20" t="str">
        <v>华夏银行股份有限公司武汉汉正街支行</v>
      </c>
      <c r="C9" s="104" t="str">
        <v>11168000000186346</v>
      </c>
      <c r="D9" s="16" t="str">
        <v>一般存款账户</v>
      </c>
      <c r="E9" s="21">
        <v>43066</v>
      </c>
      <c r="F9" s="16" t="str">
        <v>正常</v>
      </c>
      <c r="G9" s="22" t="str">
        <v>收款、贷款账户</v>
      </c>
      <c r="H9" s="21">
        <v>0</v>
      </c>
      <c r="I9" s="23" t="str">
        <v>武汉开明</v>
      </c>
    </row>
    <row r="10" s="1" customFormat="1" customHeight="1" spans="1:9">
      <c r="A10" s="19">
        <v>6</v>
      </c>
      <c r="B10" s="24" t="str">
        <v>武汉农村商业银行股份有限公司豹澥支行</v>
      </c>
      <c r="C10" s="104" t="str">
        <v>211050559310028</v>
      </c>
      <c r="D10" s="16" t="str">
        <v>一般存款账户</v>
      </c>
      <c r="E10" s="21">
        <v>44698</v>
      </c>
      <c r="F10" s="16" t="str">
        <v>正常</v>
      </c>
      <c r="G10" s="22" t="str">
        <v>付款，贷款、批量工资、分包款</v>
      </c>
      <c r="H10" s="21">
        <v>0</v>
      </c>
      <c r="I10" s="23" t="str">
        <v>武汉开明</v>
      </c>
    </row>
    <row r="11" s="1" customFormat="1" ht="15" customHeight="1" spans="1:9">
      <c r="A11" s="19">
        <v>7</v>
      </c>
      <c r="B11" s="24" t="str">
        <v>中国工商银行股份有限公司武汉瀚城支行</v>
      </c>
      <c r="C11" s="104" t="str">
        <v>3202177819100004604</v>
      </c>
      <c r="D11" s="16" t="str">
        <v>一般存款账户</v>
      </c>
      <c r="E11" s="21">
        <v>45103</v>
      </c>
      <c r="F11" s="16" t="str">
        <v>正常</v>
      </c>
      <c r="G11" s="22" t="str">
        <v>贷款、开保函</v>
      </c>
      <c r="H11" s="21">
        <v>0</v>
      </c>
      <c r="I11" s="23" t="str">
        <v>武汉开明</v>
      </c>
    </row>
    <row r="12" s="1" customFormat="1" customHeight="1" spans="1:9">
      <c r="A12" s="19">
        <v>8</v>
      </c>
      <c r="B12" s="24" t="str">
        <v>中国银行鹦鹉大道支行</v>
      </c>
      <c r="C12" s="104" t="str">
        <v>562589190492</v>
      </c>
      <c r="D12" s="16" t="str">
        <v>一般存款账户</v>
      </c>
      <c r="E12" s="21">
        <v>45918</v>
      </c>
      <c r="F12" s="16" t="str">
        <v>正常</v>
      </c>
      <c r="G12" s="22" t="str">
        <v>贷款、员工报销</v>
      </c>
      <c r="H12" s="21">
        <v>0</v>
      </c>
      <c r="I12" s="23" t="str">
        <v>武汉开明</v>
      </c>
    </row>
    <row r="13" s="1" customFormat="1" customHeight="1" spans="1:9">
      <c r="A13" s="19">
        <v>9</v>
      </c>
      <c r="B13" s="24" t="str">
        <v>交通银行武汉洪山支行</v>
      </c>
      <c r="C13" s="104" t="str">
        <v>421421044012004632877</v>
      </c>
      <c r="D13" s="16" t="str">
        <v>一般存款账户</v>
      </c>
      <c r="E13" s="21">
        <v>45775</v>
      </c>
      <c r="F13" s="16" t="str">
        <v>正常</v>
      </c>
      <c r="G13" s="22" t="str">
        <v>贷款2月已还清</v>
      </c>
      <c r="H13" s="21">
        <v>0</v>
      </c>
      <c r="I13" s="23" t="str">
        <v>武汉开明</v>
      </c>
    </row>
    <row r="14" s="1" customFormat="1" customHeight="1" spans="1:9">
      <c r="A14" s="19">
        <v>10</v>
      </c>
      <c r="B14" s="24" t="str">
        <v>青海柴达木农村商业银行股份有限公司</v>
      </c>
      <c r="C14" s="104" t="str">
        <v>82010000001001680</v>
      </c>
      <c r="D14" s="16" t="str">
        <v>非预算单位专用存款账</v>
      </c>
      <c r="E14" s="21">
        <v>45520</v>
      </c>
      <c r="F14" s="16" t="str">
        <v>正常</v>
      </c>
      <c r="G14" s="22" t="str">
        <v>收款</v>
      </c>
      <c r="H14" s="21">
        <v>0</v>
      </c>
      <c r="I14" s="23" t="str">
        <v>武汉开明</v>
      </c>
    </row>
    <row r="15" s="1" customFormat="1" customHeight="1" spans="1:9">
      <c r="A15" s="19">
        <v>1</v>
      </c>
      <c r="B15" s="24" t="str">
        <v>中国建设银行股份有限公司鄂州豪威支行（海关电子口岸）</v>
      </c>
      <c r="C15" s="16" t="str">
        <v>42001650041059262515</v>
      </c>
      <c r="D15" s="16" t="str">
        <v>一般存款账户</v>
      </c>
      <c r="E15" s="21">
        <v>42583</v>
      </c>
      <c r="F15" s="16" t="str">
        <v>正常</v>
      </c>
      <c r="G15" s="22" t="str">
        <v>未使用</v>
      </c>
      <c r="H15" s="21">
        <v>0</v>
      </c>
      <c r="I15" s="23" t="str">
        <v>湖北开明</v>
      </c>
    </row>
    <row r="16" s="1" customFormat="1" customHeight="1" spans="1:9">
      <c r="A16" s="19">
        <v>2</v>
      </c>
      <c r="B16" s="24" t="str">
        <v>中国银行股份有限公司鄂州分行</v>
      </c>
      <c r="C16" s="16">
        <v>565180592794</v>
      </c>
      <c r="D16" s="16" t="str">
        <v>一般存款账户</v>
      </c>
      <c r="E16" s="21">
        <v>44379</v>
      </c>
      <c r="F16" s="16" t="str">
        <v>正常</v>
      </c>
      <c r="G16" s="22" t="str">
        <v>贷款、报销</v>
      </c>
      <c r="H16" s="21">
        <v>0</v>
      </c>
      <c r="I16" s="23" t="str">
        <v>湖北开明</v>
      </c>
    </row>
    <row r="17" s="1" customFormat="1" customHeight="1" spans="1:9">
      <c r="A17" s="19">
        <v>3</v>
      </c>
      <c r="B17" s="24" t="str">
        <v>中国邮政储蓄银行股份有限公司鄂州市凤凰支行</v>
      </c>
      <c r="C17" s="16" t="str">
        <v>942003010056507780</v>
      </c>
      <c r="D17" s="16" t="str">
        <v>一般存款账户</v>
      </c>
      <c r="E17" s="21">
        <v>45404</v>
      </c>
      <c r="F17" s="16" t="str">
        <v>正常</v>
      </c>
      <c r="G17" s="22" t="str">
        <v>贷款、工资、付供应商（承兑）</v>
      </c>
      <c r="H17" s="21" t="str">
        <v/>
      </c>
      <c r="I17" s="23" t="str">
        <v>湖北开明</v>
      </c>
    </row>
    <row r="18" s="1" customFormat="1" customHeight="1" spans="1:9">
      <c r="A18" s="19">
        <v>4</v>
      </c>
      <c r="B18" s="24" t="str">
        <v>中国工商银行股份有限公司鄂州西山支行</v>
      </c>
      <c r="C18" s="16" t="str">
        <v>1811004609200004096</v>
      </c>
      <c r="D18" s="16" t="str">
        <v>基本存款账户</v>
      </c>
      <c r="E18" s="21">
        <v>45470</v>
      </c>
      <c r="F18" s="16" t="str">
        <v>正常</v>
      </c>
      <c r="G18" s="22" t="str">
        <v>收款、交税、社保</v>
      </c>
      <c r="H18" s="21" t="str">
        <v/>
      </c>
      <c r="I18" s="23" t="str">
        <v>湖北开明</v>
      </c>
    </row>
    <row r="19" s="1" customFormat="1" ht="27" customHeight="1" spans="1:9">
      <c r="A19" s="19">
        <v>5</v>
      </c>
      <c r="B19" s="24" t="str">
        <v>中国工商银行股份有限公司鄂州虹桥支行</v>
      </c>
      <c r="C19" s="16" t="str">
        <v>1811022619200054786</v>
      </c>
      <c r="D19" s="16" t="str">
        <v>一般存款账户</v>
      </c>
      <c r="E19" s="21">
        <v>45470</v>
      </c>
      <c r="F19" s="16" t="str">
        <v>正常</v>
      </c>
      <c r="G19" s="22" t="str">
        <v>收款、大额转账</v>
      </c>
      <c r="H19" s="21" t="str">
        <v/>
      </c>
      <c r="I19" s="23" t="str">
        <v>湖北开明</v>
      </c>
    </row>
    <row r="20" s="1" customFormat="1" customHeight="1" spans="1:9">
      <c r="A20" s="19">
        <v>1</v>
      </c>
      <c r="B20" s="24" t="str">
        <v>中信银行股份有限公司武汉东湖支行</v>
      </c>
      <c r="C20" s="16" t="str">
        <v>8111501013501068761</v>
      </c>
      <c r="D20" s="16" t="str">
        <v>基本存款账户</v>
      </c>
      <c r="E20" s="21">
        <v>44967</v>
      </c>
      <c r="F20" s="16" t="str">
        <v>正常</v>
      </c>
      <c r="G20" s="22" t="str">
        <v>收款、工资、报销</v>
      </c>
      <c r="H20" s="21">
        <v>0</v>
      </c>
      <c r="I20" s="23" t="str">
        <v>湖北岚丹</v>
      </c>
    </row>
    <row r="21" s="1" customFormat="1" customHeight="1" spans="1:9">
      <c r="A21" s="19">
        <v>2</v>
      </c>
      <c r="B21" s="24" t="str">
        <v>中国银行武汉鹦鹉大道支行</v>
      </c>
      <c r="C21" s="104" t="str">
        <v>575589586965</v>
      </c>
      <c r="D21" s="16" t="str">
        <v>一般存款账户</v>
      </c>
      <c r="E21" s="21">
        <v>45989</v>
      </c>
      <c r="F21" s="16" t="str">
        <v>正常</v>
      </c>
      <c r="G21" s="22" t="str">
        <v>贷款担保开户、付供应商款项</v>
      </c>
      <c r="H21" s="21">
        <v>0</v>
      </c>
      <c r="I21" s="23" t="str">
        <v>湖北岚丹</v>
      </c>
    </row>
    <row r="22" s="1" customFormat="1" customHeight="1" spans="1:9">
      <c r="A22" s="19">
        <v>3</v>
      </c>
      <c r="B22" s="24" t="str">
        <v>青海柴达木农村商业银行股份有限公司</v>
      </c>
      <c r="C22" s="16" t="str">
        <v>82010000001001679</v>
      </c>
      <c r="D22" s="16" t="str">
        <v>非预算单位专用存款账</v>
      </c>
      <c r="E22" s="21">
        <v>45520</v>
      </c>
      <c r="F22" s="16" t="str">
        <v>正常</v>
      </c>
      <c r="G22" s="22" t="str">
        <v>收款</v>
      </c>
      <c r="H22" s="21">
        <v>0</v>
      </c>
      <c r="I22" s="23" t="str">
        <v>湖北岚丹</v>
      </c>
    </row>
    <row r="23" s="1" customFormat="1" customHeight="1" spans="1:9">
      <c r="A23" s="19">
        <v>1</v>
      </c>
      <c r="B23" s="24" t="str">
        <v>中信银行股份有限公司武汉东湖支行</v>
      </c>
      <c r="C23" s="16" t="str">
        <v>7381110182600181028</v>
      </c>
      <c r="D23" s="16" t="str">
        <v>基本存款账户</v>
      </c>
      <c r="E23" s="21">
        <v>41715</v>
      </c>
      <c r="F23" s="16" t="str">
        <v>正常</v>
      </c>
      <c r="G23" s="22" t="str">
        <v>收款、工资、报销</v>
      </c>
      <c r="H23" s="21">
        <v>0</v>
      </c>
      <c r="I23" s="23" t="str">
        <v>武汉彤烨</v>
      </c>
    </row>
    <row r="24" s="1" customFormat="1" customHeight="1" spans="1:9">
      <c r="A24" s="19">
        <v>2</v>
      </c>
      <c r="B24" s="24" t="str">
        <v>中国建设银行股份有限公司武汉和平大道绿地支行</v>
      </c>
      <c r="C24" s="16" t="str">
        <v>42050110229600000564</v>
      </c>
      <c r="D24" s="16" t="str">
        <v>一般存款账户</v>
      </c>
      <c r="E24" s="21">
        <v>44141</v>
      </c>
      <c r="F24" s="16" t="str">
        <v>正常</v>
      </c>
      <c r="G24" s="22" t="str">
        <v>扣ETC，社保、交税</v>
      </c>
      <c r="H24" s="21">
        <v>0</v>
      </c>
      <c r="I24" s="23" t="str">
        <v>武汉彤烨</v>
      </c>
    </row>
    <row r="25" s="1" customFormat="1" customHeight="1" spans="1:9">
      <c r="A25" s="19">
        <v>3</v>
      </c>
      <c r="B25" s="24" t="str">
        <v>中国工商银行股份有限公司鄂州西山支行</v>
      </c>
      <c r="C25" s="16" t="str">
        <v>1811004619100015212</v>
      </c>
      <c r="D25" s="16" t="str">
        <v>一般存款账户</v>
      </c>
      <c r="E25" s="21">
        <v>45470</v>
      </c>
      <c r="F25" s="16" t="str">
        <v>正常</v>
      </c>
      <c r="G25" s="22" t="str">
        <v>转账额度大</v>
      </c>
      <c r="H25" s="21">
        <v>0</v>
      </c>
      <c r="I25" s="23" t="str">
        <v>武汉彤烨</v>
      </c>
    </row>
    <row r="26" s="1" customFormat="1" customHeight="1" spans="1:9">
      <c r="A26" s="19"/>
      <c r="B26" s="24"/>
      <c r="C26" s="16"/>
      <c r="D26" s="16"/>
      <c r="E26" s="21"/>
      <c r="F26" s="16"/>
      <c r="G26" s="22"/>
      <c r="H26" s="21"/>
      <c r="I26" s="23"/>
    </row>
    <row r="27" s="1" customFormat="1" customHeight="1" spans="1:9">
      <c r="A27" s="19"/>
      <c r="B27" s="24"/>
      <c r="C27" s="16"/>
      <c r="D27" s="16"/>
      <c r="E27" s="21"/>
      <c r="F27" s="16"/>
      <c r="G27" s="22"/>
      <c r="H27" s="21"/>
      <c r="I27" s="23"/>
    </row>
    <row r="28" s="1" customFormat="1" customHeight="1" spans="1:9">
      <c r="A28" s="19"/>
      <c r="B28" s="24"/>
      <c r="C28" s="16"/>
      <c r="D28" s="16"/>
      <c r="E28" s="21"/>
      <c r="F28" s="16"/>
      <c r="G28" s="22"/>
      <c r="H28" s="21"/>
      <c r="I28" s="23"/>
    </row>
    <row r="29" s="1" customFormat="1" customHeight="1" spans="1:9">
      <c r="A29" s="19"/>
      <c r="B29" s="24"/>
      <c r="C29" s="16"/>
      <c r="D29" s="16"/>
      <c r="E29" s="21"/>
      <c r="F29" s="16"/>
      <c r="G29" s="22"/>
      <c r="H29" s="21"/>
      <c r="I29" s="23"/>
    </row>
    <row r="30" s="1" customFormat="1" customHeight="1" spans="1:9">
      <c r="A30" s="19"/>
      <c r="B30" s="20"/>
      <c r="C30" s="16"/>
      <c r="D30" s="16"/>
      <c r="E30" s="21"/>
      <c r="F30" s="16"/>
      <c r="G30" s="22"/>
      <c r="H30" s="21"/>
      <c r="I30" s="23"/>
    </row>
    <row r="31" s="1" customFormat="1" customHeight="1" spans="1:9">
      <c r="A31" s="19"/>
      <c r="B31" s="20"/>
      <c r="C31" s="16"/>
      <c r="D31" s="16"/>
      <c r="E31" s="21"/>
      <c r="F31" s="16"/>
      <c r="G31" s="22"/>
      <c r="H31" s="21"/>
      <c r="I31" s="23"/>
    </row>
    <row r="32" s="1" customFormat="1" customHeight="1" spans="1:9">
      <c r="A32" s="25">
        <v>1</v>
      </c>
      <c r="B32" s="26" t="s">
        <v>90</v>
      </c>
      <c r="C32" s="27" t="s">
        <v>91</v>
      </c>
      <c r="D32" s="28" t="s">
        <v>16</v>
      </c>
      <c r="E32" s="29"/>
      <c r="F32" s="28" t="s">
        <v>17</v>
      </c>
      <c r="G32" s="30" t="s">
        <v>23</v>
      </c>
      <c r="H32" s="30"/>
      <c r="I32" s="30" t="s">
        <v>56</v>
      </c>
    </row>
    <row r="33" s="1" customFormat="1" customHeight="1" spans="1:9">
      <c r="A33" s="25">
        <v>2</v>
      </c>
      <c r="B33" s="26" t="s">
        <v>92</v>
      </c>
      <c r="C33" s="27" t="s">
        <v>93</v>
      </c>
      <c r="D33" s="28" t="s">
        <v>16</v>
      </c>
      <c r="E33" s="31"/>
      <c r="F33" s="28" t="s">
        <v>17</v>
      </c>
      <c r="G33" s="32" t="s">
        <v>23</v>
      </c>
      <c r="H33" s="32"/>
      <c r="I33" s="30" t="s">
        <v>94</v>
      </c>
    </row>
    <row r="34" s="1" customFormat="1" customHeight="1" spans="1:9">
      <c r="A34" s="25">
        <v>3</v>
      </c>
      <c r="B34" s="26" t="s">
        <v>95</v>
      </c>
      <c r="C34" s="27" t="s">
        <v>96</v>
      </c>
      <c r="D34" s="28" t="s">
        <v>16</v>
      </c>
      <c r="E34" s="33"/>
      <c r="F34" s="28" t="s">
        <v>17</v>
      </c>
      <c r="G34" s="32" t="s">
        <v>23</v>
      </c>
      <c r="H34" s="32"/>
      <c r="I34" s="30" t="s">
        <v>97</v>
      </c>
    </row>
    <row r="35" s="1" customFormat="1" customHeight="1" spans="1:9">
      <c r="A35" s="19"/>
      <c r="B35" s="34"/>
      <c r="C35" s="16"/>
      <c r="D35" s="16"/>
      <c r="E35" s="21"/>
      <c r="F35" s="16"/>
      <c r="G35" s="22"/>
      <c r="H35" s="21"/>
      <c r="I35" s="23"/>
    </row>
    <row r="36" s="1" customFormat="1" customHeight="1" spans="1:9">
      <c r="A36" s="19"/>
      <c r="B36" s="20"/>
      <c r="C36" s="16"/>
      <c r="D36" s="16"/>
      <c r="E36" s="21"/>
      <c r="F36" s="16"/>
      <c r="G36" s="22"/>
      <c r="H36" s="21"/>
      <c r="I36" s="23"/>
    </row>
    <row r="37" s="1" customFormat="1" customHeight="1" spans="1:9">
      <c r="A37" s="19"/>
      <c r="B37" s="20"/>
      <c r="C37" s="16"/>
      <c r="D37" s="16"/>
      <c r="E37" s="21"/>
      <c r="F37" s="16"/>
      <c r="G37" s="22"/>
      <c r="H37" s="21"/>
      <c r="I37" s="23"/>
    </row>
    <row r="38" s="1" customFormat="1" customHeight="1" spans="1:9">
      <c r="A38" s="19"/>
      <c r="B38" s="20"/>
      <c r="C38" s="16"/>
      <c r="D38" s="16"/>
      <c r="E38" s="21"/>
      <c r="F38" s="16"/>
      <c r="G38" s="22"/>
      <c r="H38" s="21"/>
      <c r="I38" s="23"/>
    </row>
    <row r="39" s="1" customFormat="1" customHeight="1" spans="1:9">
      <c r="A39" s="19"/>
      <c r="B39" s="20"/>
      <c r="C39" s="16"/>
      <c r="D39" s="16"/>
      <c r="E39" s="21"/>
      <c r="F39" s="16"/>
      <c r="G39" s="22"/>
      <c r="H39" s="21"/>
      <c r="I39" s="23"/>
    </row>
    <row r="40" s="1" customFormat="1" customHeight="1" spans="1:9">
      <c r="A40" s="19"/>
      <c r="B40" s="20"/>
      <c r="C40" s="16"/>
      <c r="D40" s="16"/>
      <c r="E40" s="21"/>
      <c r="F40" s="16"/>
      <c r="G40" s="22"/>
      <c r="H40" s="21"/>
      <c r="I40" s="23"/>
    </row>
    <row r="41" s="1" customFormat="1" customHeight="1" spans="1:9">
      <c r="A41" s="19"/>
      <c r="B41" s="20"/>
      <c r="C41" s="16"/>
      <c r="D41" s="16"/>
      <c r="E41" s="21"/>
      <c r="F41" s="16"/>
      <c r="G41" s="22"/>
      <c r="H41" s="21"/>
      <c r="I41" s="23"/>
    </row>
    <row r="42" s="1" customFormat="1" customHeight="1" spans="1:9">
      <c r="A42" s="19"/>
      <c r="B42" s="20"/>
      <c r="C42" s="16"/>
      <c r="D42" s="16"/>
      <c r="E42" s="21"/>
      <c r="F42" s="16"/>
      <c r="G42" s="22"/>
      <c r="H42" s="21"/>
      <c r="I42" s="23"/>
    </row>
    <row r="43" s="1" customFormat="1" customHeight="1" spans="1:9">
      <c r="A43" s="19"/>
      <c r="B43" s="20"/>
      <c r="C43" s="16"/>
      <c r="D43" s="16"/>
      <c r="E43" s="21"/>
      <c r="F43" s="16"/>
      <c r="G43" s="22"/>
      <c r="H43" s="21"/>
      <c r="I43" s="23"/>
    </row>
  </sheetData>
  <mergeCells count="5">
    <mergeCell ref="A1:H1"/>
    <mergeCell ref="A2:B2"/>
    <mergeCell ref="C2:I2"/>
    <mergeCell ref="A3:B3"/>
    <mergeCell ref="C3:I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Kingsoft-PDF</Application>
  <HeadingPairs>
    <vt:vector size="2" baseType="variant">
      <vt:variant>
        <vt:lpstr>工作表</vt:lpstr>
      </vt:variant>
      <vt:variant>
        <vt:i4>6</vt:i4>
      </vt:variant>
    </vt:vector>
  </HeadingPairs>
  <TitlesOfParts>
    <vt:vector size="6" baseType="lpstr">
      <vt:lpstr>武汉开明</vt:lpstr>
      <vt:lpstr>湖北开明</vt:lpstr>
      <vt:lpstr>湖北岚丹</vt:lpstr>
      <vt:lpstr>武汉彤烨</vt:lpstr>
      <vt:lpstr>其它</vt:lpstr>
      <vt:lpstr>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pdfbuilder</dc:subject>
  <dc:creator>Kingsoft-PDF</dc:creator>
  <cp:lastModifiedBy>余丽</cp:lastModifiedBy>
  <dcterms:created xsi:type="dcterms:W3CDTF">2024-11-16T10:47:00Z</dcterms:created>
  <dcterms:modified xsi:type="dcterms:W3CDTF">2026-03-16T03:33:35Z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2024-11-16T02:47:06Z</vt:filetime>
  </property>
  <property fmtid="{D5CDD505-2E9C-101B-9397-08002B2CF9AE}" pid="4" name="UsrData">
    <vt:lpwstr>673807a46631a7002092f286wl</vt:lpwstr>
  </property>
  <property fmtid="{D5CDD505-2E9C-101B-9397-08002B2CF9AE}" pid="5" name="KSOProductBuildVer">
    <vt:lpwstr>2052-12.1.0.25225</vt:lpwstr>
  </property>
  <property fmtid="{D5CDD505-2E9C-101B-9397-08002B2CF9AE}" pid="6" name="ICV">
    <vt:lpwstr>61B89297E02F402A9BA891AB09E8A8FE_13</vt:lpwstr>
  </property>
  <property fmtid="{D5CDD505-2E9C-101B-9397-08002B2CF9AE}" pid="7" name="KSOReadingLayout">
    <vt:bool>true</vt:bool>
  </property>
  <property fmtid="{D5CDD505-2E9C-101B-9397-08002B2CF9AE}" pid="8" name="CalculationRule">
    <vt:i4>0</vt:i4>
  </property>
</Properties>
</file>