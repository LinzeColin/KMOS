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807" activeTab="8"/>
  </bookViews>
  <sheets>
    <sheet name="1月" sheetId="3" r:id="rId1"/>
    <sheet name="2月" sheetId="4" r:id="rId2"/>
    <sheet name="3月" sheetId="5" r:id="rId3"/>
    <sheet name="4月" sheetId="6" r:id="rId4"/>
    <sheet name="5月" sheetId="7" r:id="rId5"/>
    <sheet name="6月" sheetId="8" r:id="rId6"/>
    <sheet name="7月" sheetId="9" r:id="rId7"/>
    <sheet name="8月" sheetId="10" r:id="rId8"/>
    <sheet name="9月" sheetId="11" r:id="rId9"/>
    <sheet name="10月" sheetId="14" r:id="rId10"/>
    <sheet name="11月" sheetId="15" r:id="rId11"/>
    <sheet name="12月" sheetId="16" r:id="rId12"/>
    <sheet name="汇总" sheetId="2" r:id="rId13"/>
    <sheet name="保证金" sheetId="19" r:id="rId14"/>
  </sheets>
  <externalReferences>
    <externalReference r:id="rId16"/>
  </externalReferences>
  <definedNames>
    <definedName name="_xlnm._FilterDatabase" localSheetId="6" hidden="1">'7月'!$A$2:$L$39</definedName>
    <definedName name="_xlnm._FilterDatabase" localSheetId="13" hidden="1">保证金!$A$2:$I$135</definedName>
    <definedName name="_xlnm._FilterDatabase" localSheetId="8" hidden="1">'9月'!$A$2:$G$51</definedName>
    <definedName name="_xlnm._FilterDatabase" localSheetId="5" hidden="1">'6月'!$A$2:$G$29</definedName>
    <definedName name="_xlnm._FilterDatabase" localSheetId="4" hidden="1">'5月'!$E$3:$E$29</definedName>
    <definedName name="_xlnm._FilterDatabase" localSheetId="3" hidden="1">'4月'!$E$3:$E$41</definedName>
    <definedName name="收支类别">[1]资金账户!$K$3:$W$3</definedName>
    <definedName name="_xlnm._FilterDatabase" localSheetId="7" hidden="1">'8月'!$A$2:$G$45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<sst xmlns="http://schemas.openxmlformats.org/spreadsheetml/2006/main" count="1719" uniqueCount="340">
  <si>
    <t>1月回款明细表</t>
  </si>
  <si>
    <t>序列</t>
  </si>
  <si>
    <t>日期</t>
  </si>
  <si>
    <t>公司名称</t>
  </si>
  <si>
    <t>合同号</t>
  </si>
  <si>
    <t>回款金额（元）</t>
  </si>
  <si>
    <t>回款方式</t>
  </si>
  <si>
    <t>备注</t>
  </si>
  <si>
    <t>澜沧三环建材有限公司</t>
  </si>
  <si>
    <t>武汉浦发</t>
  </si>
  <si>
    <t>交城义望铁合金有限责任公司</t>
  </si>
  <si>
    <t>银行承兑汇票（新）</t>
  </si>
  <si>
    <t>武汉阳训科技有限公司</t>
  </si>
  <si>
    <t>武汉信茂</t>
  </si>
  <si>
    <t>喀什红旗水泥有限责任公司</t>
  </si>
  <si>
    <t>杨敬辉</t>
  </si>
  <si>
    <t>武汉工行</t>
  </si>
  <si>
    <t>山东泰西水泥有限公司</t>
  </si>
  <si>
    <t>东方希望重庆水泥有限公司</t>
  </si>
  <si>
    <t>武汉汉口</t>
  </si>
  <si>
    <t>新疆伊犁钢铁有限责任公司</t>
  </si>
  <si>
    <t>通宝</t>
  </si>
  <si>
    <t>四川峨胜水泥集团股份有限公司</t>
  </si>
  <si>
    <t>质保金</t>
  </si>
  <si>
    <t>江西亚东水泥有限公司</t>
  </si>
  <si>
    <t>武汉华夏</t>
  </si>
  <si>
    <t>兆山集团诸暨水泥有限公司</t>
  </si>
  <si>
    <t>重庆綦江西南水泥有限公司</t>
  </si>
  <si>
    <t>武汉光大</t>
  </si>
  <si>
    <t>吉林亚泰明城水泥有限公司</t>
  </si>
  <si>
    <t>武汉彤烨中信</t>
  </si>
  <si>
    <t>德州中联大坝水泥有限公司</t>
  </si>
  <si>
    <t>宜良红狮水泥有限公司</t>
  </si>
  <si>
    <t>赛德水泥（贵州）管理有限公司</t>
  </si>
  <si>
    <t>武汉农商行</t>
  </si>
  <si>
    <t>湖南耒阳南方水泥有限公司</t>
  </si>
  <si>
    <t>山东鲁碧集团有限公司</t>
  </si>
  <si>
    <t>银行承兑汇票3张（新）</t>
  </si>
  <si>
    <t>崇阳县昌华实业有限公司</t>
  </si>
  <si>
    <t>新疆蒙鑫水泥有限公司奇台分公司</t>
  </si>
  <si>
    <t>山东申丰水泥集团有限公司</t>
  </si>
  <si>
    <t>银行承兑汇票2张（新）</t>
  </si>
  <si>
    <t>登电集团水泥有限公司</t>
  </si>
  <si>
    <t>江西安福南方水泥有限公司</t>
  </si>
  <si>
    <t>青海盐湖镁业有限公司</t>
  </si>
  <si>
    <t>怀宁上峰水泥有限公司</t>
  </si>
  <si>
    <t>青海发投碱业有限公司</t>
  </si>
  <si>
    <t>银行承兑汇票7张（新）</t>
  </si>
  <si>
    <t>湖北岚丹中信</t>
  </si>
  <si>
    <t>元江县永发水泥有限公司</t>
  </si>
  <si>
    <t>湖北恒博机械科技有限公司</t>
  </si>
  <si>
    <t>湖北京兰水泥集团有限公司</t>
  </si>
  <si>
    <t>湖南省嘉禾县南岭水泥有限公司</t>
  </si>
  <si>
    <t>蕉岭县龙腾旋窑水泥有限公司</t>
  </si>
  <si>
    <r>
      <rPr>
        <sz val="11"/>
        <color theme="1"/>
        <rFont val="宋体"/>
        <charset val="134"/>
        <scheme val="minor"/>
      </rPr>
      <t>卫辉市天瑞水泥有限公司</t>
    </r>
  </si>
  <si>
    <t>湖北工行西山</t>
  </si>
  <si>
    <t>合计</t>
  </si>
  <si>
    <t>2月回款明细表</t>
  </si>
  <si>
    <r>
      <rPr>
        <sz val="9.75"/>
        <color theme="1"/>
        <rFont val="Microsoft YaHei"/>
        <charset val="134"/>
      </rPr>
      <t>安钢集团信阳钢铁有限责任公司</t>
    </r>
  </si>
  <si>
    <r>
      <rPr>
        <sz val="9.75"/>
        <color rgb="FF000000"/>
        <rFont val="Microsoft YaHei"/>
        <charset val="134"/>
      </rPr>
      <t>山东鲁泰环保建材有限公司</t>
    </r>
  </si>
  <si>
    <t>商业承兑汇票（新）</t>
  </si>
  <si>
    <t>武汉信茂浦发</t>
  </si>
  <si>
    <t>华润水泥（罗定）有限公司</t>
  </si>
  <si>
    <t>河南锦荣水泥有限公司</t>
  </si>
  <si>
    <t>江苏沙钢钢铁有限公司</t>
  </si>
  <si>
    <t>汉中勉县尧柏水泥有限公司</t>
  </si>
  <si>
    <t>重庆长寿西南水泥有限公司</t>
  </si>
  <si>
    <t>江西玉山万青水泥有限公司</t>
  </si>
  <si>
    <t>履约金</t>
  </si>
  <si>
    <t>银行承兑汇票（新）3张</t>
  </si>
  <si>
    <t>嘉峪关祁连山水泥有限公司</t>
  </si>
  <si>
    <t>银行承兑汇票（新）2张</t>
  </si>
  <si>
    <t>广西北港不锈钢有限公司</t>
  </si>
  <si>
    <t>宁波钢铁有限公司</t>
  </si>
  <si>
    <t xml:space="preserve">            </t>
  </si>
  <si>
    <t>3月回款明细表</t>
  </si>
  <si>
    <t>信茂浦发</t>
  </si>
  <si>
    <t>萍乡萍钢安源钢铁有限公司</t>
  </si>
  <si>
    <t>甘肃京兰水泥有限公司</t>
  </si>
  <si>
    <t>鞍山冀东水泥有限责任公司</t>
  </si>
  <si>
    <t>云南远东水泥有限责任公司</t>
  </si>
  <si>
    <t>应城市新都化工有限责任公司</t>
  </si>
  <si>
    <t>北京金隅琉水环保科技有限公司</t>
  </si>
  <si>
    <t>厦工（三明）重型机器有限公司</t>
  </si>
  <si>
    <t>重庆秀山西南水泥有限公司</t>
  </si>
  <si>
    <t>临洮三成贸易有限责任公司</t>
  </si>
  <si>
    <t>代付三易水泥厂款项</t>
  </si>
  <si>
    <t>河南阿尔法工程材料有限公司</t>
  </si>
  <si>
    <t>银行承兑汇票（新）6张</t>
  </si>
  <si>
    <t>成县祁连山水泥有限公司</t>
  </si>
  <si>
    <t>湖南浏阳南方水泥有限公司</t>
  </si>
  <si>
    <t>山西太谷恒达煤气化有限公司</t>
  </si>
  <si>
    <t>日钢营口中板有限公司</t>
  </si>
  <si>
    <t>武汉市洪山区人民法院</t>
  </si>
  <si>
    <t>湖北纪凯努</t>
  </si>
  <si>
    <t>内蒙古武兰执行款</t>
  </si>
  <si>
    <t>厦工(三明)重型机器有限公司</t>
  </si>
  <si>
    <t>4月回款明细表</t>
  </si>
  <si>
    <t>安钢集团信阳钢铁有限责任公司</t>
  </si>
  <si>
    <t>山西吉港冠宇水泥有限公司</t>
  </si>
  <si>
    <t>福建青拓镍业有限公司</t>
  </si>
  <si>
    <t>黄冈亚东水泥有限公司</t>
  </si>
  <si>
    <t>山西昌灏环保科技股份有限公司</t>
  </si>
  <si>
    <t>湖北双环科技股份有限公司</t>
  </si>
  <si>
    <t>广西登高（集团）田东水泥有限公司</t>
  </si>
  <si>
    <t>洛阳黄河同力水泥有限责任公司</t>
  </si>
  <si>
    <t>广西北港新材料有限公司</t>
  </si>
  <si>
    <t>卫辉市天瑞水泥有限公司</t>
  </si>
  <si>
    <t>维修费及质保金</t>
  </si>
  <si>
    <t>无为华塑矿业有限公司</t>
  </si>
  <si>
    <t>四川省星船城水泥股份有限公司</t>
  </si>
  <si>
    <t>湖南有色彬州氟化学有限公司</t>
  </si>
  <si>
    <t>云南澄江华荣水泥有限责任公司</t>
  </si>
  <si>
    <t>新余市汇益信新型材料有限公司</t>
  </si>
  <si>
    <t>江西贵溪南方水泥有限公司</t>
  </si>
  <si>
    <t>赵许武</t>
  </si>
  <si>
    <t>王先梅邮政</t>
  </si>
  <si>
    <t>碱厂水合机维修费</t>
  </si>
  <si>
    <t>5月回款明细表</t>
  </si>
  <si>
    <t>甘肃永固特种水泥有限公司</t>
  </si>
  <si>
    <t>新疆宜化化工有限公司</t>
  </si>
  <si>
    <t>湖北能源集团鄂州发电有限公司</t>
  </si>
  <si>
    <t>青海海西化工建材股份有限公司</t>
  </si>
  <si>
    <t>冀东水泥重庆合川有限责任公司</t>
  </si>
  <si>
    <t>国家电投集团山西铝业有限公司</t>
  </si>
  <si>
    <t>天瑞新登郑州水泥有限公司</t>
  </si>
  <si>
    <t>库尔勒天山水泥有限责任公司</t>
  </si>
  <si>
    <t>中材亨达水泥有限公司</t>
  </si>
  <si>
    <t>湖南韶峰南方水泥有限公司</t>
  </si>
  <si>
    <t>5000T窑及2500T窑齿轮大修质保金</t>
  </si>
  <si>
    <t>6月回款明细表</t>
  </si>
  <si>
    <t>武汉美腾斯科技有限公司</t>
  </si>
  <si>
    <t>云南昆钢嘉华水泥建材有限公司  </t>
  </si>
  <si>
    <t>退质保金</t>
  </si>
  <si>
    <t>准格尔旗铸城水泥有限责任公司</t>
  </si>
  <si>
    <t>贵州资兆建材有限公司</t>
  </si>
  <si>
    <t>质押金</t>
  </si>
  <si>
    <t>湖南良田水泥有限公司</t>
  </si>
  <si>
    <t>巴彦淖尔中联水泥有限公司</t>
  </si>
  <si>
    <t>宜城安达特种水泥有限公司</t>
  </si>
  <si>
    <t>中盐内蒙古化工股份有限公司盐碱分公司</t>
  </si>
  <si>
    <t>武汉彤烨</t>
  </si>
  <si>
    <t>2#3#窑轮带修复费用</t>
  </si>
  <si>
    <t>吐鲁番天山水泥有限责公司</t>
  </si>
  <si>
    <t>湖南华菱湘潭钢铁有限公司</t>
  </si>
  <si>
    <t>7月回款明细表</t>
  </si>
  <si>
    <t>求和项:回款金额（元）</t>
  </si>
  <si>
    <t>安吉南方水泥有限公司</t>
  </si>
  <si>
    <t>达州利森水泥有限公司</t>
  </si>
  <si>
    <t>奎山水泥有限公司</t>
  </si>
  <si>
    <t>湖北亚东水泥有限公司</t>
  </si>
  <si>
    <t>湖北宜化松滋肥业有限公司</t>
  </si>
  <si>
    <t>淮北相山水泥有限责任公司</t>
  </si>
  <si>
    <t>江西赣锋锂业集团股份有限公司</t>
  </si>
  <si>
    <t>陕西实丰水泥股份有限公司</t>
  </si>
  <si>
    <t>四川筠连西南水泥有限公司</t>
  </si>
  <si>
    <t>来凤县金凤建材工业有限责任公司</t>
  </si>
  <si>
    <t>中材安徽水泥有限公司</t>
  </si>
  <si>
    <t>武钢中冶工业技术服务有限公司</t>
  </si>
  <si>
    <t>总计</t>
  </si>
  <si>
    <t>通宝平台</t>
  </si>
  <si>
    <t>8月回款明细表</t>
  </si>
  <si>
    <t>彤烨中信</t>
  </si>
  <si>
    <t>亚泰集团哈尔滨水泥有限公司</t>
  </si>
  <si>
    <t>燕新控股集团有限公司</t>
  </si>
  <si>
    <t>绥江县永固水泥有限责任公司</t>
  </si>
  <si>
    <t>永州市九嶷正阳水泥有限责任公司</t>
  </si>
  <si>
    <t>惠州市光大水泥企业有限公司</t>
  </si>
  <si>
    <t>四川省达州钢铁集团有限责任公司</t>
  </si>
  <si>
    <t>三门峡腾跃同力水泥有限公司</t>
  </si>
  <si>
    <t>佛山住商肥料有限公司</t>
  </si>
  <si>
    <t>江西乐平万年青水泥有限公司</t>
  </si>
  <si>
    <t>包头冀东水泥有限公司</t>
  </si>
  <si>
    <t>江西鹤林水泥有限公司</t>
  </si>
  <si>
    <t>广西都安西江鱼峰水泥有限公司</t>
  </si>
  <si>
    <t>贵州黔西中水发电有限公司</t>
  </si>
  <si>
    <t>渤海水泥（葫芦岛）有限公司</t>
  </si>
  <si>
    <t>内乡县泰隆建材有限公司</t>
  </si>
  <si>
    <t>武汉农民工账户</t>
  </si>
  <si>
    <t>9月回款明细表</t>
  </si>
  <si>
    <t>山东鲁泰环保建材有限公司</t>
  </si>
  <si>
    <t>商业汇票</t>
  </si>
  <si>
    <t xml:space="preserve">武汉华夏 </t>
  </si>
  <si>
    <t>青海互助金圆水泥有限公司</t>
  </si>
  <si>
    <t>江苏唐电电力安装有限公司</t>
  </si>
  <si>
    <t>银行承兑汇票（新） 青海发投碱业有限公司煅烧车间轻、重灰闪发器更新项目及轻灰一闪总管、重灰煅烧炉进气总管技改项目施工项目</t>
  </si>
  <si>
    <t>吉林金隅冀东环保科技有限公司</t>
  </si>
  <si>
    <t>阿鲁科尔沁旗山水水泥有限公司</t>
  </si>
  <si>
    <t>台泥(英德)水泥有限公司</t>
  </si>
  <si>
    <t>江西晶昊盐化有限公司</t>
  </si>
  <si>
    <t>新兴（天津）商业保理有限责任公司（新兴铸管股份有限公司）</t>
  </si>
  <si>
    <t>大同市兴云建材有限责任公司</t>
  </si>
  <si>
    <t>唐山冀东启新水泥有限责任公司</t>
  </si>
  <si>
    <t>平泉冀东水泥有限责任公司</t>
  </si>
  <si>
    <t>河南华润电力首阳山有限公司</t>
  </si>
  <si>
    <t>海拉尔蒙西水泥有限公司</t>
  </si>
  <si>
    <t>青海梧烔建材有限责任公司</t>
  </si>
  <si>
    <t>武汉吉如环保工程有限公司</t>
  </si>
  <si>
    <t>内蒙古冀东水泥有限责任公司</t>
  </si>
  <si>
    <t>江苏鹤林水泥有限公司</t>
  </si>
  <si>
    <t>银行承兑汇票（新）青海发投碱业有限公司煅烧车间轻、重灰闪发器更新项目及轻灰一闪总管、重灰煅烧炉进气总管技改项目施工项目</t>
  </si>
  <si>
    <t xml:space="preserve"> 江苏唐电电力安装有限公司</t>
  </si>
  <si>
    <t>敬业（营口）中板有限公司</t>
  </si>
  <si>
    <t>台泥(辽宁)水泥有限公司</t>
  </si>
  <si>
    <t>新疆米东天山水泥有限责任公司</t>
  </si>
  <si>
    <t>河钢股份有限公司邯郸分公司</t>
  </si>
  <si>
    <t>福建春驰集团国产实业水泥有限公司</t>
  </si>
  <si>
    <t>十堰同创精密机械有限公司</t>
  </si>
  <si>
    <t>山东圣川新材料科技股份有限公司</t>
  </si>
  <si>
    <t>多门朗技术（武汉）有限公司</t>
  </si>
  <si>
    <t>湖北鸿茂矿渣微粉有限公司</t>
  </si>
  <si>
    <t>海汇集团有限公司等三十三家公司管理人</t>
  </si>
  <si>
    <t>北京众德友邦工程技术有限公司</t>
  </si>
  <si>
    <t>内乡县万基水泥有限公司</t>
  </si>
  <si>
    <t>大同市云中水泥有限责任公司</t>
  </si>
  <si>
    <t>王先梅邮政户</t>
  </si>
  <si>
    <t>10月回款明细表</t>
  </si>
  <si>
    <t>湖南金山环保建材有限公司</t>
  </si>
  <si>
    <t>湖南鑫钰兴科技有限公司代付</t>
  </si>
  <si>
    <t>福建金牛水泥有限公司</t>
  </si>
  <si>
    <t>广安昌兴水泥有限公司</t>
  </si>
  <si>
    <t>福建三钢闽光股份有限公司</t>
  </si>
  <si>
    <t>徐州中联水泥有限公司</t>
  </si>
  <si>
    <t>湖北京兰环境工程有限公司</t>
  </si>
  <si>
    <t>葛洲坝兴山水泥有限公司</t>
  </si>
  <si>
    <t>大冶市成美贸易有限公司</t>
  </si>
  <si>
    <t>河南晋开化工投资控股集团有限责任公司</t>
  </si>
  <si>
    <t>国电投（山西）铝业有限公司</t>
  </si>
  <si>
    <t>临沂中联水泥有限公司</t>
  </si>
  <si>
    <t>张家港市联泰科技有限公司</t>
  </si>
  <si>
    <t>安徽华塑股份有限公司水泥分公司</t>
  </si>
  <si>
    <t>武汉通宝平台</t>
  </si>
  <si>
    <t>湖北岚丹农民工专户</t>
  </si>
  <si>
    <t>湘潭瑞通球团有限公司</t>
  </si>
  <si>
    <t>银行承兑汇票4张（新）</t>
  </si>
  <si>
    <t>江西玉山万年青水泥有限公司</t>
  </si>
  <si>
    <t>邯郸涉县金隅水泥有限公司</t>
  </si>
  <si>
    <t>11月回款明细表</t>
  </si>
  <si>
    <t>青海发投碱业有限公司煅烧车间轻、重灰闪发器更新项目及轻灰一闪总管、重灰煅烧炉进气总管技改项目施工项目</t>
  </si>
  <si>
    <t>池州恒鑫材料科技有限公司</t>
  </si>
  <si>
    <t>湖北六国化工股份有限公司</t>
  </si>
  <si>
    <t>西安蓝田尧柏水泥有限公司</t>
  </si>
  <si>
    <t>上饶市华东工业设备安装有限公司</t>
  </si>
  <si>
    <t>三清水泥公司尾款</t>
  </si>
  <si>
    <t>元江玄林商贸有限公司</t>
  </si>
  <si>
    <t>安徽皖维高新材料股份有限公司</t>
  </si>
  <si>
    <t>岚丹中信</t>
  </si>
  <si>
    <t>宁夏国大水泥有限公司</t>
  </si>
  <si>
    <t>湖北省黄麦岭磷化工有限责任公司</t>
  </si>
  <si>
    <t>吐鲁番天山水泥有限责任公司</t>
  </si>
  <si>
    <t>湖北省黄麦岭生物科技有限责任公司</t>
  </si>
  <si>
    <t>曲阳金隅水泥有限公司</t>
  </si>
  <si>
    <t>武汉工程大学</t>
  </si>
  <si>
    <t>12月回款明细表</t>
  </si>
  <si>
    <t>中国－阿拉伯化肥有限公司</t>
  </si>
  <si>
    <t>阜阳皖润电力有限公司</t>
  </si>
  <si>
    <t>富蕴天山水泥有限责任公司</t>
  </si>
  <si>
    <t>中盐内蒙古建材有限公司</t>
  </si>
  <si>
    <t>西安柏通建筑安装工程有限公司</t>
  </si>
  <si>
    <t>内蒙古宜化化工有限公司</t>
  </si>
  <si>
    <t>银行承兑汇票6张（新）</t>
  </si>
  <si>
    <t>月份</t>
  </si>
  <si>
    <t>2023年回款金额</t>
  </si>
  <si>
    <t>2024年回款金额</t>
  </si>
  <si>
    <t>2025年回款金额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</si>
  <si>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</si>
  <si>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</si>
  <si>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</si>
  <si>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</si>
  <si>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</si>
  <si>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</si>
  <si>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</si>
  <si>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</si>
  <si>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</si>
  <si>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</si>
  <si>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</si>
  <si>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</si>
  <si>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保证金回款明细表</t>
  </si>
  <si>
    <t>回款类型</t>
  </si>
  <si>
    <t>邵玉海</t>
  </si>
  <si>
    <t>转账</t>
  </si>
  <si>
    <t>退投标保证金</t>
  </si>
  <si>
    <t>淄博飞源化工</t>
  </si>
  <si>
    <t>郑然转王先梅账户</t>
  </si>
  <si>
    <t>安全保证金</t>
  </si>
  <si>
    <t>江苏永钢集团有限公司</t>
  </si>
  <si>
    <t>安徽省招标集团股份有限公司</t>
  </si>
  <si>
    <t>安徽省优质采科技发展有限责任公司</t>
  </si>
  <si>
    <t>履约保证金</t>
  </si>
  <si>
    <t>山东招标股份有限公司</t>
  </si>
  <si>
    <t>河南晋开化工投资控股集团责任有限公司</t>
  </si>
  <si>
    <t>李权智转武汉农商行</t>
  </si>
  <si>
    <t>新疆八一钢铁股份有限公司</t>
  </si>
  <si>
    <t>上海宝华国际招标有限公司华中分公司</t>
  </si>
  <si>
    <t>退投标保证金利息</t>
  </si>
  <si>
    <t>亚太森博（山东）浆纸有限公司</t>
  </si>
  <si>
    <t>安全押金</t>
  </si>
  <si>
    <t>林全意</t>
  </si>
  <si>
    <t>保定太行和益环保科技有限公司</t>
  </si>
  <si>
    <t>江西省精彩纵横采购咨询有限公司</t>
  </si>
  <si>
    <t>河南豫光锌业有限公司</t>
  </si>
  <si>
    <t>王先梅</t>
  </si>
  <si>
    <t>中国石油物资有限公司西安分公司</t>
  </si>
  <si>
    <t>退ZY25-XA408-FW867标书费</t>
  </si>
  <si>
    <t>日照钢铁有限公司</t>
  </si>
  <si>
    <t>退炼铁厂新1投标保证金</t>
  </si>
  <si>
    <t>洛阳中联水泥有限公司</t>
  </si>
  <si>
    <t>中铝招标有限公司</t>
  </si>
  <si>
    <t>保证金</t>
  </si>
  <si>
    <t>成都云图控股股份有限公司</t>
  </si>
  <si>
    <t>山东能源招标有限公司</t>
  </si>
  <si>
    <t>农民工工资保证金</t>
  </si>
  <si>
    <t>3#碳化塔更新拆解（安全保证金）</t>
  </si>
  <si>
    <t>中机国际招标有限公司</t>
  </si>
  <si>
    <t>阿克苏天山多浪水泥有限责任公司</t>
  </si>
  <si>
    <t>山西强伟纸业有限公司</t>
  </si>
  <si>
    <t>李建保转王先梅</t>
  </si>
  <si>
    <t>九江萍钢钢铁有限公司</t>
  </si>
  <si>
    <t>内蒙古君正能源化工集团股份有限公司</t>
  </si>
  <si>
    <t>葛洲坝石门特种水泥有限公司</t>
  </si>
  <si>
    <t>内蒙古华晟工程项目管理有限公司呼和浩特一分公司</t>
  </si>
  <si>
    <t>投标保证金</t>
  </si>
  <si>
    <t>安徽古井集团有限责任公司</t>
  </si>
  <si>
    <t>内蒙古君正化工有限责任公司新材料分公司</t>
  </si>
  <si>
    <t>陕西华龙工程造价咨询有限公司</t>
  </si>
  <si>
    <t>退HLZB-202506043保证金</t>
  </si>
  <si>
    <t>江阴兴澄特种钢铁有限公司</t>
  </si>
  <si>
    <t>湖北长江运营咨询有限公司</t>
  </si>
  <si>
    <t>中盐内蒙古化工股份有限公司</t>
  </si>
  <si>
    <t>江苏沙钢集团有限公司</t>
  </si>
  <si>
    <t>河南龙宇煤化工有限公司</t>
  </si>
  <si>
    <t>承兑</t>
  </si>
  <si>
    <t>福建安砂建福水泥有限公司</t>
  </si>
  <si>
    <t>叶城天山水泥有限责任公司</t>
  </si>
  <si>
    <t>内蒙古君正化工有限责任公司铁合金冶炼分公司</t>
  </si>
  <si>
    <t>青海发投碱业有限公司煅烧车间轻、重灰闪发器更新项目及轻灰一闪总管、重灰煅烧炉进气总管技改项目保证金</t>
  </si>
  <si>
    <t>中盐内蒙古化工股份有限公司热电厂一车间锅炉检修项目保证金</t>
  </si>
  <si>
    <t>押金</t>
  </si>
  <si>
    <t>宁夏建材集团股份有限公司</t>
  </si>
  <si>
    <t>湖北双环项目投标保证金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</si>
</sst>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&quot;￥&quot;#,##0.00_);[Red]\(&quot;￥&quot;#,##0.00\)"/>
    <numFmt numFmtId="179" formatCode="&quot;￥&quot;#,##0.00_);[Red]\(&quot;￥&quot;#,##0.00\)"/>
  </numFmts>
  <fonts count="3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6"/>
      <name val="宋体"/>
      <charset val="134"/>
      <scheme val="minor"/>
    </font>
    <font>
      <sz val="11"/>
      <color rgb="FF000000"/>
      <name val="宋体"/>
      <charset val="134"/>
    </font>
    <font>
      <sz val="9.7"/>
      <color rgb="FF333333"/>
      <name val="FZLTHJW--GB1-0"/>
      <charset val="134"/>
    </font>
    <font>
      <sz val="9.5"/>
      <color rgb="FF333333"/>
      <name val="宋体"/>
      <charset val="134"/>
    </font>
    <font>
      <sz val="11"/>
      <color rgb="FF333333"/>
      <name val="FZLTHJW--GB1-0"/>
      <charset val="134"/>
    </font>
    <font>
      <sz val="10"/>
      <name val="宋体"/>
      <charset val="134"/>
      <scheme val="minor"/>
    </font>
    <font>
      <sz val="10.5"/>
      <color rgb="FF000000"/>
      <name val="微软雅黑"/>
      <charset val="134"/>
    </font>
    <font>
      <sz val="9.75"/>
      <color rgb="FF000000"/>
      <name val="Microsoft YaHei"/>
      <charset val="134"/>
    </font>
    <font>
      <sz val="9.75"/>
      <color theme="1"/>
      <name val="Microsoft YaHei"/>
      <charset val="134"/>
    </font>
    <font>
      <sz val="10.8"/>
      <color rgb="FF33333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7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178" fontId="8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vertical="center"/>
    </xf>
    <xf numFmtId="178" fontId="6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3" borderId="0" xfId="0" applyFont="1" applyFill="1" applyAlignment="1">
      <alignment vertical="center" wrapText="1"/>
    </xf>
    <xf numFmtId="0" fontId="9" fillId="0" borderId="1" xfId="0" applyFont="1" applyBorder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 wrapText="1"/>
    </xf>
    <xf numFmtId="178" fontId="3" fillId="0" borderId="1" xfId="0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center" wrapText="1"/>
    </xf>
    <xf numFmtId="0" fontId="13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178" fontId="3" fillId="2" borderId="1" xfId="0" applyNumberFormat="1" applyFon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78" fontId="6" fillId="0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4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178" fontId="6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176" fontId="7" fillId="0" borderId="0" xfId="0" applyNumberFormat="1" applyFont="1" applyFill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177" fontId="6" fillId="0" borderId="1" xfId="1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 wrapText="1"/>
    </xf>
    <xf numFmtId="0" fontId="14" fillId="0" borderId="0" xfId="0" applyFont="1">
      <alignment vertical="center"/>
    </xf>
    <xf numFmtId="7" fontId="3" fillId="0" borderId="1" xfId="0" applyNumberFormat="1" applyFont="1" applyFill="1" applyBorder="1" applyAlignment="1">
      <alignment vertical="center"/>
    </xf>
    <xf numFmtId="0" fontId="16" fillId="0" borderId="0" xfId="0" applyFont="1">
      <alignment vertical="center"/>
    </xf>
    <xf numFmtId="0" fontId="0" fillId="0" borderId="2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0" dbFileVersion="0">
    <open main="176" threadCnt="1"/>
    <sheetInfos>
      <sheetInfo cellCmpFml="1" sheetStid="3">
        <open threadCnt="1"/>
      </sheetInfo>
      <sheetInfo cellCmpFml="1" sheetStid="4">
        <open threadCnt="1"/>
      </sheetInfo>
      <sheetInfo cellCmpFml="1" sheetStid="5">
        <open threadCnt="1"/>
      </sheetInfo>
      <sheetInfo cellCmpFml="1" sheetStid="6">
        <open threadCnt="1"/>
      </sheetInfo>
      <sheetInfo cellCmpFml="1" sheetStid="7">
        <open threadCnt="1"/>
      </sheetInfo>
      <sheetInfo cellCmpFml="1" sheetStid="8">
        <open threadCnt="1"/>
      </sheetInfo>
      <sheetInfo cellCmpFml="1" sheetStid="9">
        <open main="1" threadCnt="1"/>
      </sheetInfo>
      <sheetInfo cellCmpFml="1" sheetStid="10">
        <open threadCnt="1"/>
      </sheetInfo>
      <sheetInfo cellCmpFml="1" sheetStid="11">
        <open main="1" threadCnt="1"/>
      </sheetInfo>
      <sheetInfo cellCmpFml="1" sheetStid="14">
        <open threadCnt="1"/>
      </sheetInfo>
      <sheetInfo cellCmpFml="1" sheetStid="15">
        <open threadCnt="1"/>
      </sheetInfo>
      <sheetInfo cellCmpFml="1" sheetStid="16">
        <open threadCnt="1"/>
      </sheetInfo>
      <sheetInfo cellCmpFml="7" sheetStid="2">
        <open threadCnt="1"/>
      </sheetInfo>
      <sheetInfo cellCmpFml="1" sheetStid="19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schemas.openxmlformats.org/officeDocument/2006/relationships/styles" Target="styles.xml"/><Relationship Id="rId20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AppData/Roaming/kingsoft/office6/backup/2024.1&#26376;-6&#26376;&#26085;&#35760;&#3613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档案"/>
      <sheetName val="资金账户"/>
      <sheetName val="日期汇总"/>
      <sheetName val="流水汇总"/>
      <sheetName val="单日流水"/>
      <sheetName val="9"/>
      <sheetName val="1"/>
      <sheetName val="2"/>
      <sheetName val="3"/>
      <sheetName val="4"/>
      <sheetName val="5"/>
      <sheetName val="6"/>
      <sheetName val="7"/>
      <sheetName val="8"/>
      <sheetName val="10"/>
      <sheetName val="11"/>
      <sheetName val="12"/>
      <sheetName val="16"/>
      <sheetName val="17"/>
      <sheetName val="18"/>
      <sheetName val="19"/>
      <sheetName val="20"/>
      <sheetName val="21"/>
      <sheetName val="25"/>
      <sheetName val="26"/>
      <sheetName val="27"/>
      <sheetName val="28"/>
      <sheetName val="29"/>
      <sheetName val="30"/>
      <sheetName val="31"/>
      <sheetName val="32"/>
      <sheetName val="36"/>
      <sheetName val="37"/>
      <sheetName val="38"/>
      <sheetName val="42"/>
      <sheetName val="43"/>
      <sheetName val="44"/>
      <sheetName val="45"/>
      <sheetName val="50"/>
      <sheetName val="51"/>
      <sheetName val="52"/>
      <sheetName val="53"/>
      <sheetName val="46"/>
      <sheetName val="47"/>
      <sheetName val="48"/>
      <sheetName val="49"/>
      <sheetName val="13"/>
      <sheetName val="14"/>
      <sheetName val="15"/>
      <sheetName val="22"/>
      <sheetName val="23"/>
      <sheetName val="24"/>
      <sheetName val="33"/>
      <sheetName val="34"/>
      <sheetName val="35"/>
      <sheetName val="39"/>
      <sheetName val="40"/>
      <sheetName val="4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71.6286458333" refreshedBy="QQ" recordCount="36">
  <cacheSource type="worksheet">
    <worksheetSource ref="C2:E38" sheet="7月"/>
  </cacheSource>
  <cacheFields count="3">
    <cacheField name="公司名称" numFmtId="0">
      <sharedItems count="27">
        <s v="新余市汇益信新型材料有限公司"/>
        <s v="青海盐湖镁业有限公司"/>
        <s v="山西昌灏环保科技股份有限公司"/>
        <s v="江西亚东水泥有限公司"/>
        <s v="青海海西化工建材股份有限公司"/>
        <s v="奎山水泥有限公司"/>
        <s v="湖北宜化松滋肥业有限公司"/>
        <s v="安吉南方水泥有限公司"/>
        <s v="淮北相山水泥有限责任公司"/>
        <s v="准格尔旗铸城水泥有限责任公司"/>
        <s v="陕西实丰水泥股份有限公司"/>
        <s v="四川峨胜水泥集团股份有限公司"/>
        <s v="四川筠连西南水泥有限公司"/>
        <s v="湖北京兰水泥集团有限公司"/>
        <s v="巴彦淖尔中联水泥有限公司"/>
        <s v="中材安徽水泥有限公司"/>
        <s v="来凤县金凤建材工业有限责任公司"/>
        <s v="新疆伊犁钢铁有限责任公司"/>
        <s v="吐鲁番天山水泥有限责公司"/>
        <s v="怀宁上峰水泥有限公司"/>
        <s v="中盐内蒙古化工股份有限公司盐碱分公司"/>
        <s v="达州利森水泥有限公司"/>
        <s v="湖北亚东水泥有限公司"/>
        <s v="江西赣锋锂业集团股份有限公司"/>
        <s v="青海发投碱业有限公司"/>
        <s v="武钢中冶工业技术服务有限公司"/>
        <s v="登电集团水泥有限公司"/>
      </sharedItems>
    </cacheField>
    <cacheField name="合同号" numFmtId="0">
      <sharedItems containsString="0" containsBlank="1" containsNonDate="0" count="1">
        <m/>
      </sharedItems>
    </cacheField>
    <cacheField name="回款金额（元）" numFmtId="179">
      <sharedItems containsSemiMixedTypes="0" containsString="0" containsNumber="1" minValue="281.99" maxValue="428200" count="33">
        <n v="15600"/>
        <n v="428200"/>
        <n v="15000"/>
        <n v="17232.5"/>
        <n v="30000"/>
        <n v="58000"/>
        <n v="152000"/>
        <n v="3952"/>
        <n v="650"/>
        <n v="10000"/>
        <n v="2979.54"/>
        <n v="65000"/>
        <n v="3505"/>
        <n v="2000"/>
        <n v="2200"/>
        <n v="100000"/>
        <n v="20081.73"/>
        <n v="20000"/>
        <n v="71790"/>
        <n v="200000"/>
        <n v="13088.6"/>
        <n v="2397.44"/>
        <n v="5096.64"/>
        <n v="22600"/>
        <n v="263308.41"/>
        <n v="160961.59"/>
        <n v="281.99"/>
        <n v="3284.29"/>
        <n v="2979.52"/>
        <n v="296.81"/>
        <n v="70940"/>
        <n v="12763.19"/>
        <n v="36309.2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0"/>
    <x v="0"/>
  </r>
  <r>
    <x v="1"/>
    <x v="0"/>
    <x v="1"/>
  </r>
  <r>
    <x v="2"/>
    <x v="0"/>
    <x v="2"/>
  </r>
  <r>
    <x v="3"/>
    <x v="0"/>
    <x v="3"/>
  </r>
  <r>
    <x v="4"/>
    <x v="0"/>
    <x v="4"/>
  </r>
  <r>
    <x v="5"/>
    <x v="0"/>
    <x v="5"/>
  </r>
  <r>
    <x v="6"/>
    <x v="0"/>
    <x v="6"/>
  </r>
  <r>
    <x v="7"/>
    <x v="0"/>
    <x v="7"/>
  </r>
  <r>
    <x v="8"/>
    <x v="0"/>
    <x v="8"/>
  </r>
  <r>
    <x v="9"/>
    <x v="0"/>
    <x v="9"/>
  </r>
  <r>
    <x v="10"/>
    <x v="0"/>
    <x v="10"/>
  </r>
  <r>
    <x v="11"/>
    <x v="0"/>
    <x v="11"/>
  </r>
  <r>
    <x v="12"/>
    <x v="0"/>
    <x v="12"/>
  </r>
  <r>
    <x v="11"/>
    <x v="0"/>
    <x v="13"/>
  </r>
  <r>
    <x v="13"/>
    <x v="0"/>
    <x v="14"/>
  </r>
  <r>
    <x v="14"/>
    <x v="0"/>
    <x v="15"/>
  </r>
  <r>
    <x v="15"/>
    <x v="0"/>
    <x v="16"/>
  </r>
  <r>
    <x v="16"/>
    <x v="0"/>
    <x v="17"/>
  </r>
  <r>
    <x v="17"/>
    <x v="0"/>
    <x v="18"/>
  </r>
  <r>
    <x v="18"/>
    <x v="0"/>
    <x v="19"/>
  </r>
  <r>
    <x v="19"/>
    <x v="0"/>
    <x v="20"/>
  </r>
  <r>
    <x v="19"/>
    <x v="0"/>
    <x v="21"/>
  </r>
  <r>
    <x v="20"/>
    <x v="0"/>
    <x v="15"/>
  </r>
  <r>
    <x v="21"/>
    <x v="0"/>
    <x v="22"/>
  </r>
  <r>
    <x v="22"/>
    <x v="0"/>
    <x v="23"/>
  </r>
  <r>
    <x v="23"/>
    <x v="0"/>
    <x v="24"/>
  </r>
  <r>
    <x v="23"/>
    <x v="0"/>
    <x v="25"/>
  </r>
  <r>
    <x v="24"/>
    <x v="0"/>
    <x v="26"/>
  </r>
  <r>
    <x v="24"/>
    <x v="0"/>
    <x v="27"/>
  </r>
  <r>
    <x v="24"/>
    <x v="0"/>
    <x v="15"/>
  </r>
  <r>
    <x v="24"/>
    <x v="0"/>
    <x v="28"/>
  </r>
  <r>
    <x v="24"/>
    <x v="0"/>
    <x v="29"/>
  </r>
  <r>
    <x v="24"/>
    <x v="0"/>
    <x v="30"/>
  </r>
  <r>
    <x v="24"/>
    <x v="0"/>
    <x v="31"/>
  </r>
  <r>
    <x v="25"/>
    <x v="0"/>
    <x v="32"/>
  </r>
  <r>
    <x v="26"/>
    <x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J2:K30" firstHeaderRow="1" firstDataRow="1" firstDataCol="1"/>
  <pivotFields count="3">
    <pivotField axis="axisRow" compact="0" showAll="0">
      <items count="28">
        <item x="7"/>
        <item x="14"/>
        <item x="21"/>
        <item x="26"/>
        <item x="13"/>
        <item x="22"/>
        <item x="6"/>
        <item x="19"/>
        <item x="8"/>
        <item x="23"/>
        <item x="3"/>
        <item x="5"/>
        <item x="16"/>
        <item x="24"/>
        <item x="4"/>
        <item x="1"/>
        <item x="2"/>
        <item x="10"/>
        <item x="11"/>
        <item x="12"/>
        <item x="18"/>
        <item x="25"/>
        <item x="17"/>
        <item x="0"/>
        <item x="15"/>
        <item x="20"/>
        <item x="9"/>
        <item t="default"/>
      </items>
    </pivotField>
    <pivotField compact="0" showAll="0"/>
    <pivotField dataField="1" compact="0" numFmtId="178" showAll="0">
      <items count="34">
        <item x="26"/>
        <item x="29"/>
        <item x="8"/>
        <item x="13"/>
        <item x="14"/>
        <item x="21"/>
        <item x="28"/>
        <item x="10"/>
        <item x="27"/>
        <item x="12"/>
        <item x="7"/>
        <item x="22"/>
        <item x="9"/>
        <item x="31"/>
        <item x="20"/>
        <item x="2"/>
        <item x="0"/>
        <item x="3"/>
        <item x="17"/>
        <item x="16"/>
        <item x="23"/>
        <item x="4"/>
        <item x="32"/>
        <item x="5"/>
        <item x="11"/>
        <item x="30"/>
        <item x="18"/>
        <item x="15"/>
        <item x="6"/>
        <item x="25"/>
        <item x="19"/>
        <item x="24"/>
        <item x="1"/>
        <item t="default"/>
      </items>
    </pivotField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求和项:回款金额（元）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A1" sqref="A1:G1"/>
    </sheetView>
  </sheetViews>
  <sheetFormatPr defaultColWidth="9" defaultRowHeight="13.5" outlineLevelCol="6"/>
  <cols>
    <col min="1" max="1" width="4.88333333333333" style="33" customWidth="1"/>
    <col min="2" max="2" width="10.3833333333333" style="36" customWidth="1"/>
    <col min="3" max="3" width="37.1333333333333" style="35" customWidth="1"/>
    <col min="4" max="4" width="9.25" style="35" customWidth="1"/>
    <col min="5" max="5" width="16.25" style="35" customWidth="1"/>
    <col min="6" max="6" width="15.6333333333333" style="35" customWidth="1"/>
    <col min="7" max="7" width="23.25" style="35" customWidth="1"/>
    <col min="8" max="8" width="10.8833333333333" style="35" customWidth="1"/>
    <col min="9" max="9" width="12.3833333333333" style="35" customWidth="1"/>
    <col min="10" max="16384" width="9" style="35"/>
  </cols>
  <sheetData>
    <row r="1" s="33" customFormat="1" ht="27" customHeight="1" spans="1:7">
      <c r="A1" s="37" t="s">
        <v>0</v>
      </c>
      <c r="B1" s="37"/>
      <c r="C1" s="37"/>
      <c r="D1" s="37"/>
      <c r="E1" s="37"/>
      <c r="F1" s="37"/>
      <c r="G1" s="37"/>
    </row>
    <row r="2" s="34" customFormat="1" ht="20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ht="15" customHeight="1" spans="1:7">
      <c r="A3" s="16">
        <v>1</v>
      </c>
      <c r="B3" s="17">
        <v>45659</v>
      </c>
      <c r="C3" s="25" t="s">
        <v>8</v>
      </c>
      <c r="D3" s="25"/>
      <c r="E3" s="42">
        <v>65793.6</v>
      </c>
      <c r="F3" s="25" t="s">
        <v>9</v>
      </c>
      <c r="G3" s="25"/>
    </row>
    <row r="4" s="35" customFormat="1" ht="15" customHeight="1" spans="1:7">
      <c r="A4" s="16">
        <v>2</v>
      </c>
      <c r="B4" s="17">
        <v>45659</v>
      </c>
      <c r="C4" s="78" t="s">
        <v>10</v>
      </c>
      <c r="D4" s="25"/>
      <c r="E4" s="42">
        <v>57000</v>
      </c>
      <c r="F4" s="25" t="s">
        <v>9</v>
      </c>
      <c r="G4" s="25" t="s">
        <v>11</v>
      </c>
    </row>
    <row r="5" s="35" customFormat="1" ht="15" customHeight="1" spans="1:7">
      <c r="A5" s="16">
        <v>3</v>
      </c>
      <c r="B5" s="17">
        <v>45659</v>
      </c>
      <c r="C5" s="25" t="s">
        <v>12</v>
      </c>
      <c r="D5" s="25"/>
      <c r="E5" s="42">
        <v>7000</v>
      </c>
      <c r="F5" s="25" t="s">
        <v>13</v>
      </c>
      <c r="G5" s="25" t="s">
        <v>11</v>
      </c>
    </row>
    <row r="6" s="35" customFormat="1" ht="15" customHeight="1" spans="1:7">
      <c r="A6" s="16">
        <v>4</v>
      </c>
      <c r="B6" s="17">
        <v>45660</v>
      </c>
      <c r="C6" s="25" t="s">
        <v>14</v>
      </c>
      <c r="D6" s="25"/>
      <c r="E6" s="42">
        <v>97457</v>
      </c>
      <c r="F6" s="25" t="s">
        <v>9</v>
      </c>
      <c r="G6" s="25"/>
    </row>
    <row r="7" s="35" customFormat="1" ht="15" customHeight="1" spans="1:7">
      <c r="A7" s="16">
        <v>5</v>
      </c>
      <c r="B7" s="17">
        <v>45661</v>
      </c>
      <c r="C7" s="25" t="s">
        <v>15</v>
      </c>
      <c r="D7" s="25"/>
      <c r="E7" s="42">
        <v>92</v>
      </c>
      <c r="F7" s="25" t="s">
        <v>16</v>
      </c>
      <c r="G7" s="25"/>
    </row>
    <row r="8" s="35" customFormat="1" ht="15" customHeight="1" spans="1:7">
      <c r="A8" s="16">
        <v>6</v>
      </c>
      <c r="B8" s="17">
        <v>45665</v>
      </c>
      <c r="C8" s="76" t="s">
        <v>17</v>
      </c>
      <c r="D8" s="25"/>
      <c r="E8" s="42">
        <v>30000</v>
      </c>
      <c r="F8" s="25" t="s">
        <v>9</v>
      </c>
      <c r="G8" s="25" t="s">
        <v>11</v>
      </c>
    </row>
    <row r="9" s="35" customFormat="1" ht="15" customHeight="1" spans="1:7">
      <c r="A9" s="16">
        <v>7</v>
      </c>
      <c r="B9" s="17">
        <v>45670</v>
      </c>
      <c r="C9" s="25" t="s">
        <v>18</v>
      </c>
      <c r="D9" s="25"/>
      <c r="E9" s="42">
        <v>67405</v>
      </c>
      <c r="F9" s="25" t="s">
        <v>19</v>
      </c>
      <c r="G9" s="25"/>
    </row>
    <row r="10" s="35" customFormat="1" ht="15" customHeight="1" spans="1:7">
      <c r="A10" s="16">
        <v>8</v>
      </c>
      <c r="B10" s="17">
        <v>45670</v>
      </c>
      <c r="C10" s="25" t="s">
        <v>20</v>
      </c>
      <c r="D10" s="25"/>
      <c r="E10" s="42">
        <v>528000</v>
      </c>
      <c r="F10" s="25" t="s">
        <v>21</v>
      </c>
      <c r="G10" s="25"/>
    </row>
    <row r="11" s="35" customFormat="1" ht="15" customHeight="1" spans="1:7">
      <c r="A11" s="16">
        <v>9</v>
      </c>
      <c r="B11" s="17">
        <v>45672</v>
      </c>
      <c r="C11" s="25" t="s">
        <v>22</v>
      </c>
      <c r="D11" s="25"/>
      <c r="E11" s="42">
        <v>5300</v>
      </c>
      <c r="F11" s="25" t="s">
        <v>9</v>
      </c>
      <c r="G11" s="25" t="s">
        <v>23</v>
      </c>
    </row>
    <row r="12" s="35" customFormat="1" ht="15" customHeight="1" spans="1:7">
      <c r="A12" s="16">
        <v>10</v>
      </c>
      <c r="B12" s="17">
        <v>45672</v>
      </c>
      <c r="C12" s="25" t="s">
        <v>24</v>
      </c>
      <c r="D12" s="25"/>
      <c r="E12" s="42">
        <v>78000</v>
      </c>
      <c r="F12" s="25" t="s">
        <v>25</v>
      </c>
      <c r="G12" s="25"/>
    </row>
    <row r="13" s="35" customFormat="1" ht="15" customHeight="1" spans="1:7">
      <c r="A13" s="16">
        <v>11</v>
      </c>
      <c r="B13" s="17">
        <v>45674</v>
      </c>
      <c r="C13" s="25" t="s">
        <v>26</v>
      </c>
      <c r="D13" s="25"/>
      <c r="E13" s="42">
        <v>20000</v>
      </c>
      <c r="F13" s="25" t="s">
        <v>25</v>
      </c>
      <c r="G13" s="25" t="s">
        <v>11</v>
      </c>
    </row>
    <row r="14" s="35" customFormat="1" ht="15" customHeight="1" spans="1:7">
      <c r="A14" s="16">
        <v>12</v>
      </c>
      <c r="B14" s="17">
        <v>45674</v>
      </c>
      <c r="C14" s="25" t="s">
        <v>27</v>
      </c>
      <c r="D14" s="25"/>
      <c r="E14" s="42">
        <v>10000</v>
      </c>
      <c r="F14" s="25" t="s">
        <v>28</v>
      </c>
      <c r="G14" s="25" t="s">
        <v>11</v>
      </c>
    </row>
    <row r="15" s="35" customFormat="1" ht="15" customHeight="1" spans="1:7">
      <c r="A15" s="16">
        <v>13</v>
      </c>
      <c r="B15" s="17">
        <v>45673</v>
      </c>
      <c r="C15" s="25" t="s">
        <v>29</v>
      </c>
      <c r="D15" s="25"/>
      <c r="E15" s="42">
        <v>185479.1</v>
      </c>
      <c r="F15" s="25" t="s">
        <v>30</v>
      </c>
      <c r="G15" s="25"/>
    </row>
    <row r="16" s="35" customFormat="1" ht="15" customHeight="1" spans="1:7">
      <c r="A16" s="16">
        <v>14</v>
      </c>
      <c r="B16" s="17">
        <v>45678</v>
      </c>
      <c r="C16" s="25" t="s">
        <v>31</v>
      </c>
      <c r="D16" s="25"/>
      <c r="E16" s="42">
        <v>10000</v>
      </c>
      <c r="F16" s="25" t="s">
        <v>9</v>
      </c>
      <c r="G16" s="25"/>
    </row>
    <row r="17" s="35" customFormat="1" ht="15" customHeight="1" spans="1:7">
      <c r="A17" s="16">
        <v>15</v>
      </c>
      <c r="B17" s="17">
        <v>45678</v>
      </c>
      <c r="C17" s="25" t="s">
        <v>32</v>
      </c>
      <c r="D17" s="25"/>
      <c r="E17" s="42">
        <v>100000</v>
      </c>
      <c r="F17" s="25" t="s">
        <v>25</v>
      </c>
      <c r="G17" s="25"/>
    </row>
    <row r="18" s="35" customFormat="1" ht="15" customHeight="1" spans="1:7">
      <c r="A18" s="16">
        <v>16</v>
      </c>
      <c r="B18" s="17">
        <v>45678</v>
      </c>
      <c r="C18" s="25" t="s">
        <v>33</v>
      </c>
      <c r="D18" s="25"/>
      <c r="E18" s="42">
        <v>42436.68</v>
      </c>
      <c r="F18" s="25" t="s">
        <v>34</v>
      </c>
      <c r="G18" s="25"/>
    </row>
    <row r="19" s="35" customFormat="1" ht="15" customHeight="1" spans="1:7">
      <c r="A19" s="16">
        <v>17</v>
      </c>
      <c r="B19" s="17">
        <v>45678</v>
      </c>
      <c r="C19" s="25" t="s">
        <v>33</v>
      </c>
      <c r="D19" s="25"/>
      <c r="E19" s="42">
        <v>10729.88</v>
      </c>
      <c r="F19" s="25" t="s">
        <v>34</v>
      </c>
      <c r="G19" s="25" t="s">
        <v>23</v>
      </c>
    </row>
    <row r="20" s="35" customFormat="1" ht="15" customHeight="1" spans="1:7">
      <c r="A20" s="16">
        <v>18</v>
      </c>
      <c r="B20" s="17">
        <v>45679</v>
      </c>
      <c r="C20" s="25" t="s">
        <v>35</v>
      </c>
      <c r="D20" s="25"/>
      <c r="E20" s="42">
        <v>18242</v>
      </c>
      <c r="F20" s="25" t="s">
        <v>25</v>
      </c>
      <c r="G20" s="25"/>
    </row>
    <row r="21" s="35" customFormat="1" ht="15" customHeight="1" spans="1:7">
      <c r="A21" s="16">
        <v>19</v>
      </c>
      <c r="B21" s="17">
        <v>45679</v>
      </c>
      <c r="C21" s="25" t="s">
        <v>36</v>
      </c>
      <c r="D21" s="25"/>
      <c r="E21" s="42">
        <v>9952</v>
      </c>
      <c r="F21" s="25" t="s">
        <v>25</v>
      </c>
      <c r="G21" s="25"/>
    </row>
    <row r="22" s="35" customFormat="1" ht="15" customHeight="1" spans="1:7">
      <c r="A22" s="16">
        <v>20</v>
      </c>
      <c r="B22" s="17">
        <v>45679</v>
      </c>
      <c r="C22" s="25" t="s">
        <v>35</v>
      </c>
      <c r="D22" s="25"/>
      <c r="E22" s="42">
        <v>170000</v>
      </c>
      <c r="F22" s="25" t="s">
        <v>25</v>
      </c>
      <c r="G22" s="25" t="s">
        <v>37</v>
      </c>
    </row>
    <row r="23" s="35" customFormat="1" ht="15" customHeight="1" spans="1:7">
      <c r="A23" s="16">
        <v>21</v>
      </c>
      <c r="B23" s="17">
        <v>45679</v>
      </c>
      <c r="C23" s="25" t="s">
        <v>38</v>
      </c>
      <c r="D23" s="25"/>
      <c r="E23" s="42">
        <v>50000</v>
      </c>
      <c r="F23" s="25" t="s">
        <v>25</v>
      </c>
      <c r="G23" s="25"/>
    </row>
    <row r="24" s="35" customFormat="1" ht="15" customHeight="1" spans="1:7">
      <c r="A24" s="16">
        <v>22</v>
      </c>
      <c r="B24" s="17">
        <v>45679</v>
      </c>
      <c r="C24" s="25" t="s">
        <v>39</v>
      </c>
      <c r="D24" s="25"/>
      <c r="E24" s="42">
        <v>2470</v>
      </c>
      <c r="F24" s="25" t="s">
        <v>25</v>
      </c>
      <c r="G24" s="25"/>
    </row>
    <row r="25" s="35" customFormat="1" ht="15" customHeight="1" spans="1:7">
      <c r="A25" s="16">
        <v>23</v>
      </c>
      <c r="B25" s="17">
        <v>45682</v>
      </c>
      <c r="C25" s="25" t="s">
        <v>39</v>
      </c>
      <c r="D25" s="25"/>
      <c r="E25" s="42">
        <v>60000</v>
      </c>
      <c r="F25" s="25" t="s">
        <v>25</v>
      </c>
      <c r="G25" s="25" t="s">
        <v>11</v>
      </c>
    </row>
    <row r="26" s="35" customFormat="1" ht="15" customHeight="1" spans="1:7">
      <c r="A26" s="16">
        <v>24</v>
      </c>
      <c r="B26" s="17">
        <v>45682</v>
      </c>
      <c r="C26" s="25" t="s">
        <v>40</v>
      </c>
      <c r="D26" s="25"/>
      <c r="E26" s="42">
        <v>32473.41</v>
      </c>
      <c r="F26" s="25" t="s">
        <v>25</v>
      </c>
      <c r="G26" s="25" t="s">
        <v>41</v>
      </c>
    </row>
    <row r="27" s="35" customFormat="1" ht="15" customHeight="1" spans="1:7">
      <c r="A27" s="16">
        <v>25</v>
      </c>
      <c r="B27" s="17">
        <v>45682</v>
      </c>
      <c r="C27" s="25" t="s">
        <v>42</v>
      </c>
      <c r="D27" s="25"/>
      <c r="E27" s="42">
        <v>10000</v>
      </c>
      <c r="F27" s="25" t="s">
        <v>25</v>
      </c>
      <c r="G27" s="25" t="s">
        <v>11</v>
      </c>
    </row>
    <row r="28" s="35" customFormat="1" ht="15" customHeight="1" spans="1:7">
      <c r="A28" s="16">
        <v>26</v>
      </c>
      <c r="B28" s="17">
        <v>45682</v>
      </c>
      <c r="C28" s="25" t="s">
        <v>43</v>
      </c>
      <c r="D28" s="25"/>
      <c r="E28" s="42">
        <v>98735.35</v>
      </c>
      <c r="F28" s="25" t="s">
        <v>25</v>
      </c>
      <c r="G28" s="25" t="s">
        <v>41</v>
      </c>
    </row>
    <row r="29" s="35" customFormat="1" ht="15" customHeight="1" spans="1:7">
      <c r="A29" s="16">
        <v>27</v>
      </c>
      <c r="B29" s="17">
        <v>45680</v>
      </c>
      <c r="C29" s="25" t="s">
        <v>44</v>
      </c>
      <c r="D29" s="25"/>
      <c r="E29" s="42">
        <v>200000</v>
      </c>
      <c r="F29" s="25" t="s">
        <v>9</v>
      </c>
      <c r="G29" s="25"/>
    </row>
    <row r="30" s="35" customFormat="1" ht="15" customHeight="1" spans="1:7">
      <c r="A30" s="16">
        <v>28</v>
      </c>
      <c r="B30" s="17">
        <v>45682</v>
      </c>
      <c r="C30" s="25" t="s">
        <v>45</v>
      </c>
      <c r="D30" s="25"/>
      <c r="E30" s="42">
        <v>18797.4</v>
      </c>
      <c r="F30" s="25" t="s">
        <v>9</v>
      </c>
      <c r="G30" s="25" t="s">
        <v>11</v>
      </c>
    </row>
    <row r="31" s="35" customFormat="1" ht="15" customHeight="1" spans="1:7">
      <c r="A31" s="16">
        <v>29</v>
      </c>
      <c r="B31" s="17">
        <v>45682</v>
      </c>
      <c r="C31" s="25" t="s">
        <v>46</v>
      </c>
      <c r="D31" s="25"/>
      <c r="E31" s="42">
        <v>2511392.04</v>
      </c>
      <c r="F31" s="25" t="s">
        <v>9</v>
      </c>
      <c r="G31" s="25" t="s">
        <v>47</v>
      </c>
    </row>
    <row r="32" s="35" customFormat="1" ht="15" customHeight="1" spans="1:7">
      <c r="A32" s="16">
        <v>30</v>
      </c>
      <c r="B32" s="17">
        <v>45681</v>
      </c>
      <c r="C32" s="25" t="s">
        <v>29</v>
      </c>
      <c r="D32" s="25"/>
      <c r="E32" s="42">
        <v>50715.69</v>
      </c>
      <c r="F32" s="25" t="s">
        <v>30</v>
      </c>
      <c r="G32" s="25"/>
    </row>
    <row r="33" s="35" customFormat="1" ht="15" customHeight="1" spans="1:7">
      <c r="A33" s="16">
        <v>31</v>
      </c>
      <c r="B33" s="17">
        <v>45682</v>
      </c>
      <c r="C33" s="25" t="s">
        <v>46</v>
      </c>
      <c r="D33" s="25"/>
      <c r="E33" s="42">
        <v>60000</v>
      </c>
      <c r="F33" s="25" t="s">
        <v>48</v>
      </c>
      <c r="G33" s="25" t="s">
        <v>11</v>
      </c>
    </row>
    <row r="34" s="35" customFormat="1" ht="15" customHeight="1" spans="1:7">
      <c r="A34" s="16">
        <v>32</v>
      </c>
      <c r="B34" s="17">
        <v>45683</v>
      </c>
      <c r="C34" s="25" t="s">
        <v>49</v>
      </c>
      <c r="D34" s="25"/>
      <c r="E34" s="42">
        <v>30000</v>
      </c>
      <c r="F34" s="25" t="s">
        <v>19</v>
      </c>
      <c r="G34" s="25"/>
    </row>
    <row r="35" s="35" customFormat="1" ht="15" customHeight="1" spans="1:7">
      <c r="A35" s="16">
        <v>33</v>
      </c>
      <c r="B35" s="17">
        <v>45683</v>
      </c>
      <c r="C35" s="79" t="s">
        <v>50</v>
      </c>
      <c r="D35" s="25"/>
      <c r="E35" s="42">
        <v>37448</v>
      </c>
      <c r="F35" s="25" t="s">
        <v>25</v>
      </c>
      <c r="G35" s="25" t="s">
        <v>11</v>
      </c>
    </row>
    <row r="36" s="35" customFormat="1" ht="15" customHeight="1" spans="1:7">
      <c r="A36" s="16">
        <v>34</v>
      </c>
      <c r="B36" s="17">
        <v>45683</v>
      </c>
      <c r="C36" s="25" t="s">
        <v>51</v>
      </c>
      <c r="D36" s="25"/>
      <c r="E36" s="42">
        <v>77035.7</v>
      </c>
      <c r="F36" s="25" t="s">
        <v>25</v>
      </c>
      <c r="G36" s="25" t="s">
        <v>11</v>
      </c>
    </row>
    <row r="37" s="35" customFormat="1" ht="15" customHeight="1" spans="1:7">
      <c r="A37" s="16">
        <v>35</v>
      </c>
      <c r="B37" s="17">
        <v>45683</v>
      </c>
      <c r="C37" s="25" t="s">
        <v>40</v>
      </c>
      <c r="D37" s="25"/>
      <c r="E37" s="42">
        <v>126.59</v>
      </c>
      <c r="F37" s="25" t="s">
        <v>25</v>
      </c>
      <c r="G37" s="25"/>
    </row>
    <row r="38" s="35" customFormat="1" ht="15" customHeight="1" spans="1:7">
      <c r="A38" s="16">
        <v>36</v>
      </c>
      <c r="B38" s="17">
        <v>45684</v>
      </c>
      <c r="C38" s="25" t="s">
        <v>52</v>
      </c>
      <c r="D38" s="25"/>
      <c r="E38" s="42">
        <v>58411.7</v>
      </c>
      <c r="F38" s="25" t="s">
        <v>25</v>
      </c>
      <c r="G38" s="25"/>
    </row>
    <row r="39" s="35" customFormat="1" ht="15" customHeight="1" spans="1:7">
      <c r="A39" s="16">
        <v>37</v>
      </c>
      <c r="B39" s="17">
        <v>45684</v>
      </c>
      <c r="C39" s="25" t="s">
        <v>53</v>
      </c>
      <c r="D39" s="25"/>
      <c r="E39" s="42">
        <v>30000</v>
      </c>
      <c r="F39" s="25" t="s">
        <v>25</v>
      </c>
      <c r="G39" s="25"/>
    </row>
    <row r="40" s="35" customFormat="1" ht="15" customHeight="1" spans="1:7">
      <c r="A40" s="16">
        <v>38</v>
      </c>
      <c r="B40" s="17">
        <v>45684</v>
      </c>
      <c r="C40" s="25" t="s">
        <v>54</v>
      </c>
      <c r="D40" s="25"/>
      <c r="E40" s="42">
        <v>30000</v>
      </c>
      <c r="F40" s="25" t="s">
        <v>55</v>
      </c>
      <c r="G40" s="25"/>
    </row>
    <row r="41" s="35" customFormat="1" ht="15" customHeight="1" spans="1:7">
      <c r="A41" s="16"/>
      <c r="B41" s="17"/>
      <c r="C41" s="25"/>
      <c r="D41" s="25"/>
      <c r="E41" s="42"/>
      <c r="F41" s="25"/>
      <c r="G41" s="25"/>
    </row>
    <row r="42" s="35" customFormat="1" ht="15" customHeight="1" spans="1:7">
      <c r="A42" s="16"/>
      <c r="B42" s="17"/>
      <c r="C42" s="25"/>
      <c r="D42" s="25" t="s">
        <v>56</v>
      </c>
      <c r="E42" s="42">
        <f>SUM(E3:E41)</f>
        <v>4870493.14</v>
      </c>
      <c r="F42" s="25"/>
      <c r="G42" s="25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C62" sqref="C62"/>
    </sheetView>
  </sheetViews>
  <sheetFormatPr defaultColWidth="9" defaultRowHeight="13.5"/>
  <cols>
    <col min="1" max="1" width="4.88333333333333" style="33" customWidth="1"/>
    <col min="2" max="2" width="10.3833333333333" style="36" customWidth="1"/>
    <col min="3" max="3" width="39.75" style="35" customWidth="1"/>
    <col min="4" max="4" width="7" style="35" customWidth="1"/>
    <col min="5" max="5" width="18.75" style="35" customWidth="1"/>
    <col min="6" max="6" width="15.25" style="35" customWidth="1"/>
    <col min="7" max="7" width="24" style="35" customWidth="1"/>
    <col min="8" max="16384" width="9" style="35"/>
  </cols>
  <sheetData>
    <row r="1" s="33" customFormat="1" ht="27" customHeight="1" spans="1:7">
      <c r="A1" s="37" t="s">
        <v>57</v>
      </c>
      <c r="B1" s="37"/>
      <c r="C1" s="37"/>
      <c r="D1" s="37"/>
      <c r="E1" s="37"/>
      <c r="F1" s="37"/>
      <c r="G1" s="37"/>
    </row>
    <row r="2" s="34" customFormat="1" ht="20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ht="15" customHeight="1" spans="1:7">
      <c r="A3" s="16">
        <v>1</v>
      </c>
      <c r="B3" s="17">
        <v>45693</v>
      </c>
      <c r="C3" s="75" t="s">
        <v>58</v>
      </c>
      <c r="D3" s="25"/>
      <c r="E3" s="42">
        <v>50000</v>
      </c>
      <c r="F3" s="25" t="s">
        <v>9</v>
      </c>
      <c r="G3" s="25" t="s">
        <v>11</v>
      </c>
    </row>
    <row r="4" s="35" customFormat="1" ht="15" customHeight="1" spans="1:7">
      <c r="A4" s="16">
        <v>2</v>
      </c>
      <c r="B4" s="17">
        <v>45693</v>
      </c>
      <c r="C4" s="76" t="s">
        <v>59</v>
      </c>
      <c r="D4" s="25"/>
      <c r="E4" s="42">
        <v>29800</v>
      </c>
      <c r="F4" s="25" t="s">
        <v>9</v>
      </c>
      <c r="G4" s="25" t="s">
        <v>60</v>
      </c>
    </row>
    <row r="5" s="35" customFormat="1" ht="15" customHeight="1" spans="1:7">
      <c r="A5" s="16">
        <v>3</v>
      </c>
      <c r="B5" s="17">
        <v>45693</v>
      </c>
      <c r="C5" s="25" t="s">
        <v>12</v>
      </c>
      <c r="D5" s="25"/>
      <c r="E5" s="42">
        <v>7000</v>
      </c>
      <c r="F5" s="25" t="s">
        <v>61</v>
      </c>
      <c r="G5" s="25" t="s">
        <v>11</v>
      </c>
    </row>
    <row r="6" s="35" customFormat="1" ht="15" customHeight="1" spans="1:7">
      <c r="A6" s="16">
        <v>4</v>
      </c>
      <c r="B6" s="17">
        <v>45701</v>
      </c>
      <c r="C6" s="25" t="s">
        <v>62</v>
      </c>
      <c r="D6" s="25"/>
      <c r="E6" s="42">
        <v>1900</v>
      </c>
      <c r="F6" s="25" t="s">
        <v>9</v>
      </c>
      <c r="G6" s="25"/>
    </row>
    <row r="7" s="35" customFormat="1" ht="15" customHeight="1" spans="1:7">
      <c r="A7" s="16">
        <v>5</v>
      </c>
      <c r="B7" s="17">
        <v>45701</v>
      </c>
      <c r="C7" s="25" t="s">
        <v>63</v>
      </c>
      <c r="D7" s="25"/>
      <c r="E7" s="42">
        <v>20000</v>
      </c>
      <c r="F7" s="25" t="s">
        <v>9</v>
      </c>
      <c r="G7" s="25" t="s">
        <v>11</v>
      </c>
    </row>
    <row r="8" s="35" customFormat="1" ht="15" customHeight="1" spans="1:7">
      <c r="A8" s="16">
        <v>6</v>
      </c>
      <c r="B8" s="17">
        <v>45701</v>
      </c>
      <c r="C8" s="25" t="s">
        <v>64</v>
      </c>
      <c r="D8" s="25"/>
      <c r="E8" s="42">
        <v>34367.23</v>
      </c>
      <c r="F8" s="25" t="s">
        <v>19</v>
      </c>
      <c r="G8" s="25"/>
    </row>
    <row r="9" spans="1:7">
      <c r="A9" s="16">
        <v>7</v>
      </c>
      <c r="B9" s="17">
        <v>45702</v>
      </c>
      <c r="C9" s="25" t="s">
        <v>65</v>
      </c>
      <c r="D9" s="25"/>
      <c r="E9" s="77">
        <v>1250</v>
      </c>
      <c r="F9" s="25" t="s">
        <v>9</v>
      </c>
      <c r="G9" s="25"/>
    </row>
    <row r="10" spans="1:7">
      <c r="A10" s="16">
        <v>8</v>
      </c>
      <c r="B10" s="17">
        <v>45702</v>
      </c>
      <c r="C10" s="25" t="s">
        <v>66</v>
      </c>
      <c r="D10" s="25"/>
      <c r="E10" s="77">
        <v>8789.59</v>
      </c>
      <c r="F10" s="25" t="s">
        <v>19</v>
      </c>
      <c r="G10" s="25"/>
    </row>
    <row r="11" spans="1:7">
      <c r="A11" s="16">
        <v>9</v>
      </c>
      <c r="B11" s="17">
        <v>45706</v>
      </c>
      <c r="C11" s="25" t="s">
        <v>67</v>
      </c>
      <c r="D11" s="25"/>
      <c r="E11" s="77">
        <v>20000</v>
      </c>
      <c r="F11" s="25" t="s">
        <v>19</v>
      </c>
      <c r="G11" s="25"/>
    </row>
    <row r="12" spans="1:7">
      <c r="A12" s="16">
        <v>10</v>
      </c>
      <c r="B12" s="17">
        <v>45712</v>
      </c>
      <c r="C12" s="25" t="s">
        <v>66</v>
      </c>
      <c r="D12" s="25"/>
      <c r="E12" s="77">
        <v>10000</v>
      </c>
      <c r="F12" s="25" t="s">
        <v>25</v>
      </c>
      <c r="G12" s="25" t="s">
        <v>68</v>
      </c>
    </row>
    <row r="13" spans="1:7">
      <c r="A13" s="16">
        <v>11</v>
      </c>
      <c r="B13" s="17">
        <v>45712</v>
      </c>
      <c r="C13" s="25" t="s">
        <v>46</v>
      </c>
      <c r="D13" s="25"/>
      <c r="E13" s="77">
        <v>610858</v>
      </c>
      <c r="F13" s="25" t="s">
        <v>9</v>
      </c>
      <c r="G13" s="25" t="s">
        <v>69</v>
      </c>
    </row>
    <row r="14" spans="1:7">
      <c r="A14" s="16">
        <v>12</v>
      </c>
      <c r="B14" s="17">
        <v>45712</v>
      </c>
      <c r="C14" s="25" t="s">
        <v>46</v>
      </c>
      <c r="D14" s="25"/>
      <c r="E14" s="77">
        <v>542</v>
      </c>
      <c r="F14" s="25" t="s">
        <v>9</v>
      </c>
      <c r="G14" s="25"/>
    </row>
    <row r="15" spans="1:7">
      <c r="A15" s="16">
        <v>13</v>
      </c>
      <c r="B15" s="17">
        <v>45713</v>
      </c>
      <c r="C15" s="25" t="s">
        <v>70</v>
      </c>
      <c r="D15" s="25"/>
      <c r="E15" s="77">
        <v>77000</v>
      </c>
      <c r="F15" s="25" t="s">
        <v>25</v>
      </c>
      <c r="G15" s="25"/>
    </row>
    <row r="16" spans="1:7">
      <c r="A16" s="16">
        <v>14</v>
      </c>
      <c r="B16" s="17">
        <v>45713</v>
      </c>
      <c r="C16" s="25" t="s">
        <v>46</v>
      </c>
      <c r="D16" s="25"/>
      <c r="E16" s="77">
        <v>591.63</v>
      </c>
      <c r="F16" s="25" t="s">
        <v>9</v>
      </c>
      <c r="G16" s="25"/>
    </row>
    <row r="17" spans="1:14">
      <c r="A17" s="16">
        <v>15</v>
      </c>
      <c r="B17" s="17">
        <v>45713</v>
      </c>
      <c r="C17" s="25" t="s">
        <v>46</v>
      </c>
      <c r="D17" s="25"/>
      <c r="E17" s="77">
        <v>229478.37</v>
      </c>
      <c r="F17" s="25" t="s">
        <v>9</v>
      </c>
      <c r="G17" s="25" t="s">
        <v>71</v>
      </c>
    </row>
    <row r="18" spans="1:14">
      <c r="A18" s="16">
        <v>16</v>
      </c>
      <c r="B18" s="17">
        <v>45714</v>
      </c>
      <c r="C18" s="25" t="s">
        <v>46</v>
      </c>
      <c r="D18" s="25"/>
      <c r="E18" s="77">
        <v>110000</v>
      </c>
      <c r="F18" s="25" t="s">
        <v>48</v>
      </c>
      <c r="G18" s="25" t="s">
        <v>71</v>
      </c>
    </row>
    <row r="19" spans="1:14">
      <c r="A19" s="16">
        <v>17</v>
      </c>
      <c r="B19" s="17">
        <v>45715</v>
      </c>
      <c r="C19" s="25" t="s">
        <v>20</v>
      </c>
      <c r="D19" s="25"/>
      <c r="E19" s="77">
        <v>38682</v>
      </c>
      <c r="F19" s="25" t="s">
        <v>21</v>
      </c>
      <c r="G19" s="25"/>
    </row>
    <row r="20" spans="1:14">
      <c r="A20" s="16">
        <v>18</v>
      </c>
      <c r="B20" s="17">
        <v>45715</v>
      </c>
      <c r="C20" s="25" t="s">
        <v>20</v>
      </c>
      <c r="D20" s="25"/>
      <c r="E20" s="77">
        <v>550000</v>
      </c>
      <c r="F20" s="25" t="s">
        <v>21</v>
      </c>
      <c r="G20" s="25"/>
    </row>
    <row r="21" spans="1:14">
      <c r="A21" s="16">
        <v>19</v>
      </c>
      <c r="B21" s="17">
        <v>45715</v>
      </c>
      <c r="C21" s="25" t="s">
        <v>32</v>
      </c>
      <c r="D21" s="25"/>
      <c r="E21" s="77">
        <v>50000</v>
      </c>
      <c r="F21" s="25" t="s">
        <v>25</v>
      </c>
      <c r="G21" s="25"/>
    </row>
    <row r="22" spans="1:14">
      <c r="A22" s="16">
        <v>20</v>
      </c>
      <c r="B22" s="17">
        <v>45715</v>
      </c>
      <c r="C22" s="25" t="s">
        <v>72</v>
      </c>
      <c r="D22" s="25"/>
      <c r="E22" s="77">
        <v>24764.4</v>
      </c>
      <c r="F22" s="25" t="s">
        <v>25</v>
      </c>
      <c r="G22" s="25"/>
    </row>
    <row r="23" spans="1:14">
      <c r="A23" s="16">
        <v>21</v>
      </c>
      <c r="B23" s="17">
        <v>45716</v>
      </c>
      <c r="C23" s="25" t="s">
        <v>73</v>
      </c>
      <c r="D23" s="25"/>
      <c r="E23" s="77">
        <v>86595.05</v>
      </c>
      <c r="F23" s="25" t="s">
        <v>9</v>
      </c>
      <c r="G23" s="25" t="s">
        <v>71</v>
      </c>
    </row>
    <row r="24" spans="1:14">
      <c r="A24" s="16"/>
      <c r="B24" s="17"/>
      <c r="C24" s="25"/>
      <c r="D24" s="25"/>
      <c r="E24" s="77"/>
      <c r="F24" s="25"/>
      <c r="G24" s="25"/>
    </row>
    <row r="25" spans="1:14">
      <c r="A25" s="16"/>
      <c r="B25" s="17"/>
      <c r="C25" s="25"/>
      <c r="D25" s="25" t="s">
        <v>56</v>
      </c>
      <c r="E25" s="77">
        <f>SUM(E3:E24)</f>
        <v>1961618.27</v>
      </c>
      <c r="F25" s="25"/>
      <c r="G25" s="25"/>
    </row>
    <row r="26" spans="1:14">
      <c r="N26" s="35" t="s">
        <v>74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C62" sqref="C62"/>
    </sheetView>
  </sheetViews>
  <sheetFormatPr defaultColWidth="9" defaultRowHeight="13.5" outlineLevelCol="6"/>
  <cols>
    <col min="1" max="1" width="4.88333333333333" style="33" customWidth="1"/>
    <col min="2" max="2" width="10.3833333333333" style="36" customWidth="1"/>
    <col min="3" max="3" width="34.6333333333333" style="35" customWidth="1"/>
    <col min="4" max="4" width="7" style="35" customWidth="1"/>
    <col min="5" max="5" width="18.75" style="71" customWidth="1"/>
    <col min="6" max="6" width="18.8833333333333" style="35" customWidth="1"/>
    <col min="7" max="7" width="21" style="35" customWidth="1"/>
    <col min="8" max="16384" width="9" style="35"/>
  </cols>
  <sheetData>
    <row r="1" s="33" customFormat="1" ht="20.25" spans="1:7">
      <c r="A1" s="37" t="s">
        <v>75</v>
      </c>
      <c r="B1" s="37"/>
      <c r="C1" s="37"/>
      <c r="D1" s="37"/>
      <c r="E1" s="72"/>
      <c r="F1" s="37"/>
      <c r="G1" s="37"/>
    </row>
    <row r="2" s="34" customFormat="1" ht="16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74" t="s">
        <v>5</v>
      </c>
      <c r="F2" s="41" t="s">
        <v>6</v>
      </c>
      <c r="G2" s="39" t="s">
        <v>7</v>
      </c>
    </row>
    <row r="3" s="35" customFormat="1" spans="1:7">
      <c r="A3" s="16">
        <v>1</v>
      </c>
      <c r="B3" s="17">
        <v>45719</v>
      </c>
      <c r="C3" s="25" t="s">
        <v>12</v>
      </c>
      <c r="D3" s="25"/>
      <c r="E3" s="42">
        <v>7000</v>
      </c>
      <c r="F3" s="25" t="s">
        <v>76</v>
      </c>
      <c r="G3" s="25" t="s">
        <v>11</v>
      </c>
    </row>
    <row r="4" s="35" customFormat="1" spans="1:7">
      <c r="A4" s="16">
        <v>2</v>
      </c>
      <c r="B4" s="17">
        <v>45721</v>
      </c>
      <c r="C4" s="25" t="s">
        <v>77</v>
      </c>
      <c r="D4" s="25"/>
      <c r="E4" s="42">
        <v>6400</v>
      </c>
      <c r="F4" s="25" t="s">
        <v>9</v>
      </c>
      <c r="G4" s="25"/>
    </row>
    <row r="5" s="35" customFormat="1" spans="1:7">
      <c r="A5" s="16">
        <v>3</v>
      </c>
      <c r="B5" s="17">
        <v>45722</v>
      </c>
      <c r="C5" s="25" t="s">
        <v>78</v>
      </c>
      <c r="D5" s="25"/>
      <c r="E5" s="42">
        <v>9200</v>
      </c>
      <c r="F5" s="25" t="s">
        <v>19</v>
      </c>
      <c r="G5" s="25" t="s">
        <v>23</v>
      </c>
    </row>
    <row r="6" s="35" customFormat="1" spans="1:7">
      <c r="A6" s="16">
        <v>4</v>
      </c>
      <c r="B6" s="17">
        <v>45737</v>
      </c>
      <c r="C6" s="25" t="s">
        <v>79</v>
      </c>
      <c r="D6" s="25"/>
      <c r="E6" s="42">
        <v>12802</v>
      </c>
      <c r="F6" s="25" t="s">
        <v>9</v>
      </c>
      <c r="G6" s="25" t="s">
        <v>11</v>
      </c>
    </row>
    <row r="7" s="35" customFormat="1" spans="1:7">
      <c r="A7" s="16">
        <v>5</v>
      </c>
      <c r="B7" s="17">
        <v>45736</v>
      </c>
      <c r="C7" s="25" t="s">
        <v>80</v>
      </c>
      <c r="D7" s="25"/>
      <c r="E7" s="42">
        <v>113970.73</v>
      </c>
      <c r="F7" s="25" t="s">
        <v>30</v>
      </c>
      <c r="G7" s="25"/>
    </row>
    <row r="8" s="35" customFormat="1" spans="1:7">
      <c r="A8" s="16">
        <v>6</v>
      </c>
      <c r="B8" s="17">
        <v>45737</v>
      </c>
      <c r="C8" s="25" t="s">
        <v>81</v>
      </c>
      <c r="D8" s="25"/>
      <c r="E8" s="42">
        <v>63187.5</v>
      </c>
      <c r="F8" s="25" t="s">
        <v>9</v>
      </c>
      <c r="G8" s="25" t="s">
        <v>11</v>
      </c>
    </row>
    <row r="9" s="35" customFormat="1" spans="1:7">
      <c r="A9" s="16">
        <v>7</v>
      </c>
      <c r="B9" s="17">
        <v>45738</v>
      </c>
      <c r="C9" s="25" t="s">
        <v>82</v>
      </c>
      <c r="D9" s="25"/>
      <c r="E9" s="42">
        <v>202300</v>
      </c>
      <c r="F9" s="25" t="s">
        <v>55</v>
      </c>
      <c r="G9" s="25" t="s">
        <v>11</v>
      </c>
    </row>
    <row r="10" spans="1:7">
      <c r="A10" s="16">
        <v>8</v>
      </c>
      <c r="B10" s="17">
        <v>45738</v>
      </c>
      <c r="C10" s="25" t="s">
        <v>46</v>
      </c>
      <c r="D10" s="25"/>
      <c r="E10" s="42">
        <v>95000</v>
      </c>
      <c r="F10" s="25" t="s">
        <v>48</v>
      </c>
      <c r="G10" s="25" t="s">
        <v>11</v>
      </c>
    </row>
    <row r="11" spans="1:7">
      <c r="A11" s="16">
        <v>9</v>
      </c>
      <c r="B11" s="17">
        <v>45740</v>
      </c>
      <c r="C11" s="25" t="s">
        <v>83</v>
      </c>
      <c r="D11" s="25"/>
      <c r="E11" s="42">
        <v>78000</v>
      </c>
      <c r="F11" s="25" t="s">
        <v>9</v>
      </c>
      <c r="G11" s="25"/>
    </row>
    <row r="12" spans="1:7">
      <c r="A12" s="16">
        <v>10</v>
      </c>
      <c r="B12" s="17">
        <v>45741</v>
      </c>
      <c r="C12" s="25" t="s">
        <v>84</v>
      </c>
      <c r="D12" s="25"/>
      <c r="E12" s="42">
        <v>6657.29</v>
      </c>
      <c r="F12" s="25" t="s">
        <v>28</v>
      </c>
      <c r="G12" s="25" t="s">
        <v>11</v>
      </c>
    </row>
    <row r="13" spans="1:7">
      <c r="A13" s="16">
        <v>11</v>
      </c>
      <c r="B13" s="17">
        <v>45741</v>
      </c>
      <c r="C13" s="25" t="s">
        <v>85</v>
      </c>
      <c r="D13" s="25"/>
      <c r="E13" s="42">
        <v>10000</v>
      </c>
      <c r="F13" s="25" t="s">
        <v>25</v>
      </c>
      <c r="G13" s="25" t="s">
        <v>86</v>
      </c>
    </row>
    <row r="14" spans="1:7">
      <c r="A14" s="16">
        <v>12</v>
      </c>
      <c r="B14" s="17">
        <v>45741</v>
      </c>
      <c r="C14" s="25" t="s">
        <v>87</v>
      </c>
      <c r="D14" s="25"/>
      <c r="E14" s="42">
        <v>148000</v>
      </c>
      <c r="F14" s="25" t="s">
        <v>9</v>
      </c>
      <c r="G14" s="25"/>
    </row>
    <row r="15" spans="1:7">
      <c r="A15" s="16">
        <v>13</v>
      </c>
      <c r="B15" s="17">
        <v>45741</v>
      </c>
      <c r="C15" s="25" t="s">
        <v>46</v>
      </c>
      <c r="D15" s="25"/>
      <c r="E15" s="42">
        <v>22.39</v>
      </c>
      <c r="F15" s="25" t="s">
        <v>9</v>
      </c>
      <c r="G15" s="25"/>
    </row>
    <row r="16" spans="1:7">
      <c r="A16" s="16">
        <v>14</v>
      </c>
      <c r="B16" s="17">
        <v>45741</v>
      </c>
      <c r="C16" s="25" t="s">
        <v>46</v>
      </c>
      <c r="D16" s="25"/>
      <c r="E16" s="42">
        <v>127.5</v>
      </c>
      <c r="F16" s="25" t="s">
        <v>9</v>
      </c>
      <c r="G16" s="25" t="s">
        <v>23</v>
      </c>
    </row>
    <row r="17" spans="1:7">
      <c r="A17" s="16">
        <v>15</v>
      </c>
      <c r="B17" s="17">
        <v>45741</v>
      </c>
      <c r="C17" s="25" t="s">
        <v>46</v>
      </c>
      <c r="D17" s="25"/>
      <c r="E17" s="42">
        <v>535083.11</v>
      </c>
      <c r="F17" s="25" t="s">
        <v>9</v>
      </c>
      <c r="G17" s="25" t="s">
        <v>88</v>
      </c>
    </row>
    <row r="18" spans="1:7">
      <c r="A18" s="16">
        <v>16</v>
      </c>
      <c r="B18" s="17">
        <v>45742</v>
      </c>
      <c r="C18" s="25" t="s">
        <v>89</v>
      </c>
      <c r="D18" s="25"/>
      <c r="E18" s="42">
        <v>78300</v>
      </c>
      <c r="F18" s="25" t="s">
        <v>25</v>
      </c>
      <c r="G18" s="25" t="s">
        <v>11</v>
      </c>
    </row>
    <row r="19" spans="1:7">
      <c r="A19" s="16">
        <v>17</v>
      </c>
      <c r="B19" s="17">
        <v>45743</v>
      </c>
      <c r="C19" s="25" t="s">
        <v>90</v>
      </c>
      <c r="D19" s="25"/>
      <c r="E19" s="42">
        <v>64765.25</v>
      </c>
      <c r="F19" s="25" t="s">
        <v>34</v>
      </c>
      <c r="G19" s="25"/>
    </row>
    <row r="20" spans="1:7">
      <c r="A20" s="16">
        <v>18</v>
      </c>
      <c r="B20" s="17">
        <v>45744</v>
      </c>
      <c r="C20" s="25" t="s">
        <v>91</v>
      </c>
      <c r="D20" s="25"/>
      <c r="E20" s="42">
        <v>50000</v>
      </c>
      <c r="F20" s="25" t="s">
        <v>9</v>
      </c>
      <c r="G20" s="25" t="s">
        <v>11</v>
      </c>
    </row>
    <row r="21" spans="1:7">
      <c r="A21" s="16">
        <v>19</v>
      </c>
      <c r="B21" s="17">
        <v>45744</v>
      </c>
      <c r="C21" s="25" t="s">
        <v>42</v>
      </c>
      <c r="D21" s="25"/>
      <c r="E21" s="42">
        <v>10000</v>
      </c>
      <c r="F21" s="25" t="s">
        <v>25</v>
      </c>
      <c r="G21" s="25" t="s">
        <v>11</v>
      </c>
    </row>
    <row r="22" spans="1:7">
      <c r="A22" s="16">
        <v>20</v>
      </c>
      <c r="B22" s="17">
        <v>45744</v>
      </c>
      <c r="C22" s="25" t="s">
        <v>35</v>
      </c>
      <c r="D22" s="25"/>
      <c r="E22" s="42">
        <v>127340.72</v>
      </c>
      <c r="F22" s="25" t="s">
        <v>25</v>
      </c>
      <c r="G22" s="25" t="s">
        <v>11</v>
      </c>
    </row>
    <row r="23" spans="1:7">
      <c r="A23" s="16">
        <v>21</v>
      </c>
      <c r="B23" s="17">
        <v>45745</v>
      </c>
      <c r="C23" s="25" t="s">
        <v>92</v>
      </c>
      <c r="D23" s="25"/>
      <c r="E23" s="42">
        <v>401032.4</v>
      </c>
      <c r="F23" s="25" t="s">
        <v>9</v>
      </c>
      <c r="G23" s="25" t="s">
        <v>11</v>
      </c>
    </row>
    <row r="24" spans="1:7">
      <c r="A24" s="16">
        <v>22</v>
      </c>
      <c r="B24" s="17">
        <v>45744</v>
      </c>
      <c r="C24" s="25" t="s">
        <v>90</v>
      </c>
      <c r="D24" s="25"/>
      <c r="E24" s="42">
        <v>60443.64</v>
      </c>
      <c r="F24" s="25" t="s">
        <v>34</v>
      </c>
      <c r="G24" s="25" t="s">
        <v>23</v>
      </c>
    </row>
    <row r="25" spans="1:7">
      <c r="A25" s="16">
        <v>23</v>
      </c>
      <c r="B25" s="17">
        <v>45743</v>
      </c>
      <c r="C25" s="65" t="s">
        <v>93</v>
      </c>
      <c r="D25" s="25"/>
      <c r="E25" s="42">
        <v>108355.62</v>
      </c>
      <c r="F25" s="25" t="s">
        <v>94</v>
      </c>
      <c r="G25" s="25" t="s">
        <v>95</v>
      </c>
    </row>
    <row r="26" spans="1:7">
      <c r="A26" s="16">
        <v>24</v>
      </c>
      <c r="B26" s="17">
        <v>45747</v>
      </c>
      <c r="C26" s="65" t="s">
        <v>96</v>
      </c>
      <c r="D26" s="25"/>
      <c r="E26" s="42">
        <v>35000</v>
      </c>
      <c r="F26" s="25" t="s">
        <v>9</v>
      </c>
      <c r="G26" s="25"/>
    </row>
    <row r="27" spans="1:7">
      <c r="A27" s="16"/>
      <c r="B27" s="17"/>
      <c r="C27" s="25"/>
      <c r="D27" s="25" t="s">
        <v>56</v>
      </c>
      <c r="E27" s="42">
        <f>SUM(E3:E26)</f>
        <v>2222988.15</v>
      </c>
      <c r="F27" s="25"/>
      <c r="G27" s="25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6" workbookViewId="0">
      <selection activeCell="C62" sqref="C62"/>
    </sheetView>
  </sheetViews>
  <sheetFormatPr defaultColWidth="9" defaultRowHeight="13.5" outlineLevelCol="6"/>
  <cols>
    <col min="1" max="1" width="4.63333333333333" style="33" customWidth="1"/>
    <col min="2" max="2" width="10.3833333333333" style="36" customWidth="1"/>
    <col min="3" max="3" width="31.2" style="35" customWidth="1"/>
    <col min="4" max="4" width="6.875" style="35" customWidth="1"/>
    <col min="5" max="5" width="18.75" style="71" customWidth="1"/>
    <col min="6" max="6" width="18.5083333333333" style="35" customWidth="1"/>
    <col min="7" max="7" width="22.375" style="35" customWidth="1"/>
    <col min="8" max="16384" width="9" style="35"/>
  </cols>
  <sheetData>
    <row r="1" s="33" customFormat="1" ht="27" customHeight="1" spans="1:7">
      <c r="A1" s="37" t="s">
        <v>97</v>
      </c>
      <c r="B1" s="37"/>
      <c r="C1" s="37"/>
      <c r="D1" s="37"/>
      <c r="E1" s="72"/>
      <c r="F1" s="37"/>
      <c r="G1" s="37"/>
    </row>
    <row r="2" s="34" customFormat="1" ht="20.25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ht="15" customHeight="1" spans="1:7">
      <c r="A3" s="16">
        <v>1</v>
      </c>
      <c r="B3" s="17">
        <v>45748</v>
      </c>
      <c r="C3" s="25" t="s">
        <v>98</v>
      </c>
      <c r="D3" s="25"/>
      <c r="E3" s="42">
        <v>100000</v>
      </c>
      <c r="F3" s="25" t="s">
        <v>9</v>
      </c>
      <c r="G3" s="25" t="s">
        <v>11</v>
      </c>
    </row>
    <row r="4" s="35" customFormat="1" ht="15" customHeight="1" spans="1:7">
      <c r="A4" s="16">
        <v>2</v>
      </c>
      <c r="B4" s="17">
        <v>45749</v>
      </c>
      <c r="C4" s="25" t="s">
        <v>24</v>
      </c>
      <c r="D4" s="25"/>
      <c r="E4" s="42">
        <v>110986.4</v>
      </c>
      <c r="F4" s="25" t="s">
        <v>25</v>
      </c>
      <c r="G4" s="25"/>
    </row>
    <row r="5" s="35" customFormat="1" ht="15" customHeight="1" spans="1:7">
      <c r="A5" s="16">
        <v>3</v>
      </c>
      <c r="B5" s="17">
        <v>45750</v>
      </c>
      <c r="C5" s="25" t="s">
        <v>99</v>
      </c>
      <c r="D5" s="25"/>
      <c r="E5" s="42">
        <v>38902.03</v>
      </c>
      <c r="F5" s="25" t="s">
        <v>25</v>
      </c>
      <c r="G5" s="25" t="s">
        <v>11</v>
      </c>
    </row>
    <row r="6" s="35" customFormat="1" ht="15" customHeight="1" spans="1:7">
      <c r="A6" s="16">
        <v>4</v>
      </c>
      <c r="B6" s="17">
        <v>45755</v>
      </c>
      <c r="C6" s="25" t="s">
        <v>100</v>
      </c>
      <c r="D6" s="25"/>
      <c r="E6" s="42">
        <v>93100</v>
      </c>
      <c r="F6" s="25" t="s">
        <v>25</v>
      </c>
      <c r="G6" s="25"/>
    </row>
    <row r="7" s="35" customFormat="1" ht="15" customHeight="1" spans="1:7">
      <c r="A7" s="16">
        <v>5</v>
      </c>
      <c r="B7" s="17">
        <v>45756</v>
      </c>
      <c r="C7" s="25" t="s">
        <v>101</v>
      </c>
      <c r="D7" s="25"/>
      <c r="E7" s="42">
        <v>9944</v>
      </c>
      <c r="F7" s="25" t="s">
        <v>25</v>
      </c>
      <c r="G7" s="25"/>
    </row>
    <row r="8" s="35" customFormat="1" ht="15" customHeight="1" spans="1:7">
      <c r="A8" s="16">
        <v>6</v>
      </c>
      <c r="B8" s="17">
        <v>45758</v>
      </c>
      <c r="C8" s="25" t="s">
        <v>102</v>
      </c>
      <c r="D8" s="25"/>
      <c r="E8" s="42">
        <v>15000</v>
      </c>
      <c r="F8" s="25" t="s">
        <v>25</v>
      </c>
      <c r="G8" s="25" t="s">
        <v>11</v>
      </c>
    </row>
    <row r="9" s="35" customFormat="1" ht="15" customHeight="1" spans="1:7">
      <c r="A9" s="16">
        <v>7</v>
      </c>
      <c r="B9" s="17">
        <v>45762</v>
      </c>
      <c r="C9" s="25" t="s">
        <v>98</v>
      </c>
      <c r="D9" s="25"/>
      <c r="E9" s="42">
        <v>80000</v>
      </c>
      <c r="F9" s="25" t="s">
        <v>9</v>
      </c>
      <c r="G9" s="25" t="s">
        <v>11</v>
      </c>
    </row>
    <row r="10" s="35" customFormat="1" ht="15" customHeight="1" spans="1:7">
      <c r="A10" s="16">
        <v>8</v>
      </c>
      <c r="B10" s="17">
        <v>45762</v>
      </c>
      <c r="C10" s="25" t="s">
        <v>100</v>
      </c>
      <c r="D10" s="25"/>
      <c r="E10" s="42">
        <v>32400</v>
      </c>
      <c r="F10" s="25" t="s">
        <v>25</v>
      </c>
      <c r="G10" s="25"/>
    </row>
    <row r="11" s="35" customFormat="1" ht="15" customHeight="1" spans="1:7">
      <c r="A11" s="16">
        <v>9</v>
      </c>
      <c r="B11" s="17">
        <v>45763</v>
      </c>
      <c r="C11" s="25" t="s">
        <v>103</v>
      </c>
      <c r="D11" s="25"/>
      <c r="E11" s="42">
        <v>765.5</v>
      </c>
      <c r="F11" s="25" t="s">
        <v>25</v>
      </c>
      <c r="G11" s="25"/>
    </row>
    <row r="12" s="35" customFormat="1" ht="15" customHeight="1" spans="1:7">
      <c r="A12" s="16">
        <v>10</v>
      </c>
      <c r="B12" s="17">
        <v>45763</v>
      </c>
      <c r="C12" s="25" t="s">
        <v>101</v>
      </c>
      <c r="D12" s="25"/>
      <c r="E12" s="42">
        <v>407930</v>
      </c>
      <c r="F12" s="25" t="s">
        <v>25</v>
      </c>
      <c r="G12" s="25"/>
    </row>
    <row r="13" s="35" customFormat="1" ht="15" customHeight="1" spans="1:7">
      <c r="A13" s="16">
        <v>11</v>
      </c>
      <c r="B13" s="17">
        <v>45764</v>
      </c>
      <c r="C13" s="25" t="s">
        <v>103</v>
      </c>
      <c r="D13" s="25"/>
      <c r="E13" s="42">
        <v>27254.5</v>
      </c>
      <c r="F13" s="25" t="s">
        <v>25</v>
      </c>
      <c r="G13" s="25" t="s">
        <v>11</v>
      </c>
    </row>
    <row r="14" s="35" customFormat="1" ht="15" customHeight="1" spans="1:7">
      <c r="A14" s="16">
        <v>12</v>
      </c>
      <c r="B14" s="17">
        <v>45764</v>
      </c>
      <c r="C14" s="25" t="s">
        <v>104</v>
      </c>
      <c r="D14" s="25"/>
      <c r="E14" s="42">
        <v>24550</v>
      </c>
      <c r="F14" s="25" t="s">
        <v>9</v>
      </c>
      <c r="G14" s="25"/>
    </row>
    <row r="15" s="35" customFormat="1" ht="15" customHeight="1" spans="1:7">
      <c r="A15" s="16">
        <v>13</v>
      </c>
      <c r="B15" s="17">
        <v>45764</v>
      </c>
      <c r="C15" s="25" t="s">
        <v>105</v>
      </c>
      <c r="D15" s="25"/>
      <c r="E15" s="42">
        <v>100683</v>
      </c>
      <c r="F15" s="25" t="s">
        <v>34</v>
      </c>
      <c r="G15" s="25"/>
    </row>
    <row r="16" s="35" customFormat="1" ht="15" customHeight="1" spans="1:7">
      <c r="A16" s="16">
        <v>14</v>
      </c>
      <c r="B16" s="17">
        <v>45764</v>
      </c>
      <c r="C16" s="25" t="s">
        <v>105</v>
      </c>
      <c r="D16" s="25"/>
      <c r="E16" s="42">
        <v>31396.4</v>
      </c>
      <c r="F16" s="25" t="s">
        <v>34</v>
      </c>
      <c r="G16" s="25"/>
    </row>
    <row r="17" s="35" customFormat="1" ht="15" customHeight="1" spans="1:7">
      <c r="A17" s="16">
        <v>15</v>
      </c>
      <c r="B17" s="17">
        <v>45765</v>
      </c>
      <c r="C17" s="25" t="s">
        <v>22</v>
      </c>
      <c r="D17" s="25"/>
      <c r="E17" s="42">
        <v>324529.15</v>
      </c>
      <c r="F17" s="25" t="s">
        <v>9</v>
      </c>
      <c r="G17" s="25" t="s">
        <v>11</v>
      </c>
    </row>
    <row r="18" s="35" customFormat="1" ht="15" customHeight="1" spans="1:7">
      <c r="A18" s="16">
        <v>16</v>
      </c>
      <c r="B18" s="17">
        <v>45765</v>
      </c>
      <c r="C18" s="25" t="s">
        <v>46</v>
      </c>
      <c r="D18" s="25"/>
      <c r="E18" s="42">
        <v>17160</v>
      </c>
      <c r="F18" s="25" t="s">
        <v>9</v>
      </c>
      <c r="G18" s="25" t="s">
        <v>11</v>
      </c>
    </row>
    <row r="19" s="35" customFormat="1" ht="15" customHeight="1" spans="1:7">
      <c r="A19" s="16">
        <v>17</v>
      </c>
      <c r="B19" s="17">
        <v>45765</v>
      </c>
      <c r="C19" s="25" t="s">
        <v>46</v>
      </c>
      <c r="D19" s="25"/>
      <c r="E19" s="42">
        <v>300000</v>
      </c>
      <c r="F19" s="25" t="s">
        <v>9</v>
      </c>
      <c r="G19" s="25" t="s">
        <v>11</v>
      </c>
    </row>
    <row r="20" s="35" customFormat="1" ht="15" customHeight="1" spans="1:7">
      <c r="A20" s="16">
        <v>18</v>
      </c>
      <c r="B20" s="17">
        <v>45765</v>
      </c>
      <c r="C20" s="25" t="s">
        <v>46</v>
      </c>
      <c r="D20" s="25"/>
      <c r="E20" s="42">
        <v>240</v>
      </c>
      <c r="F20" s="25" t="s">
        <v>9</v>
      </c>
      <c r="G20" s="25"/>
    </row>
    <row r="21" s="35" customFormat="1" ht="15" customHeight="1" spans="1:7">
      <c r="A21" s="16">
        <v>19</v>
      </c>
      <c r="B21" s="17">
        <v>45765</v>
      </c>
      <c r="C21" s="25" t="s">
        <v>105</v>
      </c>
      <c r="D21" s="25"/>
      <c r="E21" s="42">
        <v>100000</v>
      </c>
      <c r="F21" s="25" t="s">
        <v>9</v>
      </c>
      <c r="G21" s="25" t="s">
        <v>11</v>
      </c>
    </row>
    <row r="22" s="35" customFormat="1" ht="15" customHeight="1" spans="1:7">
      <c r="A22" s="16">
        <v>20</v>
      </c>
      <c r="B22" s="17">
        <v>45765</v>
      </c>
      <c r="C22" s="25" t="s">
        <v>80</v>
      </c>
      <c r="D22" s="25"/>
      <c r="E22" s="42">
        <v>59574.57</v>
      </c>
      <c r="F22" s="25" t="s">
        <v>30</v>
      </c>
      <c r="G22" s="25"/>
    </row>
    <row r="23" s="35" customFormat="1" ht="15" customHeight="1" spans="1:7">
      <c r="A23" s="16">
        <v>21</v>
      </c>
      <c r="B23" s="17">
        <v>45768</v>
      </c>
      <c r="C23" s="25" t="s">
        <v>46</v>
      </c>
      <c r="D23" s="25"/>
      <c r="E23" s="42">
        <v>136.4</v>
      </c>
      <c r="F23" s="25" t="s">
        <v>48</v>
      </c>
      <c r="G23" s="25"/>
    </row>
    <row r="24" s="35" customFormat="1" ht="15" customHeight="1" spans="1:7">
      <c r="A24" s="16">
        <v>22</v>
      </c>
      <c r="B24" s="17">
        <v>45769</v>
      </c>
      <c r="C24" s="25" t="s">
        <v>46</v>
      </c>
      <c r="D24" s="25"/>
      <c r="E24" s="42">
        <v>42863.6</v>
      </c>
      <c r="F24" s="25" t="s">
        <v>48</v>
      </c>
      <c r="G24" s="25" t="s">
        <v>41</v>
      </c>
    </row>
    <row r="25" s="35" customFormat="1" ht="15" customHeight="1" spans="1:7">
      <c r="A25" s="16">
        <v>23</v>
      </c>
      <c r="B25" s="17">
        <v>45769</v>
      </c>
      <c r="C25" s="25" t="s">
        <v>106</v>
      </c>
      <c r="D25" s="25"/>
      <c r="E25" s="42">
        <v>27000</v>
      </c>
      <c r="F25" s="25" t="s">
        <v>25</v>
      </c>
      <c r="G25" s="25"/>
    </row>
    <row r="26" s="35" customFormat="1" ht="15" customHeight="1" spans="1:7">
      <c r="A26" s="16">
        <v>24</v>
      </c>
      <c r="B26" s="17">
        <v>45769</v>
      </c>
      <c r="C26" s="25" t="s">
        <v>22</v>
      </c>
      <c r="D26" s="25"/>
      <c r="E26" s="42">
        <v>3410.85</v>
      </c>
      <c r="F26" s="25" t="s">
        <v>9</v>
      </c>
      <c r="G26" s="25"/>
    </row>
    <row r="27" s="35" customFormat="1" ht="15" customHeight="1" spans="1:7">
      <c r="A27" s="16">
        <v>25</v>
      </c>
      <c r="B27" s="17">
        <v>45769</v>
      </c>
      <c r="C27" s="25" t="s">
        <v>107</v>
      </c>
      <c r="D27" s="25"/>
      <c r="E27" s="42">
        <v>45110.86</v>
      </c>
      <c r="F27" s="25" t="s">
        <v>55</v>
      </c>
      <c r="G27" s="25" t="s">
        <v>108</v>
      </c>
    </row>
    <row r="28" s="35" customFormat="1" ht="15" customHeight="1" spans="1:7">
      <c r="A28" s="16">
        <v>26</v>
      </c>
      <c r="B28" s="17">
        <v>45770</v>
      </c>
      <c r="C28" s="25" t="s">
        <v>109</v>
      </c>
      <c r="D28" s="25"/>
      <c r="E28" s="42">
        <v>8000</v>
      </c>
      <c r="F28" s="25" t="s">
        <v>25</v>
      </c>
      <c r="G28" s="25"/>
    </row>
    <row r="29" s="35" customFormat="1" ht="15" customHeight="1" spans="1:7">
      <c r="A29" s="16">
        <v>27</v>
      </c>
      <c r="B29" s="17">
        <v>45771</v>
      </c>
      <c r="C29" s="25" t="s">
        <v>110</v>
      </c>
      <c r="D29" s="25"/>
      <c r="E29" s="42">
        <v>35820</v>
      </c>
      <c r="F29" s="25" t="s">
        <v>25</v>
      </c>
      <c r="G29" s="25"/>
    </row>
    <row r="30" s="35" customFormat="1" ht="15" customHeight="1" spans="1:7">
      <c r="A30" s="16">
        <v>28</v>
      </c>
      <c r="B30" s="17">
        <v>45771</v>
      </c>
      <c r="C30" s="25" t="s">
        <v>32</v>
      </c>
      <c r="D30" s="25"/>
      <c r="E30" s="42">
        <v>50000</v>
      </c>
      <c r="F30" s="25" t="s">
        <v>25</v>
      </c>
      <c r="G30" s="25"/>
    </row>
    <row r="31" s="35" customFormat="1" ht="15" customHeight="1" spans="1:7">
      <c r="A31" s="16">
        <v>29</v>
      </c>
      <c r="B31" s="17">
        <v>45771</v>
      </c>
      <c r="C31" s="25" t="s">
        <v>82</v>
      </c>
      <c r="D31" s="25"/>
      <c r="E31" s="42">
        <v>100000</v>
      </c>
      <c r="F31" s="25" t="s">
        <v>55</v>
      </c>
      <c r="G31" s="25" t="s">
        <v>11</v>
      </c>
    </row>
    <row r="32" s="35" customFormat="1" ht="15" customHeight="1" spans="1:7">
      <c r="A32" s="16">
        <v>30</v>
      </c>
      <c r="B32" s="17">
        <v>45771</v>
      </c>
      <c r="C32" s="25" t="s">
        <v>20</v>
      </c>
      <c r="D32" s="25"/>
      <c r="E32" s="42">
        <v>289282.74</v>
      </c>
      <c r="F32" s="25" t="s">
        <v>21</v>
      </c>
      <c r="G32" s="25"/>
    </row>
    <row r="33" s="35" customFormat="1" ht="15" customHeight="1" spans="1:7">
      <c r="A33" s="16">
        <v>31</v>
      </c>
      <c r="B33" s="17">
        <v>45771</v>
      </c>
      <c r="C33" s="25" t="s">
        <v>70</v>
      </c>
      <c r="D33" s="25"/>
      <c r="E33" s="42">
        <v>34800</v>
      </c>
      <c r="F33" s="25" t="s">
        <v>25</v>
      </c>
      <c r="G33" s="25"/>
    </row>
    <row r="34" s="35" customFormat="1" ht="15" customHeight="1" spans="1:7">
      <c r="A34" s="16">
        <v>32</v>
      </c>
      <c r="B34" s="17">
        <v>45772</v>
      </c>
      <c r="C34" s="25" t="s">
        <v>111</v>
      </c>
      <c r="D34" s="25"/>
      <c r="E34" s="42">
        <v>18400</v>
      </c>
      <c r="F34" s="25" t="s">
        <v>25</v>
      </c>
      <c r="G34" s="25"/>
    </row>
    <row r="35" s="35" customFormat="1" ht="15" customHeight="1" spans="1:7">
      <c r="A35" s="16">
        <v>33</v>
      </c>
      <c r="B35" s="17">
        <v>45774</v>
      </c>
      <c r="C35" s="25" t="s">
        <v>12</v>
      </c>
      <c r="D35" s="25"/>
      <c r="E35" s="42">
        <v>7317.95</v>
      </c>
      <c r="F35" s="25" t="s">
        <v>13</v>
      </c>
      <c r="G35" s="25" t="s">
        <v>11</v>
      </c>
    </row>
    <row r="36" s="35" customFormat="1" ht="15" customHeight="1" spans="1:7">
      <c r="A36" s="16">
        <v>34</v>
      </c>
      <c r="B36" s="17">
        <v>45775</v>
      </c>
      <c r="C36" s="25" t="s">
        <v>27</v>
      </c>
      <c r="D36" s="25"/>
      <c r="E36" s="42">
        <v>4601.59</v>
      </c>
      <c r="F36" s="25" t="s">
        <v>28</v>
      </c>
      <c r="G36" s="25" t="s">
        <v>11</v>
      </c>
    </row>
    <row r="37" s="35" customFormat="1" ht="15" customHeight="1" spans="1:7">
      <c r="A37" s="16">
        <v>35</v>
      </c>
      <c r="B37" s="17">
        <v>45774</v>
      </c>
      <c r="C37" s="25" t="s">
        <v>112</v>
      </c>
      <c r="D37" s="25"/>
      <c r="E37" s="42">
        <v>5808.56</v>
      </c>
      <c r="F37" s="25" t="s">
        <v>30</v>
      </c>
      <c r="G37" s="25"/>
    </row>
    <row r="38" s="35" customFormat="1" ht="15" customHeight="1" spans="1:7">
      <c r="A38" s="16">
        <v>36</v>
      </c>
      <c r="B38" s="17">
        <v>45775</v>
      </c>
      <c r="C38" s="25" t="s">
        <v>113</v>
      </c>
      <c r="D38" s="25"/>
      <c r="E38" s="42">
        <v>19500</v>
      </c>
      <c r="F38" s="25" t="s">
        <v>9</v>
      </c>
      <c r="G38" s="25"/>
    </row>
    <row r="39" s="35" customFormat="1" ht="15" customHeight="1" spans="1:7">
      <c r="A39" s="16">
        <v>37</v>
      </c>
      <c r="B39" s="17">
        <v>45776</v>
      </c>
      <c r="C39" s="25" t="s">
        <v>114</v>
      </c>
      <c r="D39" s="25"/>
      <c r="E39" s="42">
        <v>19700</v>
      </c>
      <c r="F39" s="25" t="s">
        <v>34</v>
      </c>
      <c r="G39" s="25"/>
    </row>
    <row r="40" s="35" customFormat="1" ht="15" customHeight="1" spans="1:7">
      <c r="A40" s="16">
        <v>38</v>
      </c>
      <c r="B40" s="17">
        <v>45777</v>
      </c>
      <c r="C40" s="25" t="s">
        <v>115</v>
      </c>
      <c r="D40" s="25"/>
      <c r="E40" s="42">
        <v>20000</v>
      </c>
      <c r="F40" s="25" t="s">
        <v>116</v>
      </c>
      <c r="G40" s="25" t="s">
        <v>117</v>
      </c>
    </row>
    <row r="41" s="35" customFormat="1" ht="15" customHeight="1" spans="1:7">
      <c r="A41" s="16"/>
      <c r="B41" s="17"/>
      <c r="C41" s="25"/>
      <c r="D41" s="73" t="s">
        <v>56</v>
      </c>
      <c r="E41" s="64">
        <f>SUM(E3:E40)</f>
        <v>2606168.1</v>
      </c>
      <c r="F41" s="25"/>
      <c r="G41" s="25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C62" sqref="C62"/>
    </sheetView>
  </sheetViews>
  <sheetFormatPr defaultColWidth="9" defaultRowHeight="13.5" outlineLevelCol="6"/>
  <cols>
    <col min="1" max="1" width="4.88333333333333" style="33" customWidth="1"/>
    <col min="2" max="2" width="10.75" style="36" customWidth="1"/>
    <col min="3" max="3" width="34.6333333333333" style="35" customWidth="1"/>
    <col min="4" max="4" width="6.75" style="35" customWidth="1"/>
    <col min="5" max="5" width="18.75" style="33" customWidth="1"/>
    <col min="6" max="6" width="19.75" style="35" customWidth="1"/>
    <col min="7" max="7" width="27.5083333333333" style="35" customWidth="1"/>
    <col min="8" max="16384" width="9" style="35"/>
  </cols>
  <sheetData>
    <row r="1" s="33" customFormat="1" ht="27" customHeight="1" spans="1:7">
      <c r="A1" s="37" t="s">
        <v>118</v>
      </c>
      <c r="B1" s="37"/>
      <c r="C1" s="37"/>
      <c r="D1" s="37"/>
      <c r="E1" s="37"/>
      <c r="F1" s="37"/>
      <c r="G1" s="37"/>
    </row>
    <row r="2" s="34" customFormat="1" ht="20.25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customHeight="1" spans="1:7">
      <c r="A3" s="16">
        <v>1</v>
      </c>
      <c r="B3" s="17">
        <v>45786</v>
      </c>
      <c r="C3" s="25" t="s">
        <v>119</v>
      </c>
      <c r="D3" s="25"/>
      <c r="E3" s="18">
        <v>50000</v>
      </c>
      <c r="F3" s="43" t="s">
        <v>30</v>
      </c>
      <c r="G3" s="25" t="s">
        <v>11</v>
      </c>
    </row>
    <row r="4" s="35" customFormat="1" customHeight="1" spans="1:7">
      <c r="A4" s="16">
        <v>2</v>
      </c>
      <c r="B4" s="17">
        <v>45789</v>
      </c>
      <c r="C4" s="25" t="s">
        <v>51</v>
      </c>
      <c r="D4" s="25"/>
      <c r="E4" s="18">
        <v>210300</v>
      </c>
      <c r="F4" s="43" t="s">
        <v>25</v>
      </c>
      <c r="G4" s="25" t="s">
        <v>41</v>
      </c>
    </row>
    <row r="5" s="35" customFormat="1" customHeight="1" spans="1:7">
      <c r="A5" s="16">
        <v>3</v>
      </c>
      <c r="B5" s="17">
        <v>45790</v>
      </c>
      <c r="C5" s="25" t="s">
        <v>49</v>
      </c>
      <c r="D5" s="25"/>
      <c r="E5" s="18">
        <v>24978.36</v>
      </c>
      <c r="F5" s="43" t="s">
        <v>9</v>
      </c>
      <c r="G5" s="25"/>
    </row>
    <row r="6" s="35" customFormat="1" customHeight="1" spans="1:7">
      <c r="A6" s="16">
        <v>4</v>
      </c>
      <c r="B6" s="17">
        <v>45791</v>
      </c>
      <c r="C6" s="25" t="s">
        <v>120</v>
      </c>
      <c r="D6" s="25"/>
      <c r="E6" s="18">
        <v>100000</v>
      </c>
      <c r="F6" s="43" t="s">
        <v>9</v>
      </c>
      <c r="G6" s="25" t="s">
        <v>11</v>
      </c>
    </row>
    <row r="7" s="35" customFormat="1" customHeight="1" spans="1:7">
      <c r="A7" s="16">
        <v>5</v>
      </c>
      <c r="B7" s="17">
        <v>45793</v>
      </c>
      <c r="C7" s="25" t="s">
        <v>121</v>
      </c>
      <c r="D7" s="25"/>
      <c r="E7" s="18">
        <v>127264</v>
      </c>
      <c r="F7" s="43" t="s">
        <v>9</v>
      </c>
      <c r="G7" s="25"/>
    </row>
    <row r="8" s="35" customFormat="1" customHeight="1" spans="1:7">
      <c r="A8" s="16">
        <v>6</v>
      </c>
      <c r="B8" s="17">
        <v>45793</v>
      </c>
      <c r="C8" s="25" t="s">
        <v>122</v>
      </c>
      <c r="D8" s="25"/>
      <c r="E8" s="18">
        <v>10000</v>
      </c>
      <c r="F8" s="43" t="s">
        <v>19</v>
      </c>
      <c r="G8" s="25"/>
    </row>
    <row r="9" s="35" customFormat="1" customHeight="1" spans="1:7">
      <c r="A9" s="16">
        <v>7</v>
      </c>
      <c r="B9" s="17">
        <v>45797</v>
      </c>
      <c r="C9" s="25" t="s">
        <v>40</v>
      </c>
      <c r="D9" s="25"/>
      <c r="E9" s="18">
        <v>23826.44</v>
      </c>
      <c r="F9" s="43" t="s">
        <v>25</v>
      </c>
      <c r="G9" s="25" t="s">
        <v>11</v>
      </c>
    </row>
    <row r="10" s="35" customFormat="1" customHeight="1" spans="1:7">
      <c r="A10" s="16">
        <v>8</v>
      </c>
      <c r="B10" s="17">
        <v>45797</v>
      </c>
      <c r="C10" s="25" t="s">
        <v>40</v>
      </c>
      <c r="D10" s="25"/>
      <c r="E10" s="18">
        <v>19665</v>
      </c>
      <c r="F10" s="43" t="s">
        <v>25</v>
      </c>
      <c r="G10" s="25" t="s">
        <v>11</v>
      </c>
    </row>
    <row r="11" s="35" customFormat="1" customHeight="1" spans="1:7">
      <c r="A11" s="16">
        <v>9</v>
      </c>
      <c r="B11" s="17">
        <v>45797</v>
      </c>
      <c r="C11" s="25" t="s">
        <v>40</v>
      </c>
      <c r="D11" s="25"/>
      <c r="E11" s="18">
        <v>49.56</v>
      </c>
      <c r="F11" s="43" t="s">
        <v>25</v>
      </c>
      <c r="G11" s="25"/>
    </row>
    <row r="12" s="35" customFormat="1" customHeight="1" spans="1:7">
      <c r="A12" s="16">
        <v>10</v>
      </c>
      <c r="B12" s="17">
        <v>45798</v>
      </c>
      <c r="C12" s="25" t="s">
        <v>102</v>
      </c>
      <c r="D12" s="25"/>
      <c r="E12" s="18">
        <v>5000</v>
      </c>
      <c r="F12" s="43" t="s">
        <v>25</v>
      </c>
      <c r="G12" s="25" t="s">
        <v>11</v>
      </c>
    </row>
    <row r="13" s="35" customFormat="1" customHeight="1" spans="1:7">
      <c r="A13" s="16">
        <v>11</v>
      </c>
      <c r="B13" s="17">
        <v>45798</v>
      </c>
      <c r="C13" s="25" t="s">
        <v>102</v>
      </c>
      <c r="D13" s="25"/>
      <c r="E13" s="18">
        <v>10000</v>
      </c>
      <c r="F13" s="43" t="s">
        <v>25</v>
      </c>
      <c r="G13" s="25" t="s">
        <v>11</v>
      </c>
    </row>
    <row r="14" s="35" customFormat="1" customHeight="1" spans="1:7">
      <c r="A14" s="16">
        <v>12</v>
      </c>
      <c r="B14" s="17">
        <v>45800</v>
      </c>
      <c r="C14" s="25" t="s">
        <v>123</v>
      </c>
      <c r="D14" s="25"/>
      <c r="E14" s="18">
        <v>3150</v>
      </c>
      <c r="F14" s="43" t="s">
        <v>9</v>
      </c>
      <c r="G14" s="25"/>
    </row>
    <row r="15" s="35" customFormat="1" customHeight="1" spans="1:7">
      <c r="A15" s="16">
        <v>13</v>
      </c>
      <c r="B15" s="17">
        <v>45803</v>
      </c>
      <c r="C15" s="25" t="s">
        <v>124</v>
      </c>
      <c r="D15" s="25"/>
      <c r="E15" s="18">
        <v>1413000</v>
      </c>
      <c r="F15" s="43" t="s">
        <v>9</v>
      </c>
      <c r="G15" s="25"/>
    </row>
    <row r="16" s="35" customFormat="1" customHeight="1" spans="1:7">
      <c r="A16" s="16">
        <v>14</v>
      </c>
      <c r="B16" s="17">
        <v>45803</v>
      </c>
      <c r="C16" s="25" t="s">
        <v>125</v>
      </c>
      <c r="D16" s="25"/>
      <c r="E16" s="18">
        <v>18120</v>
      </c>
      <c r="F16" s="43" t="s">
        <v>19</v>
      </c>
      <c r="G16" s="25" t="s">
        <v>23</v>
      </c>
    </row>
    <row r="17" s="35" customFormat="1" customHeight="1" spans="1:7">
      <c r="A17" s="16">
        <v>15</v>
      </c>
      <c r="B17" s="17">
        <v>45804</v>
      </c>
      <c r="C17" s="25" t="s">
        <v>126</v>
      </c>
      <c r="D17" s="25"/>
      <c r="E17" s="18">
        <v>2650</v>
      </c>
      <c r="F17" s="43" t="s">
        <v>25</v>
      </c>
      <c r="G17" s="25"/>
    </row>
    <row r="18" s="35" customFormat="1" customHeight="1" spans="1:7">
      <c r="A18" s="16">
        <v>18</v>
      </c>
      <c r="B18" s="17">
        <v>45804</v>
      </c>
      <c r="C18" s="25" t="s">
        <v>126</v>
      </c>
      <c r="D18" s="25"/>
      <c r="E18" s="18">
        <v>30000</v>
      </c>
      <c r="F18" s="43" t="s">
        <v>25</v>
      </c>
      <c r="G18" s="25"/>
    </row>
    <row r="19" s="35" customFormat="1" customHeight="1" spans="1:7">
      <c r="A19" s="16">
        <v>19</v>
      </c>
      <c r="B19" s="17">
        <v>45804</v>
      </c>
      <c r="C19" s="25" t="s">
        <v>127</v>
      </c>
      <c r="D19" s="25"/>
      <c r="E19" s="18">
        <v>97200</v>
      </c>
      <c r="F19" s="43" t="s">
        <v>9</v>
      </c>
      <c r="G19" s="25"/>
    </row>
    <row r="20" s="35" customFormat="1" ht="17" customHeight="1" spans="1:7">
      <c r="A20" s="16">
        <v>20</v>
      </c>
      <c r="B20" s="17">
        <v>45804</v>
      </c>
      <c r="C20" s="25" t="s">
        <v>27</v>
      </c>
      <c r="D20" s="25"/>
      <c r="E20" s="18">
        <v>1021.58</v>
      </c>
      <c r="F20" s="43" t="s">
        <v>28</v>
      </c>
      <c r="G20" s="43" t="s">
        <v>11</v>
      </c>
    </row>
    <row r="21" s="35" customFormat="1" customHeight="1" spans="1:7">
      <c r="A21" s="16">
        <v>21</v>
      </c>
      <c r="B21" s="17">
        <v>45805</v>
      </c>
      <c r="C21" s="65" t="s">
        <v>103</v>
      </c>
      <c r="D21" s="25"/>
      <c r="E21" s="18">
        <v>244</v>
      </c>
      <c r="F21" s="43" t="s">
        <v>25</v>
      </c>
      <c r="G21" s="65" t="s">
        <v>23</v>
      </c>
    </row>
    <row r="22" s="35" customFormat="1" customHeight="1" spans="1:7">
      <c r="A22" s="16">
        <v>22</v>
      </c>
      <c r="B22" s="17">
        <v>45805</v>
      </c>
      <c r="C22" s="65" t="s">
        <v>103</v>
      </c>
      <c r="D22" s="25"/>
      <c r="E22" s="18">
        <v>16300</v>
      </c>
      <c r="F22" s="43" t="s">
        <v>25</v>
      </c>
      <c r="G22" s="65" t="s">
        <v>11</v>
      </c>
    </row>
    <row r="23" s="35" customFormat="1" customHeight="1" spans="1:7">
      <c r="A23" s="16">
        <v>23</v>
      </c>
      <c r="B23" s="17">
        <v>45805</v>
      </c>
      <c r="C23" s="66" t="s">
        <v>128</v>
      </c>
      <c r="D23" s="25"/>
      <c r="E23" s="18">
        <v>41400</v>
      </c>
      <c r="F23" s="43" t="s">
        <v>9</v>
      </c>
      <c r="G23" s="67" t="s">
        <v>129</v>
      </c>
    </row>
    <row r="24" s="35" customFormat="1" customHeight="1" spans="1:7">
      <c r="A24" s="16">
        <v>24</v>
      </c>
      <c r="B24" s="17">
        <v>45806</v>
      </c>
      <c r="C24" s="25" t="s">
        <v>35</v>
      </c>
      <c r="D24" s="25"/>
      <c r="E24" s="18">
        <v>120000</v>
      </c>
      <c r="F24" s="43" t="s">
        <v>25</v>
      </c>
      <c r="G24" s="25" t="s">
        <v>11</v>
      </c>
    </row>
    <row r="25" s="35" customFormat="1" customHeight="1" spans="1:7">
      <c r="A25" s="16">
        <v>25</v>
      </c>
      <c r="B25" s="17">
        <v>45806</v>
      </c>
      <c r="C25" s="68" t="s">
        <v>98</v>
      </c>
      <c r="D25" s="25"/>
      <c r="E25" s="18">
        <v>100000</v>
      </c>
      <c r="F25" s="43" t="s">
        <v>9</v>
      </c>
      <c r="G25" s="25" t="s">
        <v>11</v>
      </c>
    </row>
    <row r="26" s="35" customFormat="1" customHeight="1" spans="1:7">
      <c r="A26" s="16">
        <v>26</v>
      </c>
      <c r="B26" s="17">
        <v>45806</v>
      </c>
      <c r="C26" s="68" t="s">
        <v>32</v>
      </c>
      <c r="D26" s="25"/>
      <c r="E26" s="18">
        <v>22478.75</v>
      </c>
      <c r="F26" s="43" t="s">
        <v>25</v>
      </c>
      <c r="G26" s="25"/>
    </row>
    <row r="27" s="35" customFormat="1" customHeight="1" spans="1:7">
      <c r="A27" s="16"/>
      <c r="B27" s="17"/>
      <c r="C27" s="68"/>
      <c r="D27" s="25"/>
      <c r="E27" s="18"/>
      <c r="F27" s="43"/>
      <c r="G27" s="25"/>
    </row>
    <row r="28" s="35" customFormat="1" customHeight="1" spans="1:7">
      <c r="A28" s="16"/>
      <c r="B28" s="17"/>
      <c r="C28" s="68"/>
      <c r="D28" s="25"/>
      <c r="E28" s="18"/>
      <c r="F28" s="43"/>
      <c r="G28" s="25"/>
    </row>
    <row r="29" s="35" customFormat="1" customHeight="1" spans="1:7">
      <c r="A29" s="16"/>
      <c r="B29" s="17"/>
      <c r="C29" s="69"/>
      <c r="D29" s="25" t="s">
        <v>56</v>
      </c>
      <c r="E29" s="70">
        <f>SUM(E3:E28)</f>
        <v>2446647.69</v>
      </c>
      <c r="F29" s="43"/>
      <c r="G29" s="25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C62" sqref="C62"/>
    </sheetView>
  </sheetViews>
  <sheetFormatPr defaultColWidth="9" defaultRowHeight="13.5" outlineLevelCol="6"/>
  <cols>
    <col min="1" max="1" width="4.88333333333333" style="33" customWidth="1"/>
    <col min="2" max="2" width="10.3833333333333" style="36" customWidth="1"/>
    <col min="3" max="3" width="32.3833333333333" style="35" customWidth="1"/>
    <col min="4" max="4" width="7" style="35" customWidth="1"/>
    <col min="5" max="5" width="18.75" style="35" customWidth="1"/>
    <col min="6" max="6" width="18.5083333333333" style="35" customWidth="1"/>
    <col min="7" max="7" width="24.75" style="35" customWidth="1"/>
    <col min="8" max="16384" width="9" style="35"/>
  </cols>
  <sheetData>
    <row r="1" s="33" customFormat="1" ht="27" customHeight="1" spans="1:7">
      <c r="A1" s="37" t="s">
        <v>130</v>
      </c>
      <c r="B1" s="37"/>
      <c r="C1" s="37"/>
      <c r="D1" s="37"/>
      <c r="E1" s="37"/>
      <c r="F1" s="37"/>
      <c r="G1" s="37"/>
    </row>
    <row r="2" s="34" customFormat="1" ht="24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ht="15" customHeight="1" spans="1:7">
      <c r="A3" s="16">
        <v>1</v>
      </c>
      <c r="B3" s="17">
        <v>45811</v>
      </c>
      <c r="C3" s="25" t="s">
        <v>73</v>
      </c>
      <c r="D3" s="25"/>
      <c r="E3" s="62">
        <v>1263.46</v>
      </c>
      <c r="F3" s="43" t="s">
        <v>9</v>
      </c>
      <c r="G3" s="25"/>
    </row>
    <row r="4" s="35" customFormat="1" customHeight="1" spans="1:7">
      <c r="A4" s="16">
        <v>2</v>
      </c>
      <c r="B4" s="17">
        <v>45817</v>
      </c>
      <c r="C4" s="25" t="s">
        <v>51</v>
      </c>
      <c r="D4" s="25"/>
      <c r="E4" s="42">
        <v>75900</v>
      </c>
      <c r="F4" s="43" t="s">
        <v>25</v>
      </c>
      <c r="G4" s="25" t="s">
        <v>11</v>
      </c>
    </row>
    <row r="5" s="35" customFormat="1" customHeight="1" spans="1:7">
      <c r="A5" s="16">
        <v>3</v>
      </c>
      <c r="B5" s="17">
        <v>45818</v>
      </c>
      <c r="C5" s="25" t="s">
        <v>131</v>
      </c>
      <c r="D5" s="25"/>
      <c r="E5" s="42">
        <v>15000</v>
      </c>
      <c r="F5" s="43" t="s">
        <v>9</v>
      </c>
      <c r="G5" s="25" t="s">
        <v>11</v>
      </c>
    </row>
    <row r="6" s="35" customFormat="1" customHeight="1" spans="1:7">
      <c r="A6" s="16">
        <v>4</v>
      </c>
      <c r="B6" s="17">
        <v>45818</v>
      </c>
      <c r="C6" s="25" t="s">
        <v>132</v>
      </c>
      <c r="D6" s="25"/>
      <c r="E6" s="42">
        <v>7000</v>
      </c>
      <c r="F6" s="63" t="s">
        <v>16</v>
      </c>
      <c r="G6" s="9" t="s">
        <v>133</v>
      </c>
    </row>
    <row r="7" s="35" customFormat="1" customHeight="1" spans="1:7">
      <c r="A7" s="16">
        <v>5</v>
      </c>
      <c r="B7" s="17">
        <v>45820</v>
      </c>
      <c r="C7" s="43" t="s">
        <v>22</v>
      </c>
      <c r="D7" s="25"/>
      <c r="E7" s="42">
        <v>10000</v>
      </c>
      <c r="F7" s="43" t="s">
        <v>9</v>
      </c>
      <c r="G7" s="25" t="s">
        <v>11</v>
      </c>
    </row>
    <row r="8" s="35" customFormat="1" customHeight="1" spans="1:7">
      <c r="A8" s="16">
        <v>6</v>
      </c>
      <c r="B8" s="17">
        <v>45820</v>
      </c>
      <c r="C8" s="43" t="s">
        <v>22</v>
      </c>
      <c r="D8" s="25"/>
      <c r="E8" s="42">
        <v>150000</v>
      </c>
      <c r="F8" s="43" t="s">
        <v>9</v>
      </c>
      <c r="G8" s="25" t="s">
        <v>11</v>
      </c>
    </row>
    <row r="9" s="35" customFormat="1" customHeight="1" spans="1:7">
      <c r="A9" s="16"/>
      <c r="B9" s="17">
        <v>45824</v>
      </c>
      <c r="C9" s="43" t="s">
        <v>134</v>
      </c>
      <c r="D9" s="25"/>
      <c r="E9" s="42">
        <v>2300</v>
      </c>
      <c r="F9" s="43" t="s">
        <v>25</v>
      </c>
      <c r="G9" s="25" t="s">
        <v>11</v>
      </c>
    </row>
    <row r="10" s="35" customFormat="1" customHeight="1" spans="1:7">
      <c r="A10" s="16"/>
      <c r="B10" s="17">
        <v>45825</v>
      </c>
      <c r="C10" s="43" t="s">
        <v>22</v>
      </c>
      <c r="D10" s="25"/>
      <c r="E10" s="42">
        <v>1150</v>
      </c>
      <c r="F10" s="43" t="s">
        <v>9</v>
      </c>
      <c r="G10" s="25"/>
    </row>
    <row r="11" s="35" customFormat="1" customHeight="1" spans="1:7">
      <c r="A11" s="16"/>
      <c r="B11" s="17">
        <v>45826</v>
      </c>
      <c r="C11" s="43" t="s">
        <v>135</v>
      </c>
      <c r="D11" s="25"/>
      <c r="E11" s="42">
        <v>9500</v>
      </c>
      <c r="F11" s="43" t="s">
        <v>9</v>
      </c>
      <c r="G11" s="25" t="s">
        <v>136</v>
      </c>
    </row>
    <row r="12" s="35" customFormat="1" customHeight="1" spans="1:7">
      <c r="A12" s="16"/>
      <c r="B12" s="17">
        <v>45828</v>
      </c>
      <c r="C12" s="43" t="s">
        <v>137</v>
      </c>
      <c r="D12" s="25"/>
      <c r="E12" s="42">
        <v>45000</v>
      </c>
      <c r="F12" s="43" t="s">
        <v>9</v>
      </c>
      <c r="G12" s="25"/>
    </row>
    <row r="13" s="35" customFormat="1" customHeight="1" spans="1:7">
      <c r="A13" s="16"/>
      <c r="B13" s="17">
        <v>45832</v>
      </c>
      <c r="C13" s="43" t="s">
        <v>138</v>
      </c>
      <c r="D13" s="25"/>
      <c r="E13" s="42">
        <v>50000</v>
      </c>
      <c r="F13" s="43" t="s">
        <v>9</v>
      </c>
      <c r="G13" s="25"/>
    </row>
    <row r="14" s="35" customFormat="1" customHeight="1" spans="1:7">
      <c r="A14" s="16"/>
      <c r="B14" s="17">
        <v>45832</v>
      </c>
      <c r="C14" s="43" t="s">
        <v>139</v>
      </c>
      <c r="D14" s="25"/>
      <c r="E14" s="42">
        <v>5560</v>
      </c>
      <c r="F14" s="43" t="s">
        <v>9</v>
      </c>
      <c r="G14" s="25"/>
    </row>
    <row r="15" s="35" customFormat="1" customHeight="1" spans="1:7">
      <c r="A15" s="16"/>
      <c r="B15" s="17">
        <v>45832</v>
      </c>
      <c r="C15" s="43" t="s">
        <v>46</v>
      </c>
      <c r="D15" s="25"/>
      <c r="E15" s="42">
        <v>109.45</v>
      </c>
      <c r="F15" s="43" t="s">
        <v>9</v>
      </c>
      <c r="G15" s="25" t="s">
        <v>133</v>
      </c>
    </row>
    <row r="16" s="35" customFormat="1" customHeight="1" spans="1:7">
      <c r="A16" s="16"/>
      <c r="B16" s="17">
        <v>45833</v>
      </c>
      <c r="C16" s="43" t="s">
        <v>46</v>
      </c>
      <c r="D16" s="25"/>
      <c r="E16" s="42">
        <v>132000</v>
      </c>
      <c r="F16" s="43" t="s">
        <v>9</v>
      </c>
      <c r="G16" s="25" t="s">
        <v>11</v>
      </c>
    </row>
    <row r="17" s="35" customFormat="1" customHeight="1" spans="1:7">
      <c r="A17" s="16"/>
      <c r="B17" s="17">
        <v>45833</v>
      </c>
      <c r="C17" s="43" t="s">
        <v>46</v>
      </c>
      <c r="D17" s="25"/>
      <c r="E17" s="42">
        <v>4090.55</v>
      </c>
      <c r="F17" s="43" t="s">
        <v>9</v>
      </c>
      <c r="G17" s="25" t="s">
        <v>11</v>
      </c>
    </row>
    <row r="18" s="35" customFormat="1" customHeight="1" spans="1:7">
      <c r="A18" s="16"/>
      <c r="B18" s="17">
        <v>45833</v>
      </c>
      <c r="C18" s="43" t="s">
        <v>46</v>
      </c>
      <c r="D18" s="25"/>
      <c r="E18" s="42">
        <v>273.06</v>
      </c>
      <c r="F18" s="43" t="s">
        <v>9</v>
      </c>
      <c r="G18" s="25"/>
    </row>
    <row r="19" s="35" customFormat="1" customHeight="1" spans="1:7">
      <c r="A19" s="16"/>
      <c r="B19" s="17">
        <v>45833</v>
      </c>
      <c r="C19" s="43" t="s">
        <v>140</v>
      </c>
      <c r="D19" s="25"/>
      <c r="E19" s="42">
        <v>17.38</v>
      </c>
      <c r="F19" s="43" t="s">
        <v>9</v>
      </c>
      <c r="G19" s="25"/>
    </row>
    <row r="20" s="35" customFormat="1" customHeight="1" spans="1:7">
      <c r="A20" s="16"/>
      <c r="B20" s="17">
        <v>45833</v>
      </c>
      <c r="C20" s="43" t="s">
        <v>46</v>
      </c>
      <c r="D20" s="25"/>
      <c r="E20" s="42">
        <v>62726.94</v>
      </c>
      <c r="F20" s="43" t="s">
        <v>9</v>
      </c>
      <c r="G20" s="25" t="s">
        <v>11</v>
      </c>
    </row>
    <row r="21" s="35" customFormat="1" customHeight="1" spans="1:7">
      <c r="A21" s="16"/>
      <c r="B21" s="17">
        <v>45833</v>
      </c>
      <c r="C21" s="43" t="s">
        <v>140</v>
      </c>
      <c r="D21" s="25"/>
      <c r="E21" s="42">
        <v>53082.62</v>
      </c>
      <c r="F21" s="43" t="s">
        <v>9</v>
      </c>
      <c r="G21" s="25" t="s">
        <v>11</v>
      </c>
    </row>
    <row r="22" s="35" customFormat="1" customHeight="1" spans="1:7">
      <c r="A22" s="16"/>
      <c r="B22" s="17">
        <v>45833</v>
      </c>
      <c r="C22" s="43" t="s">
        <v>140</v>
      </c>
      <c r="D22" s="25"/>
      <c r="E22" s="42">
        <v>100000</v>
      </c>
      <c r="F22" s="43" t="s">
        <v>9</v>
      </c>
      <c r="G22" s="25" t="s">
        <v>11</v>
      </c>
    </row>
    <row r="23" s="35" customFormat="1" customHeight="1" spans="1:7">
      <c r="A23" s="16"/>
      <c r="B23" s="17">
        <v>45833</v>
      </c>
      <c r="C23" s="43" t="s">
        <v>80</v>
      </c>
      <c r="D23" s="25"/>
      <c r="E23" s="42">
        <v>63000</v>
      </c>
      <c r="F23" s="43" t="s">
        <v>141</v>
      </c>
      <c r="G23" s="25" t="s">
        <v>142</v>
      </c>
    </row>
    <row r="24" s="35" customFormat="1" customHeight="1" spans="1:7">
      <c r="A24" s="16"/>
      <c r="B24" s="17">
        <v>45835</v>
      </c>
      <c r="C24" s="43" t="s">
        <v>143</v>
      </c>
      <c r="D24" s="25"/>
      <c r="E24" s="42">
        <v>50800</v>
      </c>
      <c r="F24" s="43" t="s">
        <v>25</v>
      </c>
      <c r="G24" s="25" t="s">
        <v>11</v>
      </c>
    </row>
    <row r="25" s="35" customFormat="1" customHeight="1" spans="1:7">
      <c r="A25" s="16"/>
      <c r="B25" s="17">
        <v>45836</v>
      </c>
      <c r="C25" s="43" t="s">
        <v>144</v>
      </c>
      <c r="D25" s="25"/>
      <c r="E25" s="42">
        <v>2850</v>
      </c>
      <c r="F25" s="43" t="s">
        <v>9</v>
      </c>
      <c r="G25" s="25" t="s">
        <v>11</v>
      </c>
    </row>
    <row r="26" s="35" customFormat="1" customHeight="1" spans="1:7">
      <c r="A26" s="16"/>
      <c r="B26" s="17">
        <v>45836</v>
      </c>
      <c r="C26" s="43" t="s">
        <v>144</v>
      </c>
      <c r="D26" s="25"/>
      <c r="E26" s="42">
        <v>120000</v>
      </c>
      <c r="F26" s="43" t="s">
        <v>9</v>
      </c>
      <c r="G26" s="25" t="s">
        <v>11</v>
      </c>
    </row>
    <row r="27" s="35" customFormat="1" customHeight="1" spans="1:7">
      <c r="A27" s="16"/>
      <c r="B27" s="17">
        <v>45837</v>
      </c>
      <c r="C27" s="43" t="s">
        <v>14</v>
      </c>
      <c r="D27" s="25"/>
      <c r="E27" s="42">
        <v>50000</v>
      </c>
      <c r="F27" s="43" t="s">
        <v>9</v>
      </c>
      <c r="G27" s="25"/>
    </row>
    <row r="28" s="35" customFormat="1" customHeight="1" spans="1:7">
      <c r="A28" s="16"/>
      <c r="B28" s="17"/>
      <c r="C28" s="43"/>
      <c r="D28" s="25"/>
      <c r="E28" s="42"/>
      <c r="F28" s="43"/>
      <c r="G28" s="25"/>
    </row>
    <row r="29" s="35" customFormat="1" customHeight="1" spans="1:7">
      <c r="A29" s="16"/>
      <c r="B29" s="17"/>
      <c r="C29" s="43"/>
      <c r="D29" s="25" t="s">
        <v>56</v>
      </c>
      <c r="E29" s="64">
        <f>SUM(E3:E27)</f>
        <v>1011623.46</v>
      </c>
      <c r="F29" s="43"/>
      <c r="G29" s="43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opLeftCell="B3" workbookViewId="0">
      <selection activeCell="C62" sqref="C62"/>
    </sheetView>
  </sheetViews>
  <sheetFormatPr defaultColWidth="9" defaultRowHeight="13.5"/>
  <cols>
    <col min="1" max="1" width="4.88333333333333" style="33" customWidth="1"/>
    <col min="2" max="2" width="10.3833333333333" style="36" customWidth="1"/>
    <col min="3" max="3" width="39.6333333333333" style="35" customWidth="1"/>
    <col min="4" max="4" width="7" style="35" customWidth="1"/>
    <col min="5" max="5" width="18.75" style="35" customWidth="1"/>
    <col min="6" max="6" width="19.25" style="35" customWidth="1"/>
    <col min="7" max="7" width="30" style="35" customWidth="1"/>
    <col min="8" max="9" width="9" style="35"/>
    <col min="10" max="10" width="41.1916666666667" style="35"/>
    <col min="11" max="11" width="25.2916666666667" style="35"/>
    <col min="12" max="16384" width="9" style="35"/>
  </cols>
  <sheetData>
    <row r="1" s="33" customFormat="1" ht="27" customHeight="1" spans="1:12">
      <c r="A1" s="37" t="s">
        <v>145</v>
      </c>
      <c r="B1" s="37"/>
      <c r="C1" s="37"/>
      <c r="D1" s="37"/>
      <c r="E1" s="37"/>
      <c r="F1" s="37"/>
      <c r="G1" s="37"/>
    </row>
    <row r="2" s="34" customFormat="1" ht="20.25" customHeight="1" spans="1:12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  <c r="J2" t="s">
        <v>3</v>
      </c>
      <c r="K2" t="s">
        <v>146</v>
      </c>
      <c r="L2"/>
    </row>
    <row r="3" s="35" customFormat="1" customHeight="1" spans="1:12">
      <c r="A3" s="16">
        <v>1</v>
      </c>
      <c r="B3" s="17">
        <v>45842</v>
      </c>
      <c r="C3" s="60" t="s">
        <v>113</v>
      </c>
      <c r="D3" s="25"/>
      <c r="E3" s="61">
        <v>15600</v>
      </c>
      <c r="F3" s="43" t="s">
        <v>9</v>
      </c>
      <c r="G3" s="25"/>
      <c r="J3" t="s">
        <v>147</v>
      </c>
      <c r="K3">
        <v>3952</v>
      </c>
      <c r="L3"/>
    </row>
    <row r="4" s="35" customFormat="1" customHeight="1" spans="1:12">
      <c r="A4" s="16">
        <v>2</v>
      </c>
      <c r="B4" s="17">
        <v>45842</v>
      </c>
      <c r="C4" s="60" t="s">
        <v>44</v>
      </c>
      <c r="D4" s="25"/>
      <c r="E4" s="61">
        <v>428200</v>
      </c>
      <c r="F4" s="43" t="s">
        <v>9</v>
      </c>
      <c r="G4" s="25"/>
      <c r="J4" t="s">
        <v>138</v>
      </c>
      <c r="K4">
        <v>100000</v>
      </c>
      <c r="L4"/>
    </row>
    <row r="5" s="35" customFormat="1" customHeight="1" spans="1:12">
      <c r="A5" s="16">
        <v>3</v>
      </c>
      <c r="B5" s="17">
        <v>45846</v>
      </c>
      <c r="C5" s="60" t="s">
        <v>102</v>
      </c>
      <c r="D5" s="25"/>
      <c r="E5" s="61">
        <v>15000</v>
      </c>
      <c r="F5" s="43" t="s">
        <v>25</v>
      </c>
      <c r="G5" s="25" t="s">
        <v>11</v>
      </c>
      <c r="J5" t="s">
        <v>148</v>
      </c>
      <c r="K5">
        <v>5096.64</v>
      </c>
      <c r="L5"/>
    </row>
    <row r="6" s="35" customFormat="1" customHeight="1" spans="1:12">
      <c r="A6" s="16">
        <v>4</v>
      </c>
      <c r="B6" s="17">
        <v>45847</v>
      </c>
      <c r="C6" s="60" t="s">
        <v>24</v>
      </c>
      <c r="D6" s="25"/>
      <c r="E6" s="61">
        <v>17232.5</v>
      </c>
      <c r="F6" s="43" t="s">
        <v>25</v>
      </c>
      <c r="G6" s="25"/>
      <c r="J6" t="s">
        <v>42</v>
      </c>
      <c r="K6">
        <v>10000</v>
      </c>
      <c r="L6"/>
    </row>
    <row r="7" s="35" customFormat="1" customHeight="1" spans="1:12">
      <c r="A7" s="16">
        <v>5</v>
      </c>
      <c r="B7" s="17">
        <v>45846</v>
      </c>
      <c r="C7" s="60" t="s">
        <v>122</v>
      </c>
      <c r="D7" s="25"/>
      <c r="E7" s="61">
        <v>30000</v>
      </c>
      <c r="F7" s="43" t="s">
        <v>19</v>
      </c>
      <c r="G7" s="25"/>
      <c r="J7" t="s">
        <v>51</v>
      </c>
      <c r="K7">
        <v>2200</v>
      </c>
      <c r="L7"/>
    </row>
    <row r="8" s="35" customFormat="1" customHeight="1" spans="1:12">
      <c r="A8" s="16">
        <v>6</v>
      </c>
      <c r="B8" s="17">
        <v>45849</v>
      </c>
      <c r="C8" s="60" t="s">
        <v>149</v>
      </c>
      <c r="D8" s="25"/>
      <c r="E8" s="61">
        <v>58000</v>
      </c>
      <c r="F8" s="43" t="s">
        <v>9</v>
      </c>
      <c r="G8" s="25"/>
      <c r="J8" t="s">
        <v>150</v>
      </c>
      <c r="K8">
        <v>22600</v>
      </c>
      <c r="L8"/>
    </row>
    <row r="9" s="35" customFormat="1" customHeight="1" spans="1:12">
      <c r="A9" s="16">
        <v>7</v>
      </c>
      <c r="B9" s="17">
        <v>45852</v>
      </c>
      <c r="C9" s="60" t="s">
        <v>151</v>
      </c>
      <c r="D9" s="25"/>
      <c r="E9" s="61">
        <v>152000</v>
      </c>
      <c r="F9" s="43" t="s">
        <v>25</v>
      </c>
      <c r="G9" s="25" t="s">
        <v>11</v>
      </c>
      <c r="J9" t="s">
        <v>151</v>
      </c>
      <c r="K9">
        <v>152000</v>
      </c>
      <c r="L9"/>
    </row>
    <row r="10" s="35" customFormat="1" customHeight="1" spans="1:12">
      <c r="A10" s="16">
        <v>8</v>
      </c>
      <c r="B10" s="17">
        <v>45854</v>
      </c>
      <c r="C10" s="60" t="s">
        <v>147</v>
      </c>
      <c r="D10" s="25"/>
      <c r="E10" s="61">
        <v>3952</v>
      </c>
      <c r="F10" s="43" t="s">
        <v>19</v>
      </c>
      <c r="G10" s="25" t="s">
        <v>11</v>
      </c>
      <c r="J10" t="s">
        <v>45</v>
      </c>
      <c r="K10">
        <v>15486.04</v>
      </c>
      <c r="L10"/>
    </row>
    <row r="11" s="35" customFormat="1" customHeight="1" spans="1:12">
      <c r="A11" s="16">
        <v>9</v>
      </c>
      <c r="B11" s="17">
        <v>45854</v>
      </c>
      <c r="C11" s="60" t="s">
        <v>152</v>
      </c>
      <c r="D11" s="25"/>
      <c r="E11" s="61">
        <v>650</v>
      </c>
      <c r="F11" s="43" t="s">
        <v>9</v>
      </c>
      <c r="G11" s="25"/>
      <c r="J11" t="s">
        <v>152</v>
      </c>
      <c r="K11">
        <v>650</v>
      </c>
      <c r="L11"/>
    </row>
    <row r="12" s="35" customFormat="1" customHeight="1" spans="1:12">
      <c r="A12" s="16">
        <v>10</v>
      </c>
      <c r="B12" s="17">
        <v>45857</v>
      </c>
      <c r="C12" s="60" t="s">
        <v>134</v>
      </c>
      <c r="D12" s="25"/>
      <c r="E12" s="61">
        <v>10000</v>
      </c>
      <c r="F12" s="43" t="s">
        <v>25</v>
      </c>
      <c r="G12" s="25" t="s">
        <v>11</v>
      </c>
      <c r="J12" t="s">
        <v>153</v>
      </c>
      <c r="K12">
        <v>424270</v>
      </c>
      <c r="L12"/>
    </row>
    <row r="13" s="35" customFormat="1" customHeight="1" spans="1:12">
      <c r="A13" s="16">
        <v>11</v>
      </c>
      <c r="B13" s="17">
        <v>45856</v>
      </c>
      <c r="C13" s="60" t="s">
        <v>154</v>
      </c>
      <c r="D13" s="25"/>
      <c r="E13" s="61">
        <v>2979.54</v>
      </c>
      <c r="F13" s="43" t="s">
        <v>9</v>
      </c>
      <c r="G13" s="25" t="s">
        <v>23</v>
      </c>
      <c r="J13" t="s">
        <v>24</v>
      </c>
      <c r="K13">
        <v>17232.5</v>
      </c>
      <c r="L13"/>
    </row>
    <row r="14" s="35" customFormat="1" customHeight="1" spans="1:12">
      <c r="A14" s="16">
        <v>12</v>
      </c>
      <c r="B14" s="17">
        <v>45857</v>
      </c>
      <c r="C14" s="60" t="s">
        <v>22</v>
      </c>
      <c r="D14" s="25"/>
      <c r="E14" s="61">
        <v>65000</v>
      </c>
      <c r="F14" s="43" t="s">
        <v>9</v>
      </c>
      <c r="G14" s="25" t="s">
        <v>11</v>
      </c>
      <c r="J14" t="s">
        <v>149</v>
      </c>
      <c r="K14">
        <v>58000</v>
      </c>
      <c r="L14"/>
    </row>
    <row r="15" s="35" customFormat="1" customHeight="1" spans="1:12">
      <c r="A15" s="16"/>
      <c r="B15" s="17">
        <v>45860</v>
      </c>
      <c r="C15" s="60" t="s">
        <v>155</v>
      </c>
      <c r="D15" s="25"/>
      <c r="E15" s="61">
        <v>3505</v>
      </c>
      <c r="F15" s="43" t="s">
        <v>28</v>
      </c>
      <c r="G15" s="25" t="s">
        <v>11</v>
      </c>
      <c r="J15" t="s">
        <v>156</v>
      </c>
      <c r="K15">
        <v>20000</v>
      </c>
      <c r="L15"/>
    </row>
    <row r="16" s="35" customFormat="1" customHeight="1" spans="1:12">
      <c r="A16" s="16"/>
      <c r="B16" s="17">
        <v>45860</v>
      </c>
      <c r="C16" s="60" t="s">
        <v>22</v>
      </c>
      <c r="D16" s="25"/>
      <c r="E16" s="61">
        <v>2000</v>
      </c>
      <c r="F16" s="43" t="s">
        <v>9</v>
      </c>
      <c r="G16" s="25"/>
      <c r="J16" t="s">
        <v>46</v>
      </c>
      <c r="K16">
        <v>190545.8</v>
      </c>
      <c r="L16"/>
    </row>
    <row r="17" s="35" customFormat="1" customHeight="1" spans="1:12">
      <c r="A17" s="16"/>
      <c r="B17" s="17">
        <v>45860</v>
      </c>
      <c r="C17" s="60" t="s">
        <v>51</v>
      </c>
      <c r="D17" s="25"/>
      <c r="E17" s="61">
        <v>2200</v>
      </c>
      <c r="F17" s="43" t="s">
        <v>25</v>
      </c>
      <c r="G17" s="25"/>
      <c r="J17" t="s">
        <v>122</v>
      </c>
      <c r="K17">
        <v>30000</v>
      </c>
      <c r="L17"/>
    </row>
    <row r="18" s="35" customFormat="1" customHeight="1" spans="1:12">
      <c r="A18" s="16"/>
      <c r="B18" s="17">
        <v>45861</v>
      </c>
      <c r="C18" s="60" t="s">
        <v>138</v>
      </c>
      <c r="D18" s="25"/>
      <c r="E18" s="61">
        <v>100000</v>
      </c>
      <c r="F18" s="43" t="s">
        <v>9</v>
      </c>
      <c r="G18" s="25"/>
      <c r="J18" t="s">
        <v>44</v>
      </c>
      <c r="K18">
        <v>428200</v>
      </c>
      <c r="L18"/>
    </row>
    <row r="19" s="35" customFormat="1" customHeight="1" spans="1:12">
      <c r="A19" s="16"/>
      <c r="B19" s="17">
        <v>45863</v>
      </c>
      <c r="C19" s="60" t="s">
        <v>157</v>
      </c>
      <c r="D19" s="25"/>
      <c r="E19" s="61">
        <v>20081.73</v>
      </c>
      <c r="F19" s="43" t="s">
        <v>9</v>
      </c>
      <c r="G19" s="25" t="s">
        <v>11</v>
      </c>
      <c r="J19" t="s">
        <v>102</v>
      </c>
      <c r="K19">
        <v>15000</v>
      </c>
      <c r="L19"/>
    </row>
    <row r="20" s="35" customFormat="1" customHeight="1" spans="1:12">
      <c r="A20" s="16"/>
      <c r="B20" s="17">
        <v>45863</v>
      </c>
      <c r="C20" s="60" t="s">
        <v>156</v>
      </c>
      <c r="D20" s="25"/>
      <c r="E20" s="61">
        <v>20000</v>
      </c>
      <c r="F20" s="43" t="s">
        <v>25</v>
      </c>
      <c r="G20" s="25"/>
      <c r="J20" t="s">
        <v>154</v>
      </c>
      <c r="K20">
        <v>2979.54</v>
      </c>
    </row>
    <row r="21" s="35" customFormat="1" customHeight="1" spans="1:12">
      <c r="A21" s="16"/>
      <c r="B21" s="17">
        <v>45863</v>
      </c>
      <c r="C21" s="60" t="s">
        <v>20</v>
      </c>
      <c r="D21" s="25"/>
      <c r="E21" s="42">
        <v>71790</v>
      </c>
      <c r="F21" s="43" t="s">
        <v>9</v>
      </c>
      <c r="G21" s="25"/>
      <c r="J21" t="s">
        <v>22</v>
      </c>
      <c r="K21">
        <v>67000</v>
      </c>
    </row>
    <row r="22" s="35" customFormat="1" customHeight="1" spans="1:12">
      <c r="A22" s="16"/>
      <c r="B22" s="17">
        <v>45866</v>
      </c>
      <c r="C22" s="60" t="s">
        <v>143</v>
      </c>
      <c r="D22" s="25"/>
      <c r="E22" s="61">
        <v>200000</v>
      </c>
      <c r="F22" s="43" t="s">
        <v>25</v>
      </c>
      <c r="G22" s="25" t="s">
        <v>11</v>
      </c>
      <c r="J22" t="s">
        <v>155</v>
      </c>
      <c r="K22">
        <v>3505</v>
      </c>
    </row>
    <row r="23" s="35" customFormat="1" customHeight="1" spans="1:12">
      <c r="A23" s="16"/>
      <c r="B23" s="17">
        <v>45866</v>
      </c>
      <c r="C23" s="60" t="s">
        <v>45</v>
      </c>
      <c r="D23" s="25"/>
      <c r="E23" s="61">
        <v>13088.6</v>
      </c>
      <c r="F23" s="43" t="s">
        <v>9</v>
      </c>
      <c r="G23" s="25" t="s">
        <v>11</v>
      </c>
      <c r="J23" t="s">
        <v>143</v>
      </c>
      <c r="K23">
        <v>200000</v>
      </c>
    </row>
    <row r="24" s="35" customFormat="1" customHeight="1" spans="1:12">
      <c r="A24" s="16"/>
      <c r="B24" s="17">
        <v>45866</v>
      </c>
      <c r="C24" s="60" t="s">
        <v>45</v>
      </c>
      <c r="D24" s="25"/>
      <c r="E24" s="61">
        <v>2397.44</v>
      </c>
      <c r="F24" s="43" t="s">
        <v>9</v>
      </c>
      <c r="G24" s="25" t="s">
        <v>11</v>
      </c>
      <c r="J24" t="s">
        <v>158</v>
      </c>
      <c r="K24">
        <v>36309.24</v>
      </c>
    </row>
    <row r="25" s="35" customFormat="1" customHeight="1" spans="1:12">
      <c r="A25" s="16"/>
      <c r="B25" s="17">
        <v>45867</v>
      </c>
      <c r="C25" s="60" t="s">
        <v>140</v>
      </c>
      <c r="D25" s="25"/>
      <c r="E25" s="61">
        <v>100000</v>
      </c>
      <c r="F25" s="43" t="s">
        <v>9</v>
      </c>
      <c r="G25" s="25" t="s">
        <v>11</v>
      </c>
      <c r="J25" t="s">
        <v>20</v>
      </c>
      <c r="K25">
        <v>71790</v>
      </c>
    </row>
    <row r="26" s="35" customFormat="1" customHeight="1" spans="1:12">
      <c r="A26" s="16"/>
      <c r="B26" s="17">
        <v>45866</v>
      </c>
      <c r="C26" s="60" t="s">
        <v>148</v>
      </c>
      <c r="D26" s="25"/>
      <c r="E26" s="61">
        <v>5096.64</v>
      </c>
      <c r="F26" s="43" t="s">
        <v>28</v>
      </c>
      <c r="G26" s="25" t="s">
        <v>23</v>
      </c>
      <c r="J26" t="s">
        <v>113</v>
      </c>
      <c r="K26">
        <v>15600</v>
      </c>
    </row>
    <row r="27" s="35" customFormat="1" customHeight="1" spans="1:12">
      <c r="A27" s="16"/>
      <c r="B27" s="17">
        <v>45868</v>
      </c>
      <c r="C27" s="60" t="s">
        <v>150</v>
      </c>
      <c r="D27" s="25"/>
      <c r="E27" s="42">
        <v>22600</v>
      </c>
      <c r="F27" s="43" t="s">
        <v>25</v>
      </c>
      <c r="G27" s="25"/>
      <c r="J27" t="s">
        <v>157</v>
      </c>
      <c r="K27">
        <v>20081.73</v>
      </c>
    </row>
    <row r="28" s="35" customFormat="1" customHeight="1" spans="1:12">
      <c r="A28" s="16"/>
      <c r="B28" s="17">
        <v>45869</v>
      </c>
      <c r="C28" s="60" t="s">
        <v>153</v>
      </c>
      <c r="D28" s="25"/>
      <c r="E28" s="42">
        <v>263308.41</v>
      </c>
      <c r="F28" s="43" t="s">
        <v>25</v>
      </c>
      <c r="G28" s="25" t="s">
        <v>11</v>
      </c>
      <c r="J28" t="s">
        <v>140</v>
      </c>
      <c r="K28">
        <v>100000</v>
      </c>
    </row>
    <row r="29" s="35" customFormat="1" customHeight="1" spans="1:12">
      <c r="A29" s="16"/>
      <c r="B29" s="17">
        <v>45869</v>
      </c>
      <c r="C29" s="60" t="s">
        <v>153</v>
      </c>
      <c r="D29" s="25"/>
      <c r="E29" s="42">
        <v>160961.59</v>
      </c>
      <c r="F29" s="43" t="s">
        <v>25</v>
      </c>
      <c r="G29" s="25" t="s">
        <v>11</v>
      </c>
      <c r="J29" t="s">
        <v>134</v>
      </c>
      <c r="K29">
        <v>10000</v>
      </c>
    </row>
    <row r="30" s="35" customFormat="1" customHeight="1" spans="1:12">
      <c r="A30" s="16"/>
      <c r="B30" s="17">
        <v>45868</v>
      </c>
      <c r="C30" s="60" t="s">
        <v>46</v>
      </c>
      <c r="D30" s="25"/>
      <c r="E30" s="42">
        <v>281.99</v>
      </c>
      <c r="F30" s="43" t="s">
        <v>9</v>
      </c>
      <c r="G30" s="25"/>
      <c r="J30" t="s">
        <v>159</v>
      </c>
      <c r="K30">
        <v>2022498.49</v>
      </c>
    </row>
    <row r="31" s="35" customFormat="1" customHeight="1" spans="1:12">
      <c r="A31" s="16"/>
      <c r="B31" s="17">
        <v>45869</v>
      </c>
      <c r="C31" s="60" t="s">
        <v>46</v>
      </c>
      <c r="D31" s="25"/>
      <c r="E31" s="42">
        <v>3284.29</v>
      </c>
      <c r="F31" s="43" t="s">
        <v>9</v>
      </c>
      <c r="G31" s="25" t="s">
        <v>11</v>
      </c>
    </row>
    <row r="32" s="35" customFormat="1" customHeight="1" spans="1:12">
      <c r="A32" s="16"/>
      <c r="B32" s="17">
        <v>45869</v>
      </c>
      <c r="C32" s="60" t="s">
        <v>46</v>
      </c>
      <c r="D32" s="25"/>
      <c r="E32" s="42">
        <v>100000</v>
      </c>
      <c r="F32" s="43" t="s">
        <v>9</v>
      </c>
      <c r="G32" s="25" t="s">
        <v>11</v>
      </c>
    </row>
    <row r="33" s="35" customFormat="1" customHeight="1" spans="1:7">
      <c r="A33" s="16"/>
      <c r="B33" s="17">
        <v>45869</v>
      </c>
      <c r="C33" s="60" t="s">
        <v>46</v>
      </c>
      <c r="D33" s="25"/>
      <c r="E33" s="42">
        <v>2979.52</v>
      </c>
      <c r="F33" s="43" t="s">
        <v>9</v>
      </c>
      <c r="G33" s="25" t="s">
        <v>11</v>
      </c>
    </row>
    <row r="34" s="35" customFormat="1" customHeight="1" spans="1:7">
      <c r="A34" s="16"/>
      <c r="B34" s="17">
        <v>45868</v>
      </c>
      <c r="C34" s="60" t="s">
        <v>46</v>
      </c>
      <c r="D34" s="25"/>
      <c r="E34" s="42">
        <v>296.81</v>
      </c>
      <c r="F34" s="43" t="s">
        <v>48</v>
      </c>
      <c r="G34" s="25"/>
    </row>
    <row r="35" s="35" customFormat="1" customHeight="1" spans="1:7">
      <c r="A35" s="16"/>
      <c r="B35" s="17">
        <v>45869</v>
      </c>
      <c r="C35" s="60" t="s">
        <v>46</v>
      </c>
      <c r="D35" s="25"/>
      <c r="E35" s="42">
        <v>70940</v>
      </c>
      <c r="F35" s="43" t="s">
        <v>48</v>
      </c>
      <c r="G35" s="25" t="s">
        <v>11</v>
      </c>
    </row>
    <row r="36" s="35" customFormat="1" customHeight="1" spans="1:7">
      <c r="A36" s="16"/>
      <c r="B36" s="17">
        <v>45869</v>
      </c>
      <c r="C36" s="60" t="s">
        <v>46</v>
      </c>
      <c r="D36" s="25"/>
      <c r="E36" s="42">
        <v>12763.19</v>
      </c>
      <c r="F36" s="43" t="s">
        <v>48</v>
      </c>
      <c r="G36" s="25" t="s">
        <v>11</v>
      </c>
    </row>
    <row r="37" s="35" customFormat="1" customHeight="1" spans="1:7">
      <c r="A37" s="16"/>
      <c r="B37" s="17">
        <v>45869</v>
      </c>
      <c r="C37" s="60" t="s">
        <v>158</v>
      </c>
      <c r="D37" s="25"/>
      <c r="E37" s="42">
        <v>36309.24</v>
      </c>
      <c r="F37" s="43" t="s">
        <v>160</v>
      </c>
      <c r="G37" s="25"/>
    </row>
    <row r="38" s="35" customFormat="1" customHeight="1" spans="1:7">
      <c r="A38" s="16"/>
      <c r="B38" s="17">
        <v>45869</v>
      </c>
      <c r="C38" s="60" t="s">
        <v>42</v>
      </c>
      <c r="D38" s="25"/>
      <c r="E38" s="42">
        <v>10000</v>
      </c>
      <c r="F38" s="43" t="s">
        <v>9</v>
      </c>
      <c r="G38" s="25"/>
    </row>
    <row r="39" s="35" customFormat="1" customHeight="1" spans="1:7">
      <c r="A39" s="16"/>
      <c r="B39" s="17"/>
      <c r="C39" s="25"/>
      <c r="D39" s="25" t="s">
        <v>56</v>
      </c>
      <c r="E39" s="47">
        <f>SUM(E3:E38)</f>
        <v>2022498.49</v>
      </c>
      <c r="F39" s="43"/>
      <c r="G39" s="2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L39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workbookViewId="0">
      <pane ySplit="2" topLeftCell="A10" activePane="bottomLeft" state="frozen"/>
      <selection/>
      <selection pane="bottomLeft" activeCell="C62" sqref="C62"/>
    </sheetView>
  </sheetViews>
  <sheetFormatPr defaultColWidth="9" defaultRowHeight="13.5" outlineLevelCol="6"/>
  <cols>
    <col min="1" max="1" width="4.88333333333333" style="33" customWidth="1"/>
    <col min="2" max="2" width="10.3833333333333" style="36" customWidth="1"/>
    <col min="3" max="3" width="42.125" style="35" customWidth="1"/>
    <col min="4" max="4" width="7" style="35" customWidth="1"/>
    <col min="5" max="5" width="18.75" style="35" customWidth="1"/>
    <col min="6" max="6" width="14.6333333333333" style="35" customWidth="1"/>
    <col min="7" max="7" width="22.8833333333333" style="35" customWidth="1"/>
    <col min="8" max="16384" width="9" style="35"/>
  </cols>
  <sheetData>
    <row r="1" s="33" customFormat="1" ht="27" customHeight="1" spans="1:7">
      <c r="A1" s="37" t="s">
        <v>161</v>
      </c>
      <c r="B1" s="37"/>
      <c r="C1" s="37"/>
      <c r="D1" s="37"/>
      <c r="E1" s="37"/>
      <c r="F1" s="37"/>
      <c r="G1" s="37"/>
    </row>
    <row r="2" s="34" customFormat="1" ht="20.25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customHeight="1" spans="1:7">
      <c r="A3" s="16">
        <v>1</v>
      </c>
      <c r="B3" s="17">
        <v>45870</v>
      </c>
      <c r="C3" s="25" t="s">
        <v>119</v>
      </c>
      <c r="D3" s="25"/>
      <c r="E3" s="42">
        <v>5100</v>
      </c>
      <c r="F3" s="43" t="s">
        <v>162</v>
      </c>
      <c r="G3" s="25" t="s">
        <v>11</v>
      </c>
    </row>
    <row r="4" s="35" customFormat="1" customHeight="1" spans="1:7">
      <c r="A4" s="16">
        <v>2</v>
      </c>
      <c r="B4" s="17">
        <v>45870</v>
      </c>
      <c r="C4" s="25" t="s">
        <v>119</v>
      </c>
      <c r="D4" s="25"/>
      <c r="E4" s="42">
        <v>5200</v>
      </c>
      <c r="F4" s="43" t="s">
        <v>162</v>
      </c>
      <c r="G4" s="25" t="s">
        <v>11</v>
      </c>
    </row>
    <row r="5" s="35" customFormat="1" customHeight="1" spans="1:7">
      <c r="A5" s="16">
        <v>3</v>
      </c>
      <c r="B5" s="17">
        <v>45870</v>
      </c>
      <c r="C5" s="25" t="s">
        <v>119</v>
      </c>
      <c r="D5" s="25"/>
      <c r="E5" s="42">
        <v>535</v>
      </c>
      <c r="F5" s="43" t="s">
        <v>162</v>
      </c>
      <c r="G5" s="25" t="s">
        <v>11</v>
      </c>
    </row>
    <row r="6" s="35" customFormat="1" customHeight="1" spans="1:7">
      <c r="A6" s="16">
        <v>4</v>
      </c>
      <c r="B6" s="17">
        <v>45870</v>
      </c>
      <c r="C6" s="52" t="s">
        <v>163</v>
      </c>
      <c r="D6" s="25"/>
      <c r="E6" s="42">
        <v>25000</v>
      </c>
      <c r="F6" s="43" t="s">
        <v>162</v>
      </c>
      <c r="G6" s="25"/>
    </row>
    <row r="7" s="35" customFormat="1" customHeight="1" spans="1:7">
      <c r="A7" s="16">
        <v>5</v>
      </c>
      <c r="B7" s="17">
        <v>45873</v>
      </c>
      <c r="C7" s="25" t="s">
        <v>119</v>
      </c>
      <c r="D7" s="18"/>
      <c r="E7" s="42">
        <v>10000</v>
      </c>
      <c r="F7" s="43" t="s">
        <v>162</v>
      </c>
      <c r="G7" s="25" t="s">
        <v>11</v>
      </c>
    </row>
    <row r="8" s="35" customFormat="1" customHeight="1" spans="1:7">
      <c r="A8" s="16">
        <v>6</v>
      </c>
      <c r="B8" s="17">
        <v>45875</v>
      </c>
      <c r="C8" s="25" t="s">
        <v>164</v>
      </c>
      <c r="D8" s="18"/>
      <c r="E8" s="42">
        <v>21150</v>
      </c>
      <c r="F8" s="43" t="s">
        <v>9</v>
      </c>
      <c r="G8" s="25" t="s">
        <v>11</v>
      </c>
    </row>
    <row r="9" s="35" customFormat="1" customHeight="1" spans="1:7">
      <c r="A9" s="16">
        <v>7</v>
      </c>
      <c r="B9" s="17">
        <v>45876</v>
      </c>
      <c r="C9" s="25" t="s">
        <v>165</v>
      </c>
      <c r="D9" s="18"/>
      <c r="E9" s="42">
        <v>10000</v>
      </c>
      <c r="F9" s="43" t="s">
        <v>9</v>
      </c>
      <c r="G9" s="25" t="s">
        <v>11</v>
      </c>
    </row>
    <row r="10" s="35" customFormat="1" customHeight="1" spans="1:7">
      <c r="A10" s="16">
        <v>8</v>
      </c>
      <c r="B10" s="17">
        <v>45875</v>
      </c>
      <c r="C10" s="25" t="s">
        <v>18</v>
      </c>
      <c r="D10" s="18"/>
      <c r="E10" s="42">
        <v>66300</v>
      </c>
      <c r="F10" s="43" t="s">
        <v>19</v>
      </c>
      <c r="G10" s="25"/>
    </row>
    <row r="11" s="35" customFormat="1" customHeight="1" spans="1:7">
      <c r="A11" s="16">
        <v>9</v>
      </c>
      <c r="B11" s="17">
        <v>45877</v>
      </c>
      <c r="C11" s="25" t="s">
        <v>166</v>
      </c>
      <c r="D11" s="18"/>
      <c r="E11" s="42">
        <v>7000</v>
      </c>
      <c r="F11" s="25" t="s">
        <v>25</v>
      </c>
      <c r="G11" s="25"/>
    </row>
    <row r="12" s="35" customFormat="1" customHeight="1" spans="1:7">
      <c r="A12" s="16">
        <v>10</v>
      </c>
      <c r="B12" s="17">
        <v>45877</v>
      </c>
      <c r="C12" s="25" t="s">
        <v>166</v>
      </c>
      <c r="D12" s="18"/>
      <c r="E12" s="42">
        <v>7000</v>
      </c>
      <c r="F12" s="25" t="s">
        <v>25</v>
      </c>
      <c r="G12" s="25"/>
    </row>
    <row r="13" s="35" customFormat="1" customHeight="1" spans="1:7">
      <c r="A13" s="16">
        <v>11</v>
      </c>
      <c r="B13" s="17">
        <v>45880</v>
      </c>
      <c r="C13" s="25" t="s">
        <v>167</v>
      </c>
      <c r="D13" s="18"/>
      <c r="E13" s="42">
        <v>3500</v>
      </c>
      <c r="F13" s="25" t="s">
        <v>25</v>
      </c>
      <c r="G13" s="25" t="s">
        <v>23</v>
      </c>
    </row>
    <row r="14" s="35" customFormat="1" customHeight="1" spans="1:7">
      <c r="A14" s="16">
        <v>12</v>
      </c>
      <c r="B14" s="17">
        <v>45877</v>
      </c>
      <c r="C14" s="25" t="s">
        <v>168</v>
      </c>
      <c r="D14" s="18"/>
      <c r="E14" s="42">
        <v>4250</v>
      </c>
      <c r="F14" s="25" t="s">
        <v>9</v>
      </c>
      <c r="G14" s="25" t="s">
        <v>23</v>
      </c>
    </row>
    <row r="15" s="35" customFormat="1" customHeight="1" spans="1:7">
      <c r="A15" s="16">
        <v>13</v>
      </c>
      <c r="B15" s="17">
        <v>45881</v>
      </c>
      <c r="C15" s="25" t="s">
        <v>169</v>
      </c>
      <c r="D15" s="18"/>
      <c r="E15" s="42">
        <v>17414.18</v>
      </c>
      <c r="F15" s="25" t="s">
        <v>9</v>
      </c>
      <c r="G15" s="25"/>
    </row>
    <row r="16" s="35" customFormat="1" customHeight="1" spans="1:7">
      <c r="A16" s="16">
        <v>14</v>
      </c>
      <c r="B16" s="17">
        <v>45882</v>
      </c>
      <c r="C16" s="25" t="s">
        <v>170</v>
      </c>
      <c r="D16" s="18"/>
      <c r="E16" s="42">
        <v>2900</v>
      </c>
      <c r="F16" s="25" t="s">
        <v>25</v>
      </c>
      <c r="G16" s="25" t="s">
        <v>23</v>
      </c>
    </row>
    <row r="17" s="35" customFormat="1" customHeight="1" spans="1:7">
      <c r="A17" s="16">
        <v>15</v>
      </c>
      <c r="B17" s="17">
        <v>45882</v>
      </c>
      <c r="C17" s="58" t="s">
        <v>134</v>
      </c>
      <c r="D17" s="18"/>
      <c r="E17" s="42">
        <v>19400</v>
      </c>
      <c r="F17" s="25" t="s">
        <v>25</v>
      </c>
      <c r="G17" s="25" t="s">
        <v>11</v>
      </c>
    </row>
    <row r="18" s="35" customFormat="1" customHeight="1" spans="1:7">
      <c r="A18" s="16">
        <v>16</v>
      </c>
      <c r="B18" s="17">
        <v>45884</v>
      </c>
      <c r="C18" s="25" t="s">
        <v>167</v>
      </c>
      <c r="D18" s="18"/>
      <c r="E18" s="42">
        <v>1130</v>
      </c>
      <c r="F18" s="25" t="s">
        <v>25</v>
      </c>
      <c r="G18" s="25" t="s">
        <v>23</v>
      </c>
    </row>
    <row r="19" s="35" customFormat="1" customHeight="1" spans="1:7">
      <c r="A19" s="16">
        <v>17</v>
      </c>
      <c r="B19" s="17">
        <v>45884</v>
      </c>
      <c r="C19" s="25" t="s">
        <v>167</v>
      </c>
      <c r="D19" s="18"/>
      <c r="E19" s="42">
        <v>22200</v>
      </c>
      <c r="F19" s="25" t="s">
        <v>9</v>
      </c>
      <c r="G19" s="25" t="s">
        <v>23</v>
      </c>
    </row>
    <row r="20" s="35" customFormat="1" customHeight="1" spans="1:7">
      <c r="A20" s="16">
        <v>18</v>
      </c>
      <c r="B20" s="17">
        <v>45891</v>
      </c>
      <c r="C20" s="25" t="s">
        <v>138</v>
      </c>
      <c r="D20" s="18"/>
      <c r="E20" s="42">
        <v>12000</v>
      </c>
      <c r="F20" s="25" t="s">
        <v>9</v>
      </c>
      <c r="G20" s="25"/>
    </row>
    <row r="21" s="35" customFormat="1" customHeight="1" spans="1:7">
      <c r="A21" s="16">
        <v>19</v>
      </c>
      <c r="B21" s="17">
        <v>45891</v>
      </c>
      <c r="C21" s="25" t="s">
        <v>31</v>
      </c>
      <c r="D21" s="18"/>
      <c r="E21" s="42">
        <v>20345.86</v>
      </c>
      <c r="F21" s="25" t="s">
        <v>9</v>
      </c>
      <c r="G21" s="25"/>
    </row>
    <row r="22" s="35" customFormat="1" customHeight="1" spans="1:7">
      <c r="A22" s="16">
        <v>20</v>
      </c>
      <c r="B22" s="17">
        <v>45893</v>
      </c>
      <c r="C22" s="59" t="s">
        <v>45</v>
      </c>
      <c r="D22" s="18"/>
      <c r="E22" s="42">
        <v>10800</v>
      </c>
      <c r="F22" s="25" t="s">
        <v>9</v>
      </c>
      <c r="G22" s="25" t="s">
        <v>11</v>
      </c>
    </row>
    <row r="23" s="35" customFormat="1" customHeight="1" spans="1:7">
      <c r="A23" s="16">
        <v>21</v>
      </c>
      <c r="B23" s="17">
        <v>45894</v>
      </c>
      <c r="C23" s="25" t="s">
        <v>89</v>
      </c>
      <c r="D23" s="18"/>
      <c r="E23" s="42">
        <v>8700</v>
      </c>
      <c r="F23" s="25" t="s">
        <v>25</v>
      </c>
      <c r="G23" s="25" t="s">
        <v>11</v>
      </c>
    </row>
    <row r="24" s="35" customFormat="1" customHeight="1" spans="1:7">
      <c r="A24" s="16">
        <v>22</v>
      </c>
      <c r="B24" s="17">
        <v>45895</v>
      </c>
      <c r="C24" s="25" t="s">
        <v>171</v>
      </c>
      <c r="D24" s="18"/>
      <c r="E24" s="42">
        <v>4148.64</v>
      </c>
      <c r="F24" s="25" t="s">
        <v>9</v>
      </c>
      <c r="G24" s="25"/>
    </row>
    <row r="25" s="35" customFormat="1" customHeight="1" spans="1:7">
      <c r="A25" s="16">
        <v>23</v>
      </c>
      <c r="B25" s="17">
        <v>45896</v>
      </c>
      <c r="C25" s="25" t="s">
        <v>172</v>
      </c>
      <c r="D25" s="18"/>
      <c r="E25" s="42">
        <v>50000</v>
      </c>
      <c r="F25" s="25" t="s">
        <v>55</v>
      </c>
      <c r="G25" s="25" t="s">
        <v>11</v>
      </c>
    </row>
    <row r="26" s="35" customFormat="1" customHeight="1" spans="1:7">
      <c r="A26" s="16">
        <v>24</v>
      </c>
      <c r="B26" s="17">
        <v>45896</v>
      </c>
      <c r="C26" s="25" t="s">
        <v>40</v>
      </c>
      <c r="D26" s="18"/>
      <c r="E26" s="42">
        <v>127.3</v>
      </c>
      <c r="F26" s="25" t="s">
        <v>25</v>
      </c>
      <c r="G26" s="25"/>
    </row>
    <row r="27" s="35" customFormat="1" customHeight="1" spans="1:7">
      <c r="A27" s="16">
        <v>25</v>
      </c>
      <c r="B27" s="17">
        <v>45896</v>
      </c>
      <c r="C27" s="25" t="s">
        <v>40</v>
      </c>
      <c r="D27" s="18"/>
      <c r="E27" s="42">
        <v>18533.7</v>
      </c>
      <c r="F27" s="25" t="s">
        <v>25</v>
      </c>
      <c r="G27" s="25" t="s">
        <v>11</v>
      </c>
    </row>
    <row r="28" s="35" customFormat="1" customHeight="1" spans="1:7">
      <c r="A28" s="16">
        <v>26</v>
      </c>
      <c r="B28" s="17">
        <v>45897</v>
      </c>
      <c r="C28" s="25" t="s">
        <v>51</v>
      </c>
      <c r="D28" s="18"/>
      <c r="E28" s="42">
        <v>25300</v>
      </c>
      <c r="F28" s="25" t="s">
        <v>25</v>
      </c>
      <c r="G28" s="25" t="s">
        <v>11</v>
      </c>
    </row>
    <row r="29" s="35" customFormat="1" customHeight="1" spans="1:7">
      <c r="A29" s="16">
        <v>27</v>
      </c>
      <c r="B29" s="17">
        <v>45897</v>
      </c>
      <c r="C29" s="25" t="s">
        <v>27</v>
      </c>
      <c r="D29" s="18"/>
      <c r="E29" s="42">
        <v>10000</v>
      </c>
      <c r="F29" s="25" t="s">
        <v>28</v>
      </c>
      <c r="G29" s="25" t="s">
        <v>11</v>
      </c>
    </row>
    <row r="30" s="35" customFormat="1" customHeight="1" spans="1:7">
      <c r="A30" s="16">
        <v>28</v>
      </c>
      <c r="B30" s="17">
        <v>45897</v>
      </c>
      <c r="C30" s="25" t="s">
        <v>173</v>
      </c>
      <c r="D30" s="18"/>
      <c r="E30" s="42">
        <v>3400</v>
      </c>
      <c r="F30" s="25" t="s">
        <v>25</v>
      </c>
      <c r="G30" s="25" t="s">
        <v>23</v>
      </c>
    </row>
    <row r="31" s="35" customFormat="1" customHeight="1" spans="1:7">
      <c r="A31" s="16">
        <v>29</v>
      </c>
      <c r="B31" s="17">
        <v>45898</v>
      </c>
      <c r="C31" s="25" t="s">
        <v>144</v>
      </c>
      <c r="D31" s="18"/>
      <c r="E31" s="42">
        <v>47172.87</v>
      </c>
      <c r="F31" s="25" t="s">
        <v>9</v>
      </c>
      <c r="G31" s="25" t="s">
        <v>11</v>
      </c>
    </row>
    <row r="32" s="35" customFormat="1" customHeight="1" spans="1:7">
      <c r="A32" s="16">
        <v>30</v>
      </c>
      <c r="B32" s="17">
        <v>45898</v>
      </c>
      <c r="C32" s="25" t="s">
        <v>79</v>
      </c>
      <c r="D32" s="18"/>
      <c r="E32" s="42">
        <v>7412</v>
      </c>
      <c r="F32" s="25" t="s">
        <v>9</v>
      </c>
      <c r="G32" s="25" t="s">
        <v>11</v>
      </c>
    </row>
    <row r="33" s="35" customFormat="1" customHeight="1" spans="1:7">
      <c r="A33" s="16">
        <v>31</v>
      </c>
      <c r="B33" s="17">
        <v>45898</v>
      </c>
      <c r="C33" s="25" t="s">
        <v>79</v>
      </c>
      <c r="D33" s="18"/>
      <c r="E33" s="42">
        <v>9068.95</v>
      </c>
      <c r="F33" s="25" t="s">
        <v>55</v>
      </c>
      <c r="G33" s="25" t="s">
        <v>11</v>
      </c>
    </row>
    <row r="34" s="35" customFormat="1" customHeight="1" spans="1:7">
      <c r="A34" s="16">
        <v>32</v>
      </c>
      <c r="B34" s="17">
        <v>45898</v>
      </c>
      <c r="C34" s="25" t="s">
        <v>79</v>
      </c>
      <c r="D34" s="18"/>
      <c r="E34" s="42">
        <v>5831.05</v>
      </c>
      <c r="F34" s="25" t="s">
        <v>55</v>
      </c>
      <c r="G34" s="25" t="s">
        <v>11</v>
      </c>
    </row>
    <row r="35" s="35" customFormat="1" customHeight="1" spans="1:7">
      <c r="A35" s="16">
        <v>33</v>
      </c>
      <c r="B35" s="17">
        <v>45898</v>
      </c>
      <c r="C35" s="25" t="s">
        <v>46</v>
      </c>
      <c r="D35" s="18"/>
      <c r="E35" s="42">
        <v>80000</v>
      </c>
      <c r="F35" s="25" t="s">
        <v>48</v>
      </c>
      <c r="G35" s="25" t="s">
        <v>11</v>
      </c>
    </row>
    <row r="36" s="35" customFormat="1" customHeight="1" spans="1:7">
      <c r="A36" s="16">
        <v>34</v>
      </c>
      <c r="B36" s="17">
        <v>45898</v>
      </c>
      <c r="C36" s="25" t="s">
        <v>46</v>
      </c>
      <c r="D36" s="18"/>
      <c r="E36" s="42">
        <v>30000</v>
      </c>
      <c r="F36" s="25" t="s">
        <v>48</v>
      </c>
      <c r="G36" s="25" t="s">
        <v>11</v>
      </c>
    </row>
    <row r="37" s="35" customFormat="1" customHeight="1" spans="1:7">
      <c r="A37" s="16">
        <v>35</v>
      </c>
      <c r="B37" s="17">
        <v>45898</v>
      </c>
      <c r="C37" s="25" t="s">
        <v>144</v>
      </c>
      <c r="D37" s="18"/>
      <c r="E37" s="42">
        <v>20216.94</v>
      </c>
      <c r="F37" s="25" t="s">
        <v>9</v>
      </c>
      <c r="G37" s="25"/>
    </row>
    <row r="38" s="35" customFormat="1" customHeight="1" spans="1:7">
      <c r="A38" s="16">
        <v>36</v>
      </c>
      <c r="B38" s="17">
        <v>45898</v>
      </c>
      <c r="C38" s="25" t="s">
        <v>174</v>
      </c>
      <c r="D38" s="18"/>
      <c r="E38" s="42">
        <v>6250</v>
      </c>
      <c r="F38" s="25" t="s">
        <v>9</v>
      </c>
      <c r="G38" s="25"/>
    </row>
    <row r="39" s="35" customFormat="1" customHeight="1" spans="1:7">
      <c r="A39" s="16">
        <v>37</v>
      </c>
      <c r="B39" s="17">
        <v>45898</v>
      </c>
      <c r="C39" s="25" t="s">
        <v>175</v>
      </c>
      <c r="D39" s="18"/>
      <c r="E39" s="42">
        <v>195300</v>
      </c>
      <c r="F39" s="25" t="s">
        <v>9</v>
      </c>
      <c r="G39" s="25"/>
    </row>
    <row r="40" s="35" customFormat="1" customHeight="1" spans="1:7">
      <c r="A40" s="16">
        <v>38</v>
      </c>
      <c r="B40" s="17">
        <v>45898</v>
      </c>
      <c r="C40" s="25" t="s">
        <v>46</v>
      </c>
      <c r="D40" s="18"/>
      <c r="E40" s="42">
        <v>72800</v>
      </c>
      <c r="F40" s="25" t="s">
        <v>9</v>
      </c>
      <c r="G40" s="25" t="s">
        <v>11</v>
      </c>
    </row>
    <row r="41" s="35" customFormat="1" customHeight="1" spans="1:7">
      <c r="A41" s="16">
        <v>39</v>
      </c>
      <c r="B41" s="17">
        <v>45898</v>
      </c>
      <c r="C41" s="25" t="s">
        <v>46</v>
      </c>
      <c r="D41" s="18"/>
      <c r="E41" s="42">
        <v>76667.5</v>
      </c>
      <c r="F41" s="25" t="s">
        <v>9</v>
      </c>
      <c r="G41" s="25" t="s">
        <v>11</v>
      </c>
    </row>
    <row r="42" s="35" customFormat="1" customHeight="1" spans="1:7">
      <c r="A42" s="16">
        <v>40</v>
      </c>
      <c r="B42" s="17">
        <v>45898</v>
      </c>
      <c r="C42" s="25" t="s">
        <v>46</v>
      </c>
      <c r="D42" s="18"/>
      <c r="E42" s="42">
        <v>117131.61</v>
      </c>
      <c r="F42" s="25" t="s">
        <v>9</v>
      </c>
      <c r="G42" s="25" t="s">
        <v>11</v>
      </c>
    </row>
    <row r="43" s="35" customFormat="1" customHeight="1" spans="1:7">
      <c r="A43" s="16">
        <v>41</v>
      </c>
      <c r="B43" s="17">
        <v>45898</v>
      </c>
      <c r="C43" s="25" t="s">
        <v>46</v>
      </c>
      <c r="D43" s="18"/>
      <c r="E43" s="42">
        <v>403.79</v>
      </c>
      <c r="F43" s="25" t="s">
        <v>9</v>
      </c>
      <c r="G43" s="25"/>
    </row>
    <row r="44" s="35" customFormat="1" customHeight="1" spans="1:7">
      <c r="A44" s="16">
        <v>42</v>
      </c>
      <c r="B44" s="17">
        <v>45898</v>
      </c>
      <c r="C44" s="25" t="s">
        <v>176</v>
      </c>
      <c r="D44" s="18"/>
      <c r="E44" s="42">
        <v>38210</v>
      </c>
      <c r="F44" s="25" t="s">
        <v>9</v>
      </c>
      <c r="G44" s="25"/>
    </row>
    <row r="45" s="35" customFormat="1" customHeight="1" spans="1:7">
      <c r="A45" s="16">
        <v>43</v>
      </c>
      <c r="B45" s="17">
        <v>45900</v>
      </c>
      <c r="C45" s="25" t="s">
        <v>98</v>
      </c>
      <c r="D45" s="18"/>
      <c r="E45" s="42">
        <v>30000</v>
      </c>
      <c r="F45" s="25" t="s">
        <v>9</v>
      </c>
      <c r="G45" s="25" t="s">
        <v>11</v>
      </c>
    </row>
    <row r="46" s="35" customFormat="1" customHeight="1" spans="1:7">
      <c r="A46" s="16">
        <v>44</v>
      </c>
      <c r="B46" s="17">
        <v>45900</v>
      </c>
      <c r="C46" s="25" t="s">
        <v>177</v>
      </c>
      <c r="D46" s="18"/>
      <c r="E46" s="42">
        <v>10000</v>
      </c>
      <c r="F46" s="25" t="s">
        <v>9</v>
      </c>
      <c r="G46" s="25"/>
    </row>
    <row r="47" s="35" customFormat="1" customHeight="1" spans="1:7">
      <c r="A47" s="16">
        <v>45</v>
      </c>
      <c r="B47" s="17">
        <v>45898</v>
      </c>
      <c r="C47" s="25" t="s">
        <v>46</v>
      </c>
      <c r="D47" s="18"/>
      <c r="E47" s="42">
        <v>150000</v>
      </c>
      <c r="F47" s="25" t="s">
        <v>178</v>
      </c>
      <c r="G47" s="25"/>
    </row>
    <row r="48" s="35" customFormat="1" customHeight="1" spans="1:7">
      <c r="A48" s="16"/>
      <c r="B48" s="17"/>
      <c r="C48" s="25"/>
      <c r="D48" s="18" t="s">
        <v>56</v>
      </c>
      <c r="E48" s="47">
        <f>SUM(E3:E47)</f>
        <v>1287899.39</v>
      </c>
      <c r="F48" s="25"/>
      <c r="G48" s="25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topLeftCell="A31" workbookViewId="0">
      <selection activeCell="C43" sqref="C43"/>
    </sheetView>
  </sheetViews>
  <sheetFormatPr defaultColWidth="9" defaultRowHeight="13.5" outlineLevelCol="6"/>
  <cols>
    <col min="1" max="1" width="4.88333333333333" style="33" customWidth="1"/>
    <col min="2" max="2" width="10.3833333333333" style="36" customWidth="1"/>
    <col min="3" max="3" width="55.625" style="35" customWidth="1"/>
    <col min="4" max="4" width="7" style="35" customWidth="1"/>
    <col min="5" max="5" width="17.8833333333333" style="35" customWidth="1"/>
    <col min="6" max="6" width="15.75" style="35" customWidth="1"/>
    <col min="7" max="7" width="25" style="35" customWidth="1"/>
    <col min="8" max="9" width="10.375" style="35"/>
    <col min="10" max="16384" width="9" style="35"/>
  </cols>
  <sheetData>
    <row r="1" s="33" customFormat="1" ht="27" customHeight="1" spans="1:7">
      <c r="A1" s="37" t="s">
        <v>179</v>
      </c>
      <c r="B1" s="37"/>
      <c r="C1" s="37"/>
      <c r="D1" s="37"/>
      <c r="E1" s="37"/>
      <c r="F1" s="37"/>
      <c r="G1" s="37"/>
    </row>
    <row r="2" s="34" customFormat="1" ht="20.25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ht="22" customHeight="1" spans="1:7">
      <c r="A3" s="16">
        <v>1</v>
      </c>
      <c r="B3" s="17">
        <v>45901</v>
      </c>
      <c r="C3" s="51" t="s">
        <v>180</v>
      </c>
      <c r="D3" s="25"/>
      <c r="E3" s="42">
        <v>18400</v>
      </c>
      <c r="F3" s="43" t="s">
        <v>9</v>
      </c>
      <c r="G3" s="25" t="s">
        <v>181</v>
      </c>
    </row>
    <row r="4" s="35" customFormat="1" ht="22" customHeight="1" spans="1:7">
      <c r="A4" s="16">
        <v>2</v>
      </c>
      <c r="B4" s="17">
        <v>45903</v>
      </c>
      <c r="C4" s="51" t="s">
        <v>164</v>
      </c>
      <c r="D4" s="25"/>
      <c r="E4" s="42">
        <v>4500</v>
      </c>
      <c r="F4" s="43" t="s">
        <v>9</v>
      </c>
      <c r="G4" s="25" t="s">
        <v>11</v>
      </c>
    </row>
    <row r="5" s="35" customFormat="1" ht="22" customHeight="1" spans="1:7">
      <c r="A5" s="16">
        <v>3</v>
      </c>
      <c r="B5" s="17">
        <v>45905</v>
      </c>
      <c r="C5" s="25" t="s">
        <v>102</v>
      </c>
      <c r="D5" s="25"/>
      <c r="E5" s="42">
        <v>17000</v>
      </c>
      <c r="F5" s="52" t="s">
        <v>182</v>
      </c>
      <c r="G5" s="25" t="s">
        <v>11</v>
      </c>
    </row>
    <row r="6" s="35" customFormat="1" ht="22" customHeight="1" spans="1:7">
      <c r="A6" s="16">
        <v>4</v>
      </c>
      <c r="B6" s="17">
        <v>45904</v>
      </c>
      <c r="C6" s="25" t="s">
        <v>110</v>
      </c>
      <c r="D6" s="25"/>
      <c r="E6" s="42">
        <v>20340</v>
      </c>
      <c r="F6" s="43" t="s">
        <v>19</v>
      </c>
      <c r="G6" s="25"/>
    </row>
    <row r="7" s="35" customFormat="1" ht="22" customHeight="1" spans="1:7">
      <c r="A7" s="16">
        <v>5</v>
      </c>
      <c r="B7" s="17">
        <v>45905</v>
      </c>
      <c r="C7" s="25" t="s">
        <v>183</v>
      </c>
      <c r="D7" s="43"/>
      <c r="E7" s="42">
        <v>11100</v>
      </c>
      <c r="F7" s="43" t="s">
        <v>28</v>
      </c>
      <c r="G7" s="43" t="s">
        <v>23</v>
      </c>
    </row>
    <row r="8" s="35" customFormat="1" ht="65" customHeight="1" spans="1:7">
      <c r="A8" s="16">
        <v>6</v>
      </c>
      <c r="B8" s="17">
        <v>45908</v>
      </c>
      <c r="C8" s="43" t="s">
        <v>184</v>
      </c>
      <c r="D8" s="43"/>
      <c r="E8" s="42">
        <v>120000</v>
      </c>
      <c r="F8" s="43" t="s">
        <v>9</v>
      </c>
      <c r="G8" s="53" t="s">
        <v>185</v>
      </c>
    </row>
    <row r="9" s="35" customFormat="1" ht="20" customHeight="1" spans="1:7">
      <c r="A9" s="16">
        <v>7</v>
      </c>
      <c r="B9" s="17">
        <v>45909</v>
      </c>
      <c r="C9" s="43" t="s">
        <v>186</v>
      </c>
      <c r="D9" s="43"/>
      <c r="E9" s="42">
        <v>25800</v>
      </c>
      <c r="F9" s="43" t="s">
        <v>55</v>
      </c>
      <c r="G9" s="25"/>
    </row>
    <row r="10" s="35" customFormat="1" ht="20" customHeight="1" spans="1:7">
      <c r="A10" s="16">
        <v>8</v>
      </c>
      <c r="B10" s="17">
        <v>45911</v>
      </c>
      <c r="C10" s="43" t="s">
        <v>187</v>
      </c>
      <c r="D10" s="43"/>
      <c r="E10" s="42">
        <v>9711.95</v>
      </c>
      <c r="F10" s="43" t="s">
        <v>9</v>
      </c>
      <c r="G10" s="25" t="s">
        <v>11</v>
      </c>
    </row>
    <row r="11" s="35" customFormat="1" ht="20" customHeight="1" spans="1:7">
      <c r="A11" s="16">
        <v>9</v>
      </c>
      <c r="B11" s="17">
        <v>45912</v>
      </c>
      <c r="C11" s="43" t="s">
        <v>188</v>
      </c>
      <c r="D11" s="43"/>
      <c r="E11" s="42">
        <v>15875.37</v>
      </c>
      <c r="F11" s="43" t="s">
        <v>9</v>
      </c>
      <c r="G11" s="25"/>
    </row>
    <row r="12" s="35" customFormat="1" ht="20" customHeight="1" spans="1:7">
      <c r="A12" s="16">
        <v>10</v>
      </c>
      <c r="B12" s="17">
        <v>45912</v>
      </c>
      <c r="C12" s="43" t="s">
        <v>189</v>
      </c>
      <c r="D12" s="43"/>
      <c r="E12" s="42">
        <v>32172.5</v>
      </c>
      <c r="F12" s="43" t="s">
        <v>9</v>
      </c>
      <c r="G12" s="25"/>
    </row>
    <row r="13" s="35" customFormat="1" ht="20" customHeight="1" spans="1:7">
      <c r="A13" s="16">
        <v>11</v>
      </c>
      <c r="B13" s="17">
        <v>45915</v>
      </c>
      <c r="C13" s="43" t="s">
        <v>189</v>
      </c>
      <c r="D13" s="43"/>
      <c r="E13" s="42">
        <v>4255</v>
      </c>
      <c r="F13" s="43" t="s">
        <v>9</v>
      </c>
      <c r="G13" s="25" t="s">
        <v>11</v>
      </c>
    </row>
    <row r="14" s="35" customFormat="1" ht="20" customHeight="1" spans="1:7">
      <c r="A14" s="16">
        <v>12</v>
      </c>
      <c r="B14" s="17">
        <v>45915</v>
      </c>
      <c r="C14" s="43" t="s">
        <v>189</v>
      </c>
      <c r="D14" s="43"/>
      <c r="E14" s="42">
        <v>29970</v>
      </c>
      <c r="F14" s="43" t="s">
        <v>9</v>
      </c>
      <c r="G14" s="25" t="s">
        <v>11</v>
      </c>
    </row>
    <row r="15" s="35" customFormat="1" ht="20" customHeight="1" spans="1:7">
      <c r="A15" s="16">
        <v>13</v>
      </c>
      <c r="B15" s="17">
        <v>45915</v>
      </c>
      <c r="C15" s="43" t="s">
        <v>134</v>
      </c>
      <c r="D15" s="43"/>
      <c r="E15" s="42">
        <v>17292</v>
      </c>
      <c r="F15" s="43" t="s">
        <v>182</v>
      </c>
      <c r="G15" s="25" t="s">
        <v>11</v>
      </c>
    </row>
    <row r="16" s="35" customFormat="1" ht="20" customHeight="1" spans="1:7">
      <c r="A16" s="16">
        <v>14</v>
      </c>
      <c r="B16" s="17">
        <v>45915</v>
      </c>
      <c r="C16" s="43" t="s">
        <v>190</v>
      </c>
      <c r="D16" s="43"/>
      <c r="E16" s="42">
        <v>30875.51</v>
      </c>
      <c r="F16" s="43" t="s">
        <v>9</v>
      </c>
      <c r="G16" s="25"/>
    </row>
    <row r="17" s="35" customFormat="1" ht="20" customHeight="1" spans="1:7">
      <c r="A17" s="16">
        <v>15</v>
      </c>
      <c r="B17" s="17">
        <v>45915</v>
      </c>
      <c r="C17" s="43" t="s">
        <v>191</v>
      </c>
      <c r="D17" s="43"/>
      <c r="E17" s="42">
        <v>19500</v>
      </c>
      <c r="F17" s="43" t="s">
        <v>13</v>
      </c>
      <c r="G17" s="25"/>
    </row>
    <row r="18" s="35" customFormat="1" ht="20" customHeight="1" spans="1:7">
      <c r="A18" s="16">
        <v>16</v>
      </c>
      <c r="B18" s="17">
        <v>45916</v>
      </c>
      <c r="C18" s="43" t="s">
        <v>192</v>
      </c>
      <c r="D18" s="43"/>
      <c r="E18" s="42">
        <v>9500</v>
      </c>
      <c r="F18" s="43" t="s">
        <v>55</v>
      </c>
      <c r="G18" s="25" t="s">
        <v>11</v>
      </c>
    </row>
    <row r="19" s="35" customFormat="1" ht="20" customHeight="1" spans="1:7">
      <c r="A19" s="16">
        <v>17</v>
      </c>
      <c r="B19" s="17">
        <v>45917</v>
      </c>
      <c r="C19" s="43" t="s">
        <v>176</v>
      </c>
      <c r="D19" s="43"/>
      <c r="E19" s="42">
        <v>27939.5</v>
      </c>
      <c r="F19" s="43" t="s">
        <v>9</v>
      </c>
      <c r="G19" s="25"/>
    </row>
    <row r="20" s="35" customFormat="1" ht="20" customHeight="1" spans="1:7">
      <c r="A20" s="16">
        <v>18</v>
      </c>
      <c r="B20" s="17">
        <v>45917</v>
      </c>
      <c r="C20" s="43" t="s">
        <v>38</v>
      </c>
      <c r="D20" s="43"/>
      <c r="E20" s="42">
        <v>50000</v>
      </c>
      <c r="F20" s="43" t="s">
        <v>9</v>
      </c>
      <c r="G20" s="25"/>
    </row>
    <row r="21" s="35" customFormat="1" ht="20" customHeight="1" spans="1:7">
      <c r="A21" s="16">
        <v>19</v>
      </c>
      <c r="B21" s="17">
        <v>45918</v>
      </c>
      <c r="C21" s="43" t="s">
        <v>193</v>
      </c>
      <c r="D21" s="43"/>
      <c r="E21" s="42">
        <v>2150</v>
      </c>
      <c r="F21" s="43" t="s">
        <v>55</v>
      </c>
      <c r="G21" s="25"/>
    </row>
    <row r="22" s="35" customFormat="1" ht="20" customHeight="1" spans="1:7">
      <c r="A22" s="16">
        <v>20</v>
      </c>
      <c r="B22" s="17">
        <v>45919</v>
      </c>
      <c r="C22" s="43" t="s">
        <v>194</v>
      </c>
      <c r="D22" s="43"/>
      <c r="E22" s="42">
        <v>27000</v>
      </c>
      <c r="F22" s="43" t="s">
        <v>9</v>
      </c>
      <c r="G22" s="25"/>
    </row>
    <row r="23" s="35" customFormat="1" ht="20" customHeight="1" spans="1:7">
      <c r="A23" s="16">
        <v>21</v>
      </c>
      <c r="B23" s="17">
        <v>45919</v>
      </c>
      <c r="C23" s="43" t="s">
        <v>195</v>
      </c>
      <c r="D23" s="43"/>
      <c r="E23" s="42">
        <v>1177.5</v>
      </c>
      <c r="F23" s="43" t="s">
        <v>9</v>
      </c>
      <c r="G23" s="25"/>
    </row>
    <row r="24" s="35" customFormat="1" ht="20" customHeight="1" spans="1:7">
      <c r="A24" s="16">
        <v>22</v>
      </c>
      <c r="B24" s="17">
        <v>45919</v>
      </c>
      <c r="C24" s="43" t="s">
        <v>195</v>
      </c>
      <c r="D24" s="43"/>
      <c r="E24" s="42">
        <v>50000</v>
      </c>
      <c r="F24" s="43" t="s">
        <v>9</v>
      </c>
      <c r="G24" s="25" t="s">
        <v>11</v>
      </c>
    </row>
    <row r="25" s="35" customFormat="1" ht="20" customHeight="1" spans="1:7">
      <c r="A25" s="16">
        <v>23</v>
      </c>
      <c r="B25" s="17">
        <v>45919</v>
      </c>
      <c r="C25" s="43" t="s">
        <v>196</v>
      </c>
      <c r="D25" s="43"/>
      <c r="E25" s="42">
        <v>10000</v>
      </c>
      <c r="F25" s="43" t="s">
        <v>9</v>
      </c>
      <c r="G25" s="25"/>
    </row>
    <row r="26" s="35" customFormat="1" ht="20" customHeight="1" spans="1:7">
      <c r="A26" s="16">
        <v>24</v>
      </c>
      <c r="B26" s="17">
        <v>45922</v>
      </c>
      <c r="C26" s="43" t="s">
        <v>17</v>
      </c>
      <c r="D26" s="43"/>
      <c r="E26" s="42">
        <v>20000</v>
      </c>
      <c r="F26" s="43" t="s">
        <v>9</v>
      </c>
      <c r="G26" s="25" t="s">
        <v>11</v>
      </c>
    </row>
    <row r="27" s="35" customFormat="1" ht="20" customHeight="1" spans="1:7">
      <c r="A27" s="16">
        <v>25</v>
      </c>
      <c r="B27" s="17">
        <v>45922</v>
      </c>
      <c r="C27" s="54" t="s">
        <v>197</v>
      </c>
      <c r="D27" s="43"/>
      <c r="E27" s="42">
        <v>7292.03</v>
      </c>
      <c r="F27" s="43" t="s">
        <v>13</v>
      </c>
      <c r="G27" s="25"/>
    </row>
    <row r="28" s="35" customFormat="1" ht="20" customHeight="1" spans="1:7">
      <c r="A28" s="16">
        <v>26</v>
      </c>
      <c r="B28" s="17">
        <v>45923</v>
      </c>
      <c r="C28" s="54" t="s">
        <v>51</v>
      </c>
      <c r="D28" s="43"/>
      <c r="E28" s="42">
        <v>9500</v>
      </c>
      <c r="F28" s="43" t="s">
        <v>182</v>
      </c>
      <c r="G28" s="25"/>
    </row>
    <row r="29" s="35" customFormat="1" ht="20" customHeight="1" spans="1:7">
      <c r="A29" s="16">
        <v>27</v>
      </c>
      <c r="B29" s="17">
        <v>45925</v>
      </c>
      <c r="C29" s="43" t="s">
        <v>198</v>
      </c>
      <c r="D29" s="43"/>
      <c r="E29" s="42">
        <v>54479.6</v>
      </c>
      <c r="F29" s="43" t="s">
        <v>55</v>
      </c>
      <c r="G29" s="25" t="s">
        <v>11</v>
      </c>
    </row>
    <row r="30" s="35" customFormat="1" ht="20" customHeight="1" spans="1:7">
      <c r="A30" s="16">
        <v>28</v>
      </c>
      <c r="B30" s="17">
        <v>45925</v>
      </c>
      <c r="C30" s="43" t="s">
        <v>46</v>
      </c>
      <c r="D30" s="43"/>
      <c r="E30" s="42">
        <v>75600</v>
      </c>
      <c r="F30" s="43" t="s">
        <v>9</v>
      </c>
      <c r="G30" s="25" t="s">
        <v>11</v>
      </c>
    </row>
    <row r="31" s="35" customFormat="1" ht="20" customHeight="1" spans="1:7">
      <c r="A31" s="16">
        <v>29</v>
      </c>
      <c r="B31" s="17">
        <v>45925</v>
      </c>
      <c r="C31" s="43" t="s">
        <v>199</v>
      </c>
      <c r="D31" s="43"/>
      <c r="E31" s="42">
        <v>82.6</v>
      </c>
      <c r="F31" s="43" t="s">
        <v>182</v>
      </c>
      <c r="G31" s="25"/>
    </row>
    <row r="32" s="35" customFormat="1" ht="20" customHeight="1" spans="1:7">
      <c r="A32" s="16">
        <v>30</v>
      </c>
      <c r="B32" s="17">
        <v>45926</v>
      </c>
      <c r="C32" s="43" t="s">
        <v>199</v>
      </c>
      <c r="D32" s="43"/>
      <c r="E32" s="42">
        <v>440</v>
      </c>
      <c r="F32" s="43" t="s">
        <v>182</v>
      </c>
      <c r="G32" s="25" t="s">
        <v>11</v>
      </c>
    </row>
    <row r="33" s="35" customFormat="1" ht="20" customHeight="1" spans="1:7">
      <c r="A33" s="16">
        <v>31</v>
      </c>
      <c r="B33" s="17">
        <v>45926</v>
      </c>
      <c r="C33" s="43" t="s">
        <v>199</v>
      </c>
      <c r="D33" s="43"/>
      <c r="E33" s="42">
        <v>67.4</v>
      </c>
      <c r="F33" s="43" t="s">
        <v>182</v>
      </c>
      <c r="G33" s="25" t="s">
        <v>11</v>
      </c>
    </row>
    <row r="34" s="35" customFormat="1" ht="20" customHeight="1" spans="1:7">
      <c r="A34" s="16">
        <v>32</v>
      </c>
      <c r="B34" s="17">
        <v>45926</v>
      </c>
      <c r="C34" s="43" t="s">
        <v>199</v>
      </c>
      <c r="D34" s="43"/>
      <c r="E34" s="42">
        <v>30000</v>
      </c>
      <c r="F34" s="43" t="s">
        <v>182</v>
      </c>
      <c r="G34" s="25" t="s">
        <v>11</v>
      </c>
    </row>
    <row r="35" s="35" customFormat="1" ht="20" customHeight="1" spans="1:7">
      <c r="A35" s="16">
        <v>33</v>
      </c>
      <c r="B35" s="17">
        <v>45926</v>
      </c>
      <c r="C35" s="43" t="s">
        <v>199</v>
      </c>
      <c r="D35" s="43"/>
      <c r="E35" s="42">
        <v>190</v>
      </c>
      <c r="F35" s="43" t="s">
        <v>182</v>
      </c>
      <c r="G35" s="25" t="s">
        <v>11</v>
      </c>
    </row>
    <row r="36" s="35" customFormat="1" ht="25" customHeight="1" spans="1:7">
      <c r="A36" s="16">
        <v>34</v>
      </c>
      <c r="B36" s="17">
        <v>45926</v>
      </c>
      <c r="C36" s="43" t="s">
        <v>46</v>
      </c>
      <c r="D36" s="43"/>
      <c r="E36" s="42">
        <v>100000</v>
      </c>
      <c r="F36" s="43" t="s">
        <v>48</v>
      </c>
      <c r="G36" s="25" t="s">
        <v>11</v>
      </c>
    </row>
    <row r="37" s="35" customFormat="1" ht="25" customHeight="1" spans="1:7">
      <c r="A37" s="16">
        <v>35</v>
      </c>
      <c r="B37" s="17">
        <v>45926</v>
      </c>
      <c r="C37" s="55" t="s">
        <v>184</v>
      </c>
      <c r="D37" s="43"/>
      <c r="E37" s="42">
        <v>33990</v>
      </c>
      <c r="F37" s="43" t="s">
        <v>9</v>
      </c>
      <c r="G37" s="53" t="s">
        <v>200</v>
      </c>
    </row>
    <row r="38" s="35" customFormat="1" ht="25" customHeight="1" spans="1:7">
      <c r="A38" s="16">
        <v>36</v>
      </c>
      <c r="B38" s="17">
        <v>45926</v>
      </c>
      <c r="C38" s="43" t="s">
        <v>201</v>
      </c>
      <c r="D38" s="43"/>
      <c r="E38" s="42">
        <v>71622.67</v>
      </c>
      <c r="F38" s="43" t="s">
        <v>9</v>
      </c>
      <c r="G38" s="53" t="s">
        <v>200</v>
      </c>
    </row>
    <row r="39" s="35" customFormat="1" ht="20" customHeight="1" spans="1:7">
      <c r="A39" s="16">
        <v>37</v>
      </c>
      <c r="B39" s="17">
        <v>45926</v>
      </c>
      <c r="C39" s="43" t="s">
        <v>202</v>
      </c>
      <c r="D39" s="43"/>
      <c r="E39" s="42">
        <v>11214.78</v>
      </c>
      <c r="F39" s="43" t="s">
        <v>9</v>
      </c>
      <c r="G39" s="25" t="s">
        <v>11</v>
      </c>
    </row>
    <row r="40" s="35" customFormat="1" ht="20" customHeight="1" spans="1:7">
      <c r="A40" s="16">
        <v>38</v>
      </c>
      <c r="B40" s="17">
        <v>45926</v>
      </c>
      <c r="C40" s="56" t="s">
        <v>203</v>
      </c>
      <c r="D40" s="43"/>
      <c r="E40" s="42">
        <v>3600</v>
      </c>
      <c r="F40" s="43" t="s">
        <v>55</v>
      </c>
      <c r="G40" s="25"/>
    </row>
    <row r="41" s="35" customFormat="1" ht="20" customHeight="1" spans="1:7">
      <c r="A41" s="16">
        <v>39</v>
      </c>
      <c r="B41" s="17">
        <v>45928</v>
      </c>
      <c r="C41" s="43" t="s">
        <v>204</v>
      </c>
      <c r="D41" s="43"/>
      <c r="E41" s="42">
        <v>21607.74</v>
      </c>
      <c r="F41" s="43" t="s">
        <v>182</v>
      </c>
      <c r="G41" s="25" t="s">
        <v>11</v>
      </c>
    </row>
    <row r="42" s="35" customFormat="1" ht="20" customHeight="1" spans="1:7">
      <c r="A42" s="16">
        <v>40</v>
      </c>
      <c r="B42" s="17">
        <v>45928</v>
      </c>
      <c r="C42" s="43" t="s">
        <v>127</v>
      </c>
      <c r="D42" s="43"/>
      <c r="E42" s="42">
        <v>70200</v>
      </c>
      <c r="F42" s="43" t="s">
        <v>9</v>
      </c>
      <c r="G42" s="25"/>
    </row>
    <row r="43" s="35" customFormat="1" ht="20" customHeight="1" spans="1:7">
      <c r="A43" s="16">
        <v>41</v>
      </c>
      <c r="B43" s="17">
        <v>45929</v>
      </c>
      <c r="C43" s="43" t="s">
        <v>205</v>
      </c>
      <c r="D43" s="43"/>
      <c r="E43" s="42">
        <v>540000</v>
      </c>
      <c r="F43" s="43" t="s">
        <v>9</v>
      </c>
      <c r="G43" s="25" t="s">
        <v>11</v>
      </c>
    </row>
    <row r="44" s="35" customFormat="1" ht="20" customHeight="1" spans="1:7">
      <c r="A44" s="16">
        <v>42</v>
      </c>
      <c r="B44" s="17">
        <v>45929</v>
      </c>
      <c r="C44" s="43" t="s">
        <v>46</v>
      </c>
      <c r="D44" s="43"/>
      <c r="E44" s="42">
        <v>6377.77</v>
      </c>
      <c r="F44" s="43" t="s">
        <v>9</v>
      </c>
      <c r="G44" s="25" t="s">
        <v>11</v>
      </c>
    </row>
    <row r="45" s="35" customFormat="1" ht="20" customHeight="1" spans="1:7">
      <c r="A45" s="16">
        <v>43</v>
      </c>
      <c r="B45" s="17">
        <v>45929</v>
      </c>
      <c r="C45" s="43" t="s">
        <v>46</v>
      </c>
      <c r="D45" s="43"/>
      <c r="E45" s="42">
        <v>50000</v>
      </c>
      <c r="F45" s="43" t="s">
        <v>9</v>
      </c>
      <c r="G45" s="25" t="s">
        <v>11</v>
      </c>
    </row>
    <row r="46" s="35" customFormat="1" ht="20" customHeight="1" spans="1:7">
      <c r="A46" s="16">
        <v>44</v>
      </c>
      <c r="B46" s="17">
        <v>45928</v>
      </c>
      <c r="C46" s="43" t="s">
        <v>27</v>
      </c>
      <c r="D46" s="43"/>
      <c r="E46" s="42">
        <v>2525.35</v>
      </c>
      <c r="F46" s="43" t="s">
        <v>28</v>
      </c>
      <c r="G46" s="25" t="s">
        <v>23</v>
      </c>
    </row>
    <row r="47" s="35" customFormat="1" ht="20" customHeight="1" spans="1:7">
      <c r="A47" s="16">
        <v>45</v>
      </c>
      <c r="B47" s="17">
        <v>45928</v>
      </c>
      <c r="C47" s="43" t="s">
        <v>27</v>
      </c>
      <c r="D47" s="43"/>
      <c r="E47" s="42">
        <v>426.96</v>
      </c>
      <c r="F47" s="43" t="s">
        <v>28</v>
      </c>
      <c r="G47" s="25"/>
    </row>
    <row r="48" s="35" customFormat="1" ht="20" customHeight="1" spans="1:7">
      <c r="A48" s="16">
        <v>46</v>
      </c>
      <c r="B48" s="17">
        <v>45924</v>
      </c>
      <c r="C48" s="43" t="s">
        <v>80</v>
      </c>
      <c r="D48" s="43"/>
      <c r="E48" s="42">
        <v>56149.15</v>
      </c>
      <c r="F48" s="43" t="s">
        <v>30</v>
      </c>
      <c r="G48" s="25"/>
    </row>
    <row r="49" s="35" customFormat="1" ht="20" customHeight="1" spans="1:7">
      <c r="A49" s="16">
        <v>47</v>
      </c>
      <c r="B49" s="17">
        <v>45924</v>
      </c>
      <c r="C49" s="43" t="s">
        <v>80</v>
      </c>
      <c r="D49" s="43"/>
      <c r="E49" s="42">
        <v>32521.61</v>
      </c>
      <c r="F49" s="43" t="s">
        <v>30</v>
      </c>
      <c r="G49" s="25"/>
    </row>
    <row r="50" s="35" customFormat="1" ht="20" customHeight="1" spans="1:7">
      <c r="A50" s="16">
        <v>48</v>
      </c>
      <c r="B50" s="17">
        <v>45926</v>
      </c>
      <c r="C50" s="43" t="s">
        <v>206</v>
      </c>
      <c r="D50" s="43"/>
      <c r="E50" s="42">
        <v>1500</v>
      </c>
      <c r="F50" s="43" t="s">
        <v>30</v>
      </c>
      <c r="G50" s="25" t="s">
        <v>23</v>
      </c>
    </row>
    <row r="51" s="35" customFormat="1" ht="20" customHeight="1" spans="1:7">
      <c r="A51" s="16">
        <v>49</v>
      </c>
      <c r="B51" s="17">
        <v>45929</v>
      </c>
      <c r="C51" s="43" t="s">
        <v>207</v>
      </c>
      <c r="D51" s="43"/>
      <c r="E51" s="42">
        <v>5750</v>
      </c>
      <c r="F51" s="43" t="s">
        <v>34</v>
      </c>
      <c r="G51" s="25"/>
    </row>
    <row r="52" s="35" customFormat="1" ht="20" customHeight="1" spans="1:7">
      <c r="A52" s="16">
        <v>50</v>
      </c>
      <c r="B52" s="17">
        <v>45929</v>
      </c>
      <c r="C52" s="43" t="s">
        <v>208</v>
      </c>
      <c r="D52" s="43"/>
      <c r="E52" s="42">
        <v>14331.84</v>
      </c>
      <c r="F52" s="43" t="s">
        <v>182</v>
      </c>
      <c r="G52" s="25" t="s">
        <v>11</v>
      </c>
    </row>
    <row r="53" s="35" customFormat="1" ht="20" customHeight="1" spans="1:7">
      <c r="A53" s="16">
        <v>51</v>
      </c>
      <c r="B53" s="17">
        <v>45929</v>
      </c>
      <c r="C53" s="43" t="s">
        <v>208</v>
      </c>
      <c r="D53" s="43"/>
      <c r="E53" s="42">
        <v>10700</v>
      </c>
      <c r="F53" s="43" t="s">
        <v>182</v>
      </c>
      <c r="G53" s="25" t="s">
        <v>11</v>
      </c>
    </row>
    <row r="54" s="35" customFormat="1" ht="20" customHeight="1" spans="1:7">
      <c r="A54" s="16">
        <v>52</v>
      </c>
      <c r="B54" s="17">
        <v>45929</v>
      </c>
      <c r="C54" s="43" t="s">
        <v>208</v>
      </c>
      <c r="D54" s="43"/>
      <c r="E54" s="42">
        <v>14598.16</v>
      </c>
      <c r="F54" s="43" t="s">
        <v>182</v>
      </c>
      <c r="G54" s="25" t="s">
        <v>11</v>
      </c>
    </row>
    <row r="55" s="35" customFormat="1" ht="20" customHeight="1" spans="1:7">
      <c r="A55" s="16">
        <v>53</v>
      </c>
      <c r="B55" s="17">
        <v>45929</v>
      </c>
      <c r="C55" s="43" t="s">
        <v>208</v>
      </c>
      <c r="D55" s="43"/>
      <c r="E55" s="42">
        <v>10000</v>
      </c>
      <c r="F55" s="43" t="s">
        <v>182</v>
      </c>
      <c r="G55" s="25" t="s">
        <v>11</v>
      </c>
    </row>
    <row r="56" s="35" customFormat="1" ht="20" customHeight="1" spans="1:7">
      <c r="A56" s="16">
        <v>54</v>
      </c>
      <c r="B56" s="17">
        <v>45929</v>
      </c>
      <c r="C56" s="43" t="s">
        <v>208</v>
      </c>
      <c r="D56" s="43"/>
      <c r="E56" s="42">
        <v>370</v>
      </c>
      <c r="F56" s="43" t="s">
        <v>182</v>
      </c>
      <c r="G56" s="25" t="s">
        <v>11</v>
      </c>
    </row>
    <row r="57" s="35" customFormat="1" ht="20" customHeight="1" spans="1:7">
      <c r="A57" s="16">
        <v>55</v>
      </c>
      <c r="B57" s="17">
        <v>45929</v>
      </c>
      <c r="C57" s="43" t="s">
        <v>208</v>
      </c>
      <c r="D57" s="43"/>
      <c r="E57" s="42">
        <v>100000</v>
      </c>
      <c r="F57" s="43" t="s">
        <v>182</v>
      </c>
      <c r="G57" s="25" t="s">
        <v>11</v>
      </c>
    </row>
    <row r="58" s="35" customFormat="1" ht="20" customHeight="1" spans="1:7">
      <c r="A58" s="16">
        <v>56</v>
      </c>
      <c r="B58" s="17">
        <v>45930</v>
      </c>
      <c r="C58" s="43" t="s">
        <v>209</v>
      </c>
      <c r="D58" s="43"/>
      <c r="E58" s="42">
        <v>15000</v>
      </c>
      <c r="F58" s="43" t="s">
        <v>55</v>
      </c>
      <c r="G58" s="25"/>
    </row>
    <row r="59" s="35" customFormat="1" ht="20" customHeight="1" spans="1:7">
      <c r="A59" s="16">
        <v>57</v>
      </c>
      <c r="B59" s="17">
        <v>45930</v>
      </c>
      <c r="C59" s="43" t="s">
        <v>210</v>
      </c>
      <c r="D59" s="43"/>
      <c r="E59" s="42">
        <v>9964</v>
      </c>
      <c r="F59" s="43" t="s">
        <v>9</v>
      </c>
      <c r="G59" s="25"/>
    </row>
    <row r="60" s="35" customFormat="1" ht="20" customHeight="1" spans="1:7">
      <c r="A60" s="16">
        <v>58</v>
      </c>
      <c r="B60" s="17">
        <v>45930</v>
      </c>
      <c r="C60" s="43" t="s">
        <v>211</v>
      </c>
      <c r="D60" s="43"/>
      <c r="E60" s="42">
        <v>2711.71</v>
      </c>
      <c r="F60" s="43" t="s">
        <v>9</v>
      </c>
      <c r="G60" s="25"/>
    </row>
    <row r="61" s="35" customFormat="1" ht="20" customHeight="1" spans="1:7">
      <c r="A61" s="16">
        <v>59</v>
      </c>
      <c r="B61" s="17">
        <v>45930</v>
      </c>
      <c r="C61" s="43" t="s">
        <v>212</v>
      </c>
      <c r="D61" s="43"/>
      <c r="E61" s="42">
        <v>40000</v>
      </c>
      <c r="F61" s="43" t="s">
        <v>9</v>
      </c>
      <c r="G61" s="25"/>
    </row>
    <row r="62" s="35" customFormat="1" ht="20" customHeight="1" spans="1:7">
      <c r="A62" s="16">
        <v>60</v>
      </c>
      <c r="B62" s="17">
        <v>45930</v>
      </c>
      <c r="C62" s="43" t="s">
        <v>213</v>
      </c>
      <c r="D62" s="43"/>
      <c r="E62" s="42">
        <v>10000</v>
      </c>
      <c r="F62" s="43" t="s">
        <v>9</v>
      </c>
      <c r="G62" s="25"/>
    </row>
    <row r="63" s="35" customFormat="1" ht="20" customHeight="1" spans="1:7">
      <c r="A63" s="16">
        <v>61</v>
      </c>
      <c r="B63" s="17">
        <v>45930</v>
      </c>
      <c r="C63" s="43" t="s">
        <v>214</v>
      </c>
      <c r="D63" s="43"/>
      <c r="E63" s="42">
        <v>10000</v>
      </c>
      <c r="F63" s="43" t="s">
        <v>13</v>
      </c>
      <c r="G63" s="25"/>
    </row>
    <row r="64" s="35" customFormat="1" ht="20" customHeight="1" spans="1:7">
      <c r="A64" s="16">
        <v>62</v>
      </c>
      <c r="B64" s="17">
        <v>45930</v>
      </c>
      <c r="C64" s="43" t="s">
        <v>115</v>
      </c>
      <c r="D64" s="43"/>
      <c r="E64" s="42">
        <v>20000</v>
      </c>
      <c r="F64" s="43" t="s">
        <v>215</v>
      </c>
      <c r="G64" s="25" t="s">
        <v>117</v>
      </c>
    </row>
    <row r="65" s="35" customFormat="1" ht="18" customHeight="1" spans="1:7">
      <c r="A65" s="16"/>
      <c r="B65" s="57"/>
      <c r="C65" s="43"/>
      <c r="D65" s="43" t="s">
        <v>56</v>
      </c>
      <c r="E65" s="47">
        <f>SUM(E3:E64)</f>
        <v>2017372.7</v>
      </c>
      <c r="F65" s="43"/>
      <c r="G65" s="43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9"/>
  <sheetViews>
    <sheetView workbookViewId="0">
      <selection activeCell="C25" sqref="C25"/>
    </sheetView>
  </sheetViews>
  <sheetFormatPr defaultColWidth="9" defaultRowHeight="13.5" outlineLevelCol="6"/>
  <cols>
    <col min="1" max="1" width="4.88333333333333" style="33" customWidth="1"/>
    <col min="2" max="2" width="11.25" style="36" customWidth="1"/>
    <col min="3" max="3" width="45.125" style="35" customWidth="1"/>
    <col min="4" max="4" width="7" style="35" customWidth="1"/>
    <col min="5" max="5" width="18.75" style="35" customWidth="1"/>
    <col min="6" max="6" width="19.75" style="35" customWidth="1"/>
    <col min="7" max="7" width="26" style="35" customWidth="1"/>
    <col min="8" max="16384" width="9" style="35"/>
  </cols>
  <sheetData>
    <row r="1" s="33" customFormat="1" ht="27" customHeight="1" spans="1:7">
      <c r="A1" s="37" t="s">
        <v>216</v>
      </c>
      <c r="B1" s="37"/>
      <c r="C1" s="37"/>
      <c r="D1" s="37"/>
      <c r="E1" s="37"/>
      <c r="F1" s="37"/>
      <c r="G1" s="37"/>
    </row>
    <row r="2" s="34" customFormat="1" ht="20.25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ht="15" customHeight="1" spans="1:7">
      <c r="A3" s="16">
        <v>1</v>
      </c>
      <c r="B3" s="17">
        <v>45935</v>
      </c>
      <c r="C3" s="25" t="s">
        <v>217</v>
      </c>
      <c r="D3" s="25"/>
      <c r="E3" s="42">
        <v>10000</v>
      </c>
      <c r="F3" s="43" t="s">
        <v>25</v>
      </c>
      <c r="G3" s="25" t="s">
        <v>218</v>
      </c>
    </row>
    <row r="4" s="35" customFormat="1" customHeight="1" spans="1:7">
      <c r="A4" s="16">
        <v>2</v>
      </c>
      <c r="B4" s="17">
        <v>45941</v>
      </c>
      <c r="C4" s="25" t="s">
        <v>219</v>
      </c>
      <c r="D4" s="25"/>
      <c r="E4" s="42">
        <v>180000</v>
      </c>
      <c r="F4" s="43" t="s">
        <v>25</v>
      </c>
      <c r="G4" s="25"/>
    </row>
    <row r="5" s="35" customFormat="1" customHeight="1" spans="1:7">
      <c r="A5" s="16">
        <v>3</v>
      </c>
      <c r="B5" s="17">
        <v>45941</v>
      </c>
      <c r="C5" s="25" t="s">
        <v>220</v>
      </c>
      <c r="D5" s="25"/>
      <c r="E5" s="42">
        <v>61480</v>
      </c>
      <c r="F5" s="43" t="s">
        <v>9</v>
      </c>
      <c r="G5" s="25"/>
    </row>
    <row r="6" s="35" customFormat="1" customHeight="1" spans="1:7">
      <c r="A6" s="16">
        <v>4</v>
      </c>
      <c r="B6" s="17">
        <v>45943</v>
      </c>
      <c r="C6" s="25" t="s">
        <v>221</v>
      </c>
      <c r="D6" s="25"/>
      <c r="E6" s="42">
        <v>3400</v>
      </c>
      <c r="F6" s="43" t="s">
        <v>9</v>
      </c>
      <c r="G6" s="25"/>
    </row>
    <row r="7" s="35" customFormat="1" customHeight="1" spans="1:7">
      <c r="A7" s="16">
        <v>5</v>
      </c>
      <c r="B7" s="17">
        <v>45943</v>
      </c>
      <c r="C7" s="25" t="s">
        <v>222</v>
      </c>
      <c r="D7" s="25"/>
      <c r="E7" s="42">
        <v>19800</v>
      </c>
      <c r="F7" s="43" t="s">
        <v>25</v>
      </c>
      <c r="G7" s="25" t="s">
        <v>23</v>
      </c>
    </row>
    <row r="8" s="35" customFormat="1" customHeight="1" spans="1:7">
      <c r="A8" s="16">
        <v>6</v>
      </c>
      <c r="B8" s="17">
        <v>45945</v>
      </c>
      <c r="C8" s="49" t="s">
        <v>223</v>
      </c>
      <c r="D8" s="25"/>
      <c r="E8" s="42">
        <v>92000</v>
      </c>
      <c r="F8" s="43" t="s">
        <v>9</v>
      </c>
      <c r="G8" s="25" t="s">
        <v>11</v>
      </c>
    </row>
    <row r="9" s="35" customFormat="1" customHeight="1" spans="1:7">
      <c r="A9" s="16">
        <v>7</v>
      </c>
      <c r="B9" s="17">
        <v>45946</v>
      </c>
      <c r="C9" s="25" t="s">
        <v>36</v>
      </c>
      <c r="D9" s="25"/>
      <c r="E9" s="42">
        <v>20000</v>
      </c>
      <c r="F9" s="43" t="s">
        <v>25</v>
      </c>
      <c r="G9" s="25" t="s">
        <v>11</v>
      </c>
    </row>
    <row r="10" s="35" customFormat="1" customHeight="1" spans="1:7">
      <c r="A10" s="16">
        <v>8</v>
      </c>
      <c r="B10" s="17">
        <v>45946</v>
      </c>
      <c r="C10" s="25" t="s">
        <v>224</v>
      </c>
      <c r="D10" s="25"/>
      <c r="E10" s="42">
        <v>40500</v>
      </c>
      <c r="F10" s="43" t="s">
        <v>25</v>
      </c>
      <c r="G10" s="43"/>
    </row>
    <row r="11" s="35" customFormat="1" customHeight="1" spans="1:7">
      <c r="A11" s="16">
        <v>9</v>
      </c>
      <c r="B11" s="17">
        <v>45950</v>
      </c>
      <c r="C11" s="25" t="s">
        <v>134</v>
      </c>
      <c r="D11" s="25"/>
      <c r="E11" s="42">
        <v>20600</v>
      </c>
      <c r="F11" s="43" t="s">
        <v>25</v>
      </c>
      <c r="G11" s="25" t="s">
        <v>11</v>
      </c>
    </row>
    <row r="12" s="35" customFormat="1" customHeight="1" spans="1:7">
      <c r="A12" s="16">
        <v>10</v>
      </c>
      <c r="B12" s="17">
        <v>45951</v>
      </c>
      <c r="C12" s="50" t="s">
        <v>225</v>
      </c>
      <c r="D12" s="25"/>
      <c r="E12" s="42">
        <v>20000</v>
      </c>
      <c r="F12" s="43" t="s">
        <v>9</v>
      </c>
      <c r="G12" s="25" t="s">
        <v>11</v>
      </c>
    </row>
    <row r="13" s="35" customFormat="1" customHeight="1" spans="1:7">
      <c r="A13" s="16">
        <v>11</v>
      </c>
      <c r="B13" s="17">
        <v>45952</v>
      </c>
      <c r="C13" s="25" t="s">
        <v>226</v>
      </c>
      <c r="D13" s="25"/>
      <c r="E13" s="42">
        <v>19800</v>
      </c>
      <c r="F13" s="43" t="s">
        <v>25</v>
      </c>
      <c r="G13" s="25" t="s">
        <v>11</v>
      </c>
    </row>
    <row r="14" s="35" customFormat="1" customHeight="1" spans="1:7">
      <c r="A14" s="16">
        <v>12</v>
      </c>
      <c r="B14" s="17">
        <v>45952</v>
      </c>
      <c r="C14" s="25" t="s">
        <v>103</v>
      </c>
      <c r="D14" s="25"/>
      <c r="E14" s="42">
        <v>20000</v>
      </c>
      <c r="F14" s="43" t="s">
        <v>25</v>
      </c>
      <c r="G14" s="25" t="s">
        <v>11</v>
      </c>
    </row>
    <row r="15" s="35" customFormat="1" customHeight="1" spans="1:7">
      <c r="A15" s="16">
        <v>13</v>
      </c>
      <c r="B15" s="17">
        <v>45952</v>
      </c>
      <c r="C15" s="25" t="s">
        <v>103</v>
      </c>
      <c r="D15" s="25"/>
      <c r="E15" s="42">
        <v>50000</v>
      </c>
      <c r="F15" s="43" t="s">
        <v>25</v>
      </c>
      <c r="G15" s="25" t="s">
        <v>11</v>
      </c>
    </row>
    <row r="16" s="35" customFormat="1" customHeight="1" spans="1:7">
      <c r="A16" s="16">
        <v>14</v>
      </c>
      <c r="B16" s="17">
        <v>45951</v>
      </c>
      <c r="C16" s="25" t="s">
        <v>227</v>
      </c>
      <c r="D16" s="25"/>
      <c r="E16" s="42">
        <v>21850</v>
      </c>
      <c r="F16" s="43" t="s">
        <v>9</v>
      </c>
      <c r="G16" s="25" t="s">
        <v>23</v>
      </c>
    </row>
    <row r="17" s="35" customFormat="1" customHeight="1" spans="1:7">
      <c r="A17" s="16">
        <v>15</v>
      </c>
      <c r="B17" s="17">
        <v>45952</v>
      </c>
      <c r="C17" s="25" t="s">
        <v>228</v>
      </c>
      <c r="D17" s="25"/>
      <c r="E17" s="42">
        <v>61515.4</v>
      </c>
      <c r="F17" s="43" t="s">
        <v>9</v>
      </c>
      <c r="G17" s="25"/>
    </row>
    <row r="18" s="35" customFormat="1" customHeight="1" spans="1:7">
      <c r="A18" s="16">
        <v>16</v>
      </c>
      <c r="B18" s="17">
        <v>45952</v>
      </c>
      <c r="C18" s="25" t="s">
        <v>77</v>
      </c>
      <c r="D18" s="25"/>
      <c r="E18" s="42">
        <v>5832</v>
      </c>
      <c r="F18" s="43" t="s">
        <v>9</v>
      </c>
      <c r="G18" s="25"/>
    </row>
    <row r="19" s="35" customFormat="1" customHeight="1" spans="1:7">
      <c r="A19" s="16">
        <v>17</v>
      </c>
      <c r="B19" s="17">
        <v>45953</v>
      </c>
      <c r="C19" s="25" t="s">
        <v>229</v>
      </c>
      <c r="D19" s="25"/>
      <c r="E19" s="42">
        <v>238000</v>
      </c>
      <c r="F19" s="43" t="s">
        <v>9</v>
      </c>
      <c r="G19" s="25" t="s">
        <v>11</v>
      </c>
    </row>
    <row r="20" s="35" customFormat="1" customHeight="1" spans="1:7">
      <c r="A20" s="16">
        <v>18</v>
      </c>
      <c r="B20" s="17">
        <v>45954</v>
      </c>
      <c r="C20" s="25" t="s">
        <v>51</v>
      </c>
      <c r="D20" s="25"/>
      <c r="E20" s="42">
        <v>344400</v>
      </c>
      <c r="F20" s="43" t="s">
        <v>25</v>
      </c>
      <c r="G20" s="25" t="s">
        <v>11</v>
      </c>
    </row>
    <row r="21" s="35" customFormat="1" customHeight="1" spans="1:7">
      <c r="A21" s="16">
        <v>19</v>
      </c>
      <c r="B21" s="17">
        <v>45954</v>
      </c>
      <c r="C21" s="25" t="s">
        <v>224</v>
      </c>
      <c r="D21" s="25"/>
      <c r="E21" s="42">
        <v>3130.2</v>
      </c>
      <c r="F21" s="43" t="s">
        <v>25</v>
      </c>
      <c r="G21" s="25"/>
    </row>
    <row r="22" s="35" customFormat="1" customHeight="1" spans="1:7">
      <c r="A22" s="16">
        <v>20</v>
      </c>
      <c r="B22" s="17">
        <v>45954</v>
      </c>
      <c r="C22" s="25" t="s">
        <v>221</v>
      </c>
      <c r="D22" s="25"/>
      <c r="E22" s="42">
        <v>2400</v>
      </c>
      <c r="F22" s="43" t="s">
        <v>9</v>
      </c>
      <c r="G22" s="25"/>
    </row>
    <row r="23" s="35" customFormat="1" customHeight="1" spans="1:7">
      <c r="A23" s="16">
        <v>21</v>
      </c>
      <c r="B23" s="17">
        <v>45954</v>
      </c>
      <c r="C23" s="25" t="s">
        <v>221</v>
      </c>
      <c r="D23" s="25"/>
      <c r="E23" s="42">
        <v>2650</v>
      </c>
      <c r="F23" s="43" t="s">
        <v>9</v>
      </c>
      <c r="G23" s="25"/>
    </row>
    <row r="24" s="35" customFormat="1" customHeight="1" spans="1:7">
      <c r="A24" s="16">
        <v>22</v>
      </c>
      <c r="B24" s="17">
        <v>45957</v>
      </c>
      <c r="C24" s="25" t="s">
        <v>230</v>
      </c>
      <c r="D24" s="25"/>
      <c r="E24" s="42">
        <v>40990</v>
      </c>
      <c r="F24" s="43" t="s">
        <v>25</v>
      </c>
      <c r="G24" s="25"/>
    </row>
    <row r="25" s="35" customFormat="1" customHeight="1" spans="1:7">
      <c r="A25" s="16">
        <v>23</v>
      </c>
      <c r="B25" s="17">
        <v>45957</v>
      </c>
      <c r="C25" s="25" t="s">
        <v>20</v>
      </c>
      <c r="D25" s="25"/>
      <c r="E25" s="42">
        <v>435000</v>
      </c>
      <c r="F25" s="43" t="s">
        <v>231</v>
      </c>
      <c r="G25" s="25"/>
    </row>
    <row r="26" s="35" customFormat="1" customHeight="1" spans="1:7">
      <c r="A26" s="16">
        <v>24</v>
      </c>
      <c r="B26" s="17">
        <v>45958</v>
      </c>
      <c r="C26" s="25" t="s">
        <v>20</v>
      </c>
      <c r="D26" s="25"/>
      <c r="E26" s="42">
        <v>29500</v>
      </c>
      <c r="F26" s="43" t="s">
        <v>231</v>
      </c>
      <c r="G26" s="25"/>
    </row>
    <row r="27" s="35" customFormat="1" customHeight="1" spans="1:7">
      <c r="A27" s="16">
        <v>25</v>
      </c>
      <c r="B27" s="17">
        <v>45958</v>
      </c>
      <c r="C27" s="25" t="s">
        <v>20</v>
      </c>
      <c r="D27" s="25"/>
      <c r="E27" s="42">
        <v>16801</v>
      </c>
      <c r="F27" s="43" t="s">
        <v>231</v>
      </c>
      <c r="G27" s="25"/>
    </row>
    <row r="28" s="35" customFormat="1" customHeight="1" spans="1:7">
      <c r="A28" s="16">
        <v>26</v>
      </c>
      <c r="B28" s="17">
        <v>45958</v>
      </c>
      <c r="C28" s="25" t="s">
        <v>46</v>
      </c>
      <c r="D28" s="25"/>
      <c r="E28" s="42">
        <v>218667.9</v>
      </c>
      <c r="F28" s="43" t="s">
        <v>232</v>
      </c>
      <c r="G28" s="25"/>
    </row>
    <row r="29" s="35" customFormat="1" customHeight="1" spans="1:7">
      <c r="A29" s="16">
        <v>27</v>
      </c>
      <c r="B29" s="17">
        <v>45959</v>
      </c>
      <c r="C29" s="25" t="s">
        <v>26</v>
      </c>
      <c r="D29" s="25"/>
      <c r="E29" s="42">
        <v>50000</v>
      </c>
      <c r="F29" s="43" t="s">
        <v>25</v>
      </c>
      <c r="G29" s="25" t="s">
        <v>11</v>
      </c>
    </row>
    <row r="30" s="35" customFormat="1" customHeight="1" spans="1:7">
      <c r="A30" s="16">
        <v>28</v>
      </c>
      <c r="B30" s="17">
        <v>45959</v>
      </c>
      <c r="C30" s="25" t="s">
        <v>46</v>
      </c>
      <c r="D30" s="25"/>
      <c r="E30" s="42">
        <v>100000</v>
      </c>
      <c r="F30" s="43" t="s">
        <v>48</v>
      </c>
      <c r="G30" s="25" t="s">
        <v>11</v>
      </c>
    </row>
    <row r="31" s="35" customFormat="1" customHeight="1" spans="1:7">
      <c r="A31" s="16">
        <v>29</v>
      </c>
      <c r="B31" s="17">
        <v>45959</v>
      </c>
      <c r="C31" s="25" t="s">
        <v>233</v>
      </c>
      <c r="D31" s="25"/>
      <c r="E31" s="42">
        <v>54000</v>
      </c>
      <c r="F31" s="43" t="s">
        <v>9</v>
      </c>
      <c r="G31" s="25"/>
    </row>
    <row r="32" s="35" customFormat="1" customHeight="1" spans="1:7">
      <c r="A32" s="16">
        <v>30</v>
      </c>
      <c r="B32" s="17">
        <v>45959</v>
      </c>
      <c r="C32" s="25" t="s">
        <v>233</v>
      </c>
      <c r="D32" s="25"/>
      <c r="E32" s="42">
        <v>140295</v>
      </c>
      <c r="F32" s="43" t="s">
        <v>9</v>
      </c>
      <c r="G32" s="25" t="s">
        <v>11</v>
      </c>
    </row>
    <row r="33" s="35" customFormat="1" customHeight="1" spans="1:7">
      <c r="A33" s="16">
        <v>31</v>
      </c>
      <c r="B33" s="17">
        <v>45959</v>
      </c>
      <c r="C33" s="25" t="s">
        <v>46</v>
      </c>
      <c r="D33" s="25"/>
      <c r="E33" s="42">
        <v>864.6</v>
      </c>
      <c r="F33" s="43" t="s">
        <v>9</v>
      </c>
      <c r="G33" s="25"/>
    </row>
    <row r="34" s="35" customFormat="1" customHeight="1" spans="1:7">
      <c r="A34" s="16">
        <v>32</v>
      </c>
      <c r="B34" s="17">
        <v>45960</v>
      </c>
      <c r="C34" s="25" t="s">
        <v>46</v>
      </c>
      <c r="D34" s="25"/>
      <c r="E34" s="42">
        <v>615000</v>
      </c>
      <c r="F34" s="43" t="s">
        <v>9</v>
      </c>
      <c r="G34" s="25" t="s">
        <v>234</v>
      </c>
    </row>
    <row r="35" s="35" customFormat="1" customHeight="1" spans="1:7">
      <c r="A35" s="16">
        <v>33</v>
      </c>
      <c r="B35" s="17">
        <v>45959</v>
      </c>
      <c r="C35" t="s">
        <v>235</v>
      </c>
      <c r="D35" s="25"/>
      <c r="E35" s="42">
        <v>46000</v>
      </c>
      <c r="F35" s="43" t="s">
        <v>19</v>
      </c>
      <c r="G35" s="25"/>
    </row>
    <row r="36" s="35" customFormat="1" customHeight="1" spans="1:7">
      <c r="A36" s="16">
        <v>34</v>
      </c>
      <c r="B36" s="17">
        <v>45959</v>
      </c>
      <c r="C36" s="25" t="s">
        <v>203</v>
      </c>
      <c r="D36" s="25"/>
      <c r="E36" s="42">
        <v>5000</v>
      </c>
      <c r="F36" s="43" t="s">
        <v>55</v>
      </c>
      <c r="G36" s="25"/>
    </row>
    <row r="37" s="35" customFormat="1" customHeight="1" spans="1:7">
      <c r="A37" s="16">
        <v>35</v>
      </c>
      <c r="B37" s="17">
        <v>45961</v>
      </c>
      <c r="C37" s="25" t="s">
        <v>236</v>
      </c>
      <c r="D37" s="25"/>
      <c r="E37" s="42">
        <v>5080</v>
      </c>
      <c r="F37" s="43" t="s">
        <v>55</v>
      </c>
      <c r="G37" s="25" t="s">
        <v>11</v>
      </c>
    </row>
    <row r="38" s="35" customFormat="1" customHeight="1" spans="1:7">
      <c r="A38" s="16"/>
      <c r="B38" s="17"/>
      <c r="C38" s="25"/>
      <c r="D38" s="25"/>
      <c r="E38" s="42"/>
      <c r="F38" s="43"/>
      <c r="G38" s="25"/>
    </row>
    <row r="39" s="35" customFormat="1" customHeight="1" spans="1:7">
      <c r="A39" s="16"/>
      <c r="B39" s="17"/>
      <c r="C39" s="25"/>
      <c r="D39" s="25" t="s">
        <v>56</v>
      </c>
      <c r="E39" s="47">
        <f>SUM(E3:E38)</f>
        <v>2994556.1</v>
      </c>
      <c r="F39" s="43"/>
      <c r="G39" s="43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scale="62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16" workbookViewId="0">
      <selection activeCell="G28" sqref="G28"/>
    </sheetView>
  </sheetViews>
  <sheetFormatPr defaultColWidth="9" defaultRowHeight="13.5" outlineLevelCol="6"/>
  <cols>
    <col min="1" max="1" width="4.88333333333333" style="33" customWidth="1"/>
    <col min="2" max="2" width="12" style="36" customWidth="1"/>
    <col min="3" max="3" width="34.6333333333333" style="35" customWidth="1"/>
    <col min="4" max="4" width="7" style="35" customWidth="1"/>
    <col min="5" max="5" width="18.75" style="35" customWidth="1"/>
    <col min="6" max="6" width="22.25" style="35" customWidth="1"/>
    <col min="7" max="7" width="26" style="35" customWidth="1"/>
    <col min="8" max="16384" width="9" style="35"/>
  </cols>
  <sheetData>
    <row r="1" s="33" customFormat="1" ht="27" customHeight="1" spans="1:7">
      <c r="A1" s="37" t="s">
        <v>237</v>
      </c>
      <c r="B1" s="37"/>
      <c r="C1" s="37"/>
      <c r="D1" s="37"/>
      <c r="E1" s="37"/>
      <c r="F1" s="37"/>
      <c r="G1" s="37"/>
    </row>
    <row r="2" s="34" customFormat="1" ht="20.25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ht="49" customHeight="1" spans="1:7">
      <c r="A3" s="16">
        <v>1</v>
      </c>
      <c r="B3" s="17">
        <v>45965</v>
      </c>
      <c r="C3" s="16" t="s">
        <v>184</v>
      </c>
      <c r="D3" s="16"/>
      <c r="E3" s="18">
        <v>387.33</v>
      </c>
      <c r="F3" s="16" t="s">
        <v>215</v>
      </c>
      <c r="G3" s="24" t="s">
        <v>238</v>
      </c>
    </row>
    <row r="4" s="35" customFormat="1" ht="18" customHeight="1" spans="1:7">
      <c r="A4" s="16">
        <v>2</v>
      </c>
      <c r="B4" s="17">
        <v>45965</v>
      </c>
      <c r="C4" s="48" t="s">
        <v>239</v>
      </c>
      <c r="D4" s="16"/>
      <c r="E4" s="18">
        <v>91800</v>
      </c>
      <c r="F4" s="16" t="s">
        <v>9</v>
      </c>
      <c r="G4" s="25" t="s">
        <v>11</v>
      </c>
    </row>
    <row r="5" s="35" customFormat="1" ht="16" customHeight="1" spans="1:7">
      <c r="A5" s="16">
        <v>3</v>
      </c>
      <c r="B5" s="17">
        <v>45966</v>
      </c>
      <c r="C5" s="48" t="s">
        <v>240</v>
      </c>
      <c r="D5" s="16"/>
      <c r="E5" s="18">
        <v>28234.98</v>
      </c>
      <c r="F5" s="16" t="s">
        <v>9</v>
      </c>
      <c r="G5" s="25" t="s">
        <v>41</v>
      </c>
    </row>
    <row r="6" s="35" customFormat="1" ht="19" customHeight="1" spans="1:7">
      <c r="A6" s="16">
        <v>4</v>
      </c>
      <c r="B6" s="17">
        <v>45973</v>
      </c>
      <c r="C6" s="48" t="s">
        <v>241</v>
      </c>
      <c r="D6" s="16"/>
      <c r="E6" s="18">
        <v>11855.31</v>
      </c>
      <c r="F6" s="16" t="s">
        <v>9</v>
      </c>
      <c r="G6" s="43" t="s">
        <v>23</v>
      </c>
    </row>
    <row r="7" s="35" customFormat="1" ht="19" customHeight="1" spans="1:7">
      <c r="A7" s="16">
        <v>5</v>
      </c>
      <c r="B7" s="17">
        <v>45975</v>
      </c>
      <c r="C7" s="48" t="s">
        <v>242</v>
      </c>
      <c r="D7" s="16"/>
      <c r="E7" s="18">
        <v>9000</v>
      </c>
      <c r="F7" s="16" t="s">
        <v>19</v>
      </c>
      <c r="G7" s="43" t="s">
        <v>243</v>
      </c>
    </row>
    <row r="8" s="35" customFormat="1" ht="17" customHeight="1" spans="1:7">
      <c r="A8" s="16">
        <v>6</v>
      </c>
      <c r="B8" s="17">
        <v>45978</v>
      </c>
      <c r="C8" s="16" t="s">
        <v>156</v>
      </c>
      <c r="D8" s="16"/>
      <c r="E8" s="18">
        <v>20000</v>
      </c>
      <c r="F8" s="16" t="s">
        <v>25</v>
      </c>
      <c r="G8" s="25"/>
    </row>
    <row r="9" s="35" customFormat="1" ht="18" customHeight="1" spans="1:7">
      <c r="A9" s="16">
        <v>7</v>
      </c>
      <c r="B9" s="17">
        <v>45978</v>
      </c>
      <c r="C9" s="16" t="s">
        <v>244</v>
      </c>
      <c r="D9" s="16"/>
      <c r="E9" s="18">
        <v>20000</v>
      </c>
      <c r="F9" s="16" t="s">
        <v>9</v>
      </c>
      <c r="G9" s="25"/>
    </row>
    <row r="10" s="35" customFormat="1" ht="21" customHeight="1" spans="1:7">
      <c r="A10" s="16">
        <v>8</v>
      </c>
      <c r="B10" s="17">
        <v>45985</v>
      </c>
      <c r="C10" s="16" t="s">
        <v>103</v>
      </c>
      <c r="D10" s="16"/>
      <c r="E10" s="18">
        <v>29080</v>
      </c>
      <c r="F10" s="16" t="s">
        <v>25</v>
      </c>
      <c r="G10" s="25" t="s">
        <v>41</v>
      </c>
    </row>
    <row r="11" s="35" customFormat="1" ht="21" customHeight="1" spans="1:7">
      <c r="A11" s="16">
        <v>9</v>
      </c>
      <c r="B11" s="17">
        <v>45985</v>
      </c>
      <c r="C11" s="16" t="s">
        <v>105</v>
      </c>
      <c r="D11" s="16"/>
      <c r="E11" s="18">
        <v>2802.4</v>
      </c>
      <c r="F11" s="16" t="s">
        <v>9</v>
      </c>
      <c r="G11" s="25" t="s">
        <v>23</v>
      </c>
    </row>
    <row r="12" s="35" customFormat="1" ht="21" customHeight="1" spans="1:7">
      <c r="A12" s="16">
        <v>10</v>
      </c>
      <c r="B12" s="17">
        <v>45986</v>
      </c>
      <c r="C12" s="16" t="s">
        <v>245</v>
      </c>
      <c r="D12" s="16"/>
      <c r="E12" s="18">
        <v>65000</v>
      </c>
      <c r="F12" s="16" t="s">
        <v>9</v>
      </c>
      <c r="G12" s="25" t="s">
        <v>11</v>
      </c>
    </row>
    <row r="13" s="35" customFormat="1" ht="21" customHeight="1" spans="1:7">
      <c r="A13" s="16">
        <v>11</v>
      </c>
      <c r="B13" s="17">
        <v>45985</v>
      </c>
      <c r="C13" s="16" t="s">
        <v>51</v>
      </c>
      <c r="D13" s="16"/>
      <c r="E13" s="18">
        <v>19000</v>
      </c>
      <c r="F13" s="16" t="s">
        <v>30</v>
      </c>
      <c r="G13" s="25"/>
    </row>
    <row r="14" s="35" customFormat="1" ht="21" customHeight="1" spans="1:7">
      <c r="A14" s="16">
        <v>12</v>
      </c>
      <c r="B14" s="17">
        <v>45985</v>
      </c>
      <c r="C14" s="16" t="s">
        <v>46</v>
      </c>
      <c r="D14" s="16"/>
      <c r="E14" s="18">
        <v>629.34</v>
      </c>
      <c r="F14" s="16" t="s">
        <v>246</v>
      </c>
      <c r="G14" s="25"/>
    </row>
    <row r="15" s="35" customFormat="1" ht="21" customHeight="1" spans="1:7">
      <c r="A15" s="16">
        <v>13</v>
      </c>
      <c r="B15" s="17">
        <v>45986</v>
      </c>
      <c r="C15" s="16" t="s">
        <v>46</v>
      </c>
      <c r="D15" s="16"/>
      <c r="E15" s="18">
        <v>124033.76</v>
      </c>
      <c r="F15" s="16" t="s">
        <v>246</v>
      </c>
      <c r="G15" s="25" t="s">
        <v>11</v>
      </c>
    </row>
    <row r="16" s="35" customFormat="1" ht="21" customHeight="1" spans="1:7">
      <c r="A16" s="16">
        <v>14</v>
      </c>
      <c r="B16" s="17">
        <v>45986</v>
      </c>
      <c r="C16" s="16" t="s">
        <v>46</v>
      </c>
      <c r="D16" s="16"/>
      <c r="E16" s="18">
        <v>196000</v>
      </c>
      <c r="F16" s="16" t="s">
        <v>246</v>
      </c>
      <c r="G16" s="25" t="s">
        <v>11</v>
      </c>
    </row>
    <row r="17" s="35" customFormat="1" ht="21" customHeight="1" spans="1:7">
      <c r="A17" s="16">
        <v>15</v>
      </c>
      <c r="B17" s="17">
        <v>45986</v>
      </c>
      <c r="C17" s="16" t="s">
        <v>247</v>
      </c>
      <c r="D17" s="16"/>
      <c r="E17" s="18">
        <v>900</v>
      </c>
      <c r="F17" s="16" t="s">
        <v>25</v>
      </c>
      <c r="G17" s="25"/>
    </row>
    <row r="18" s="35" customFormat="1" ht="21" customHeight="1" spans="1:7">
      <c r="A18" s="16">
        <v>16</v>
      </c>
      <c r="B18" s="17">
        <v>45986</v>
      </c>
      <c r="C18" s="16" t="s">
        <v>44</v>
      </c>
      <c r="D18" s="16"/>
      <c r="E18" s="18">
        <v>49600</v>
      </c>
      <c r="F18" s="16" t="s">
        <v>9</v>
      </c>
      <c r="G18" s="25"/>
    </row>
    <row r="19" s="35" customFormat="1" ht="21" customHeight="1" spans="1:7">
      <c r="A19" s="16">
        <v>17</v>
      </c>
      <c r="B19" s="17">
        <v>45986</v>
      </c>
      <c r="C19" s="16" t="s">
        <v>248</v>
      </c>
      <c r="D19" s="16"/>
      <c r="E19" s="18">
        <v>8646</v>
      </c>
      <c r="F19" s="16" t="s">
        <v>9</v>
      </c>
      <c r="G19" s="25" t="s">
        <v>23</v>
      </c>
    </row>
    <row r="20" s="35" customFormat="1" ht="21" customHeight="1" spans="1:7">
      <c r="A20" s="16">
        <v>18</v>
      </c>
      <c r="B20" s="17">
        <v>45988</v>
      </c>
      <c r="C20" s="16" t="s">
        <v>249</v>
      </c>
      <c r="D20" s="16"/>
      <c r="E20" s="18">
        <v>41800</v>
      </c>
      <c r="F20" s="16" t="s">
        <v>25</v>
      </c>
      <c r="G20" s="25" t="s">
        <v>11</v>
      </c>
    </row>
    <row r="21" s="35" customFormat="1" ht="21" customHeight="1" spans="1:7">
      <c r="A21" s="16">
        <v>19</v>
      </c>
      <c r="B21" s="17">
        <v>45988</v>
      </c>
      <c r="C21" s="16" t="s">
        <v>46</v>
      </c>
      <c r="D21" s="16"/>
      <c r="E21" s="18">
        <v>401.4</v>
      </c>
      <c r="F21" s="16" t="s">
        <v>9</v>
      </c>
      <c r="G21" s="25"/>
    </row>
    <row r="22" s="35" customFormat="1" ht="21" customHeight="1" spans="1:7">
      <c r="A22" s="16">
        <v>20</v>
      </c>
      <c r="B22" s="17">
        <v>45988</v>
      </c>
      <c r="C22" s="16" t="s">
        <v>250</v>
      </c>
      <c r="D22" s="16"/>
      <c r="E22" s="18">
        <v>5800</v>
      </c>
      <c r="F22" s="16" t="s">
        <v>9</v>
      </c>
      <c r="G22" s="25" t="s">
        <v>23</v>
      </c>
    </row>
    <row r="23" s="35" customFormat="1" ht="52" customHeight="1" spans="1:7">
      <c r="A23" s="16">
        <v>21</v>
      </c>
      <c r="B23" s="17">
        <v>45988</v>
      </c>
      <c r="C23" s="16" t="s">
        <v>184</v>
      </c>
      <c r="D23" s="16"/>
      <c r="E23" s="18">
        <v>120</v>
      </c>
      <c r="F23" s="16" t="s">
        <v>215</v>
      </c>
      <c r="G23" s="24" t="s">
        <v>238</v>
      </c>
    </row>
    <row r="24" s="35" customFormat="1" ht="50" customHeight="1" spans="1:7">
      <c r="A24" s="16">
        <v>22</v>
      </c>
      <c r="B24" s="17">
        <v>45988</v>
      </c>
      <c r="C24" s="16" t="s">
        <v>184</v>
      </c>
      <c r="D24" s="16"/>
      <c r="E24" s="18">
        <v>63760</v>
      </c>
      <c r="F24" s="16" t="s">
        <v>9</v>
      </c>
      <c r="G24" s="24" t="s">
        <v>238</v>
      </c>
    </row>
    <row r="25" s="35" customFormat="1" ht="54" customHeight="1" spans="1:7">
      <c r="A25" s="16">
        <v>23</v>
      </c>
      <c r="B25" s="17">
        <v>45988</v>
      </c>
      <c r="C25" s="16" t="s">
        <v>184</v>
      </c>
      <c r="D25" s="16"/>
      <c r="E25" s="18">
        <v>64020</v>
      </c>
      <c r="F25" s="16" t="s">
        <v>9</v>
      </c>
      <c r="G25" s="24" t="s">
        <v>238</v>
      </c>
    </row>
    <row r="26" s="35" customFormat="1" ht="21" customHeight="1" spans="1:7">
      <c r="A26" s="16">
        <v>24</v>
      </c>
      <c r="B26" s="17">
        <v>45988</v>
      </c>
      <c r="C26" s="16" t="s">
        <v>46</v>
      </c>
      <c r="D26" s="16"/>
      <c r="E26" s="18">
        <v>8000</v>
      </c>
      <c r="F26" s="16" t="s">
        <v>9</v>
      </c>
      <c r="G26" s="25" t="s">
        <v>11</v>
      </c>
    </row>
    <row r="27" s="35" customFormat="1" ht="21" customHeight="1" spans="1:7">
      <c r="A27" s="16">
        <v>25</v>
      </c>
      <c r="B27" s="17">
        <v>45988</v>
      </c>
      <c r="C27" s="16" t="s">
        <v>46</v>
      </c>
      <c r="D27" s="16"/>
      <c r="E27" s="18">
        <v>198000</v>
      </c>
      <c r="F27" s="16" t="s">
        <v>9</v>
      </c>
      <c r="G27" s="25" t="s">
        <v>11</v>
      </c>
    </row>
    <row r="28" s="35" customFormat="1" ht="21" customHeight="1" spans="1:7">
      <c r="A28" s="16">
        <v>26</v>
      </c>
      <c r="B28" s="17">
        <v>45988</v>
      </c>
      <c r="C28" s="16" t="s">
        <v>46</v>
      </c>
      <c r="D28" s="16"/>
      <c r="E28" s="18">
        <v>270000</v>
      </c>
      <c r="F28" s="16" t="s">
        <v>9</v>
      </c>
      <c r="G28" s="25" t="s">
        <v>11</v>
      </c>
    </row>
    <row r="29" s="35" customFormat="1" ht="21" customHeight="1" spans="1:7">
      <c r="A29" s="16">
        <v>27</v>
      </c>
      <c r="B29" s="17">
        <v>45989</v>
      </c>
      <c r="C29" s="16" t="s">
        <v>233</v>
      </c>
      <c r="D29" s="16"/>
      <c r="E29" s="18">
        <v>85073</v>
      </c>
      <c r="F29" s="16" t="s">
        <v>9</v>
      </c>
      <c r="G29" s="25"/>
    </row>
    <row r="30" s="35" customFormat="1" ht="21" customHeight="1" spans="1:7">
      <c r="A30" s="16">
        <v>29</v>
      </c>
      <c r="B30" s="17">
        <v>45989</v>
      </c>
      <c r="C30" s="16" t="s">
        <v>26</v>
      </c>
      <c r="D30" s="16"/>
      <c r="E30" s="18">
        <v>30000</v>
      </c>
      <c r="F30" s="16" t="s">
        <v>25</v>
      </c>
      <c r="G30" s="25" t="s">
        <v>11</v>
      </c>
    </row>
    <row r="31" s="35" customFormat="1" ht="21" customHeight="1" spans="1:7">
      <c r="A31" s="16">
        <v>30</v>
      </c>
      <c r="B31" s="17">
        <v>45989</v>
      </c>
      <c r="C31" s="16" t="s">
        <v>20</v>
      </c>
      <c r="D31" s="16"/>
      <c r="E31" s="18">
        <v>12137</v>
      </c>
      <c r="F31" s="16" t="s">
        <v>160</v>
      </c>
      <c r="G31" s="25"/>
    </row>
    <row r="32" s="35" customFormat="1" ht="21" customHeight="1" spans="1:7">
      <c r="A32" s="16">
        <v>31</v>
      </c>
      <c r="B32" s="17">
        <v>45989</v>
      </c>
      <c r="C32" s="16" t="s">
        <v>251</v>
      </c>
      <c r="D32" s="16"/>
      <c r="E32" s="18">
        <v>89000</v>
      </c>
      <c r="F32" s="16" t="s">
        <v>55</v>
      </c>
      <c r="G32" s="25" t="s">
        <v>11</v>
      </c>
    </row>
    <row r="33" s="35" customFormat="1" ht="21" customHeight="1" spans="1:7">
      <c r="A33" s="16">
        <v>33</v>
      </c>
      <c r="B33" s="17">
        <v>45988</v>
      </c>
      <c r="C33" s="16" t="s">
        <v>252</v>
      </c>
      <c r="D33" s="16"/>
      <c r="E33" s="18">
        <v>98000</v>
      </c>
      <c r="F33" s="16" t="s">
        <v>61</v>
      </c>
      <c r="G33" s="25"/>
    </row>
    <row r="34" s="35" customFormat="1" ht="21" customHeight="1" spans="1:7">
      <c r="A34" s="16"/>
      <c r="B34" s="17"/>
      <c r="C34" s="16"/>
      <c r="D34" s="16"/>
      <c r="E34" s="18"/>
      <c r="F34" s="16"/>
      <c r="G34" s="25"/>
    </row>
    <row r="35" s="35" customFormat="1" ht="21" customHeight="1" spans="1:7">
      <c r="A35" s="16"/>
      <c r="B35" s="17"/>
      <c r="C35" s="16"/>
      <c r="D35" s="16"/>
      <c r="E35" s="18"/>
      <c r="F35" s="16"/>
      <c r="G35" s="25"/>
    </row>
    <row r="36" s="35" customFormat="1" ht="19" customHeight="1" spans="1:7">
      <c r="A36" s="16"/>
      <c r="B36" s="17"/>
      <c r="C36" s="25"/>
      <c r="D36" s="25" t="s">
        <v>56</v>
      </c>
      <c r="E36" s="47">
        <f>SUM(E3:E35)</f>
        <v>1643080.52</v>
      </c>
      <c r="F36" s="43"/>
      <c r="G36" s="25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opLeftCell="A11" workbookViewId="0">
      <selection activeCell="M27" sqref="M27"/>
    </sheetView>
  </sheetViews>
  <sheetFormatPr defaultColWidth="9" defaultRowHeight="13.5" outlineLevelCol="6"/>
  <cols>
    <col min="1" max="1" width="4.88333333333333" style="33" customWidth="1"/>
    <col min="2" max="2" width="12.1333333333333" style="36" customWidth="1"/>
    <col min="3" max="3" width="34.6333333333333" style="35" customWidth="1"/>
    <col min="4" max="4" width="7" style="35" customWidth="1"/>
    <col min="5" max="5" width="18.75" style="35" customWidth="1"/>
    <col min="6" max="6" width="21.875" style="35" customWidth="1"/>
    <col min="7" max="7" width="22.3833333333333" style="35" customWidth="1"/>
    <col min="8" max="16384" width="9" style="35"/>
  </cols>
  <sheetData>
    <row r="1" s="33" customFormat="1" ht="27" customHeight="1" spans="1:7">
      <c r="A1" s="37" t="s">
        <v>253</v>
      </c>
      <c r="B1" s="37"/>
      <c r="C1" s="37"/>
      <c r="D1" s="37"/>
      <c r="E1" s="37"/>
      <c r="F1" s="37"/>
      <c r="G1" s="37"/>
    </row>
    <row r="2" s="34" customFormat="1" ht="20.25" customHeight="1" spans="1:7">
      <c r="A2" s="38" t="s">
        <v>1</v>
      </c>
      <c r="B2" s="38" t="s">
        <v>2</v>
      </c>
      <c r="C2" s="39" t="s">
        <v>3</v>
      </c>
      <c r="D2" s="39" t="s">
        <v>4</v>
      </c>
      <c r="E2" s="40" t="s">
        <v>5</v>
      </c>
      <c r="F2" s="41" t="s">
        <v>6</v>
      </c>
      <c r="G2" s="39" t="s">
        <v>7</v>
      </c>
    </row>
    <row r="3" s="35" customFormat="1" ht="18" customHeight="1" spans="1:7">
      <c r="A3" s="16">
        <v>1</v>
      </c>
      <c r="B3" s="17">
        <v>45992</v>
      </c>
      <c r="C3" s="25" t="s">
        <v>213</v>
      </c>
      <c r="D3" s="25"/>
      <c r="E3" s="42">
        <v>10000</v>
      </c>
      <c r="F3" s="43" t="s">
        <v>9</v>
      </c>
      <c r="G3" s="25"/>
    </row>
    <row r="4" s="35" customFormat="1" ht="18" customHeight="1" spans="1:7">
      <c r="A4" s="16">
        <v>2</v>
      </c>
      <c r="B4" s="17">
        <v>45995</v>
      </c>
      <c r="C4" s="25" t="s">
        <v>254</v>
      </c>
      <c r="D4" s="25"/>
      <c r="E4" s="42">
        <v>54000</v>
      </c>
      <c r="F4" s="43" t="s">
        <v>9</v>
      </c>
      <c r="G4" s="25"/>
    </row>
    <row r="5" s="35" customFormat="1" ht="18" customHeight="1" spans="1:7">
      <c r="A5" s="16">
        <v>3</v>
      </c>
      <c r="B5" s="17">
        <v>45995</v>
      </c>
      <c r="C5" s="25" t="s">
        <v>254</v>
      </c>
      <c r="D5" s="25"/>
      <c r="E5" s="42">
        <v>54000</v>
      </c>
      <c r="F5" s="43" t="s">
        <v>9</v>
      </c>
      <c r="G5" s="25"/>
    </row>
    <row r="6" s="35" customFormat="1" ht="18" customHeight="1" spans="1:7">
      <c r="A6" s="16">
        <v>4</v>
      </c>
      <c r="B6" s="17">
        <v>46001</v>
      </c>
      <c r="C6" s="25" t="s">
        <v>227</v>
      </c>
      <c r="D6" s="25"/>
      <c r="E6" s="42">
        <v>94500</v>
      </c>
      <c r="F6" s="43" t="s">
        <v>9</v>
      </c>
      <c r="G6" s="25"/>
    </row>
    <row r="7" s="35" customFormat="1" ht="18" customHeight="1" spans="1:7">
      <c r="A7" s="16">
        <v>5</v>
      </c>
      <c r="B7" s="17">
        <v>46006</v>
      </c>
      <c r="C7" s="25" t="s">
        <v>255</v>
      </c>
      <c r="D7" s="25"/>
      <c r="E7" s="42">
        <v>99400</v>
      </c>
      <c r="F7" s="43" t="s">
        <v>9</v>
      </c>
      <c r="G7" s="25"/>
    </row>
    <row r="8" s="35" customFormat="1" ht="18" customHeight="1" spans="1:7">
      <c r="A8" s="16">
        <v>6</v>
      </c>
      <c r="B8" s="17">
        <v>46007</v>
      </c>
      <c r="C8" s="25" t="s">
        <v>227</v>
      </c>
      <c r="D8" s="25"/>
      <c r="E8" s="42">
        <v>157000</v>
      </c>
      <c r="F8" s="43" t="s">
        <v>9</v>
      </c>
      <c r="G8" s="25"/>
    </row>
    <row r="9" s="35" customFormat="1" ht="18" customHeight="1" spans="1:7">
      <c r="A9" s="16">
        <v>7</v>
      </c>
      <c r="B9" s="17">
        <v>46007</v>
      </c>
      <c r="C9" s="43" t="s">
        <v>44</v>
      </c>
      <c r="D9" s="25"/>
      <c r="E9" s="42">
        <v>252808</v>
      </c>
      <c r="F9" s="43" t="s">
        <v>9</v>
      </c>
      <c r="G9" s="25"/>
    </row>
    <row r="10" s="35" customFormat="1" ht="18" customHeight="1" spans="1:7">
      <c r="A10" s="16">
        <v>8</v>
      </c>
      <c r="B10" s="17">
        <v>46009</v>
      </c>
      <c r="C10" s="43" t="s">
        <v>20</v>
      </c>
      <c r="D10" s="25"/>
      <c r="E10" s="42">
        <v>370438.48</v>
      </c>
      <c r="F10" s="43" t="s">
        <v>160</v>
      </c>
      <c r="G10" s="25"/>
    </row>
    <row r="11" s="35" customFormat="1" ht="18" customHeight="1" spans="1:7">
      <c r="A11" s="16">
        <v>9</v>
      </c>
      <c r="B11" s="17">
        <v>46009</v>
      </c>
      <c r="C11" s="43" t="s">
        <v>254</v>
      </c>
      <c r="D11" s="25"/>
      <c r="E11" s="42">
        <v>4450</v>
      </c>
      <c r="F11" s="43" t="s">
        <v>9</v>
      </c>
      <c r="G11" s="25" t="s">
        <v>23</v>
      </c>
    </row>
    <row r="12" s="35" customFormat="1" ht="18" customHeight="1" spans="1:7">
      <c r="A12" s="16">
        <v>10</v>
      </c>
      <c r="B12" s="17">
        <v>46013</v>
      </c>
      <c r="C12" s="43" t="s">
        <v>18</v>
      </c>
      <c r="D12" s="25"/>
      <c r="E12" s="42">
        <v>49740</v>
      </c>
      <c r="F12" s="43" t="s">
        <v>19</v>
      </c>
      <c r="G12" s="25"/>
    </row>
    <row r="13" s="35" customFormat="1" ht="18" customHeight="1" spans="1:7">
      <c r="A13" s="16">
        <v>11</v>
      </c>
      <c r="B13" s="17">
        <v>46014</v>
      </c>
      <c r="C13" s="43" t="s">
        <v>172</v>
      </c>
      <c r="D13" s="25"/>
      <c r="E13" s="42">
        <v>50000</v>
      </c>
      <c r="F13" s="43" t="s">
        <v>55</v>
      </c>
      <c r="G13" s="25" t="s">
        <v>11</v>
      </c>
    </row>
    <row r="14" s="35" customFormat="1" ht="18" customHeight="1" spans="1:7">
      <c r="A14" s="16">
        <v>12</v>
      </c>
      <c r="B14" s="17">
        <v>46014</v>
      </c>
      <c r="C14" s="43" t="s">
        <v>103</v>
      </c>
      <c r="D14" s="25"/>
      <c r="E14" s="42">
        <v>300000</v>
      </c>
      <c r="F14" s="43" t="s">
        <v>25</v>
      </c>
      <c r="G14" s="25" t="s">
        <v>37</v>
      </c>
    </row>
    <row r="15" s="35" customFormat="1" ht="18" customHeight="1" spans="1:7">
      <c r="A15" s="16">
        <v>13</v>
      </c>
      <c r="B15" s="17">
        <v>46017</v>
      </c>
      <c r="C15" s="43" t="s">
        <v>256</v>
      </c>
      <c r="D15" s="25"/>
      <c r="E15" s="42">
        <v>121610.08</v>
      </c>
      <c r="F15" s="43" t="s">
        <v>25</v>
      </c>
      <c r="G15" s="25" t="s">
        <v>11</v>
      </c>
    </row>
    <row r="16" s="35" customFormat="1" ht="18" customHeight="1" spans="1:7">
      <c r="A16" s="16">
        <v>14</v>
      </c>
      <c r="B16" s="17">
        <v>46020</v>
      </c>
      <c r="C16" s="44" t="s">
        <v>257</v>
      </c>
      <c r="D16" s="25"/>
      <c r="E16" s="42">
        <v>100000</v>
      </c>
      <c r="F16" s="44" t="s">
        <v>48</v>
      </c>
      <c r="G16" s="25" t="s">
        <v>11</v>
      </c>
    </row>
    <row r="17" s="35" customFormat="1" ht="18" customHeight="1" spans="1:7">
      <c r="A17" s="16">
        <v>15</v>
      </c>
      <c r="B17" s="17">
        <v>46021</v>
      </c>
      <c r="C17" s="43" t="s">
        <v>258</v>
      </c>
      <c r="D17" s="25"/>
      <c r="E17" s="42">
        <v>11303.69</v>
      </c>
      <c r="F17" s="44" t="s">
        <v>9</v>
      </c>
      <c r="G17" s="25" t="s">
        <v>11</v>
      </c>
    </row>
    <row r="18" s="35" customFormat="1" ht="18" customHeight="1" spans="1:7">
      <c r="A18" s="16">
        <v>16</v>
      </c>
      <c r="B18" s="17">
        <v>46020</v>
      </c>
      <c r="C18" s="43" t="s">
        <v>258</v>
      </c>
      <c r="D18" s="25"/>
      <c r="E18" s="42">
        <v>14696.31</v>
      </c>
      <c r="F18" s="44" t="s">
        <v>9</v>
      </c>
      <c r="G18" s="25"/>
    </row>
    <row r="19" s="35" customFormat="1" ht="18" customHeight="1" spans="1:7">
      <c r="A19" s="16">
        <v>17</v>
      </c>
      <c r="B19" s="17">
        <v>46020</v>
      </c>
      <c r="C19" s="43" t="s">
        <v>46</v>
      </c>
      <c r="D19" s="25"/>
      <c r="E19" s="45">
        <v>786.56</v>
      </c>
      <c r="F19" s="44" t="s">
        <v>48</v>
      </c>
      <c r="G19" s="25"/>
    </row>
    <row r="20" s="35" customFormat="1" ht="18" customHeight="1" spans="1:7">
      <c r="A20" s="16">
        <v>18</v>
      </c>
      <c r="B20" s="17">
        <v>46021</v>
      </c>
      <c r="C20" s="43" t="s">
        <v>46</v>
      </c>
      <c r="D20" s="25"/>
      <c r="E20" s="42">
        <v>90000</v>
      </c>
      <c r="F20" s="44" t="s">
        <v>48</v>
      </c>
      <c r="G20" s="25" t="s">
        <v>11</v>
      </c>
    </row>
    <row r="21" s="35" customFormat="1" ht="18" customHeight="1" spans="1:7">
      <c r="A21" s="16">
        <v>19</v>
      </c>
      <c r="B21" s="17">
        <v>46021</v>
      </c>
      <c r="C21" s="43" t="s">
        <v>46</v>
      </c>
      <c r="D21" s="25"/>
      <c r="E21" s="42">
        <v>73475</v>
      </c>
      <c r="F21" s="44" t="s">
        <v>48</v>
      </c>
      <c r="G21" s="25" t="s">
        <v>11</v>
      </c>
    </row>
    <row r="22" s="35" customFormat="1" ht="18" customHeight="1" spans="1:7">
      <c r="A22" s="16">
        <v>20</v>
      </c>
      <c r="B22" s="17">
        <v>46021</v>
      </c>
      <c r="C22" s="43" t="s">
        <v>46</v>
      </c>
      <c r="D22" s="25"/>
      <c r="E22" s="42">
        <v>4658.44</v>
      </c>
      <c r="F22" s="44" t="s">
        <v>48</v>
      </c>
      <c r="G22" s="25" t="s">
        <v>11</v>
      </c>
    </row>
    <row r="23" s="35" customFormat="1" ht="18" customHeight="1" spans="1:7">
      <c r="A23" s="16">
        <v>21</v>
      </c>
      <c r="B23" s="17">
        <v>46021</v>
      </c>
      <c r="C23" s="44" t="s">
        <v>35</v>
      </c>
      <c r="D23" s="25"/>
      <c r="E23" s="42">
        <v>208092.74</v>
      </c>
      <c r="F23" s="44" t="s">
        <v>25</v>
      </c>
      <c r="G23" s="25" t="s">
        <v>11</v>
      </c>
    </row>
    <row r="24" s="35" customFormat="1" ht="18" customHeight="1" spans="1:7">
      <c r="A24" s="16">
        <v>22</v>
      </c>
      <c r="B24" s="17">
        <v>46021</v>
      </c>
      <c r="C24" s="44" t="s">
        <v>46</v>
      </c>
      <c r="D24" s="25"/>
      <c r="E24" s="42">
        <v>56.3</v>
      </c>
      <c r="F24" s="44" t="s">
        <v>9</v>
      </c>
      <c r="G24" s="25"/>
    </row>
    <row r="25" s="35" customFormat="1" ht="18" customHeight="1" spans="1:7">
      <c r="A25" s="16">
        <v>23</v>
      </c>
      <c r="B25" s="17">
        <v>46021</v>
      </c>
      <c r="C25" s="44" t="s">
        <v>46</v>
      </c>
      <c r="D25" s="25"/>
      <c r="E25" s="42">
        <v>9735.6</v>
      </c>
      <c r="F25" s="44" t="s">
        <v>9</v>
      </c>
      <c r="G25" s="25" t="s">
        <v>11</v>
      </c>
    </row>
    <row r="26" s="35" customFormat="1" ht="18" customHeight="1" spans="1:7">
      <c r="A26" s="16">
        <v>24</v>
      </c>
      <c r="B26" s="17">
        <v>46021</v>
      </c>
      <c r="C26" s="44" t="s">
        <v>46</v>
      </c>
      <c r="D26" s="25"/>
      <c r="E26" s="42">
        <v>346000</v>
      </c>
      <c r="F26" s="44" t="s">
        <v>9</v>
      </c>
      <c r="G26" s="25" t="s">
        <v>11</v>
      </c>
    </row>
    <row r="27" s="35" customFormat="1" ht="18" customHeight="1" spans="1:7">
      <c r="A27" s="16">
        <v>25</v>
      </c>
      <c r="B27" s="17">
        <v>46021</v>
      </c>
      <c r="C27" s="44" t="s">
        <v>98</v>
      </c>
      <c r="D27" s="25"/>
      <c r="E27" s="42">
        <v>100000</v>
      </c>
      <c r="F27" s="44" t="s">
        <v>9</v>
      </c>
      <c r="G27" s="25" t="s">
        <v>11</v>
      </c>
    </row>
    <row r="28" s="35" customFormat="1" ht="18" customHeight="1" spans="1:7">
      <c r="A28" s="16">
        <v>26</v>
      </c>
      <c r="B28" s="17">
        <v>46021</v>
      </c>
      <c r="C28" s="44" t="s">
        <v>46</v>
      </c>
      <c r="D28" s="25"/>
      <c r="E28" s="42">
        <v>22900</v>
      </c>
      <c r="F28" s="44" t="s">
        <v>178</v>
      </c>
      <c r="G28" s="25"/>
    </row>
    <row r="29" s="35" customFormat="1" ht="18" customHeight="1" spans="1:7">
      <c r="A29" s="16">
        <v>27</v>
      </c>
      <c r="B29" s="17">
        <v>46021</v>
      </c>
      <c r="C29" s="44" t="s">
        <v>46</v>
      </c>
      <c r="D29" s="25"/>
      <c r="E29" s="42">
        <v>91744</v>
      </c>
      <c r="F29" s="43" t="s">
        <v>232</v>
      </c>
      <c r="G29" s="25"/>
    </row>
    <row r="30" s="35" customFormat="1" ht="27" customHeight="1" spans="1:7">
      <c r="A30" s="16">
        <v>28</v>
      </c>
      <c r="B30" s="17">
        <v>46022</v>
      </c>
      <c r="C30" s="43" t="s">
        <v>184</v>
      </c>
      <c r="D30" s="25"/>
      <c r="E30" s="42">
        <v>100000</v>
      </c>
      <c r="F30" s="44" t="s">
        <v>9</v>
      </c>
      <c r="G30" s="24" t="s">
        <v>238</v>
      </c>
    </row>
    <row r="31" s="35" customFormat="1" ht="18" customHeight="1" spans="1:7">
      <c r="A31" s="16">
        <v>29</v>
      </c>
      <c r="B31" s="17">
        <v>46022</v>
      </c>
      <c r="C31" s="43" t="s">
        <v>259</v>
      </c>
      <c r="D31" s="25"/>
      <c r="E31" s="42">
        <v>325543.2</v>
      </c>
      <c r="F31" s="44" t="s">
        <v>48</v>
      </c>
      <c r="G31" s="46" t="s">
        <v>260</v>
      </c>
    </row>
    <row r="32" s="35" customFormat="1" ht="18" customHeight="1" spans="1:7">
      <c r="A32" s="16"/>
      <c r="B32" s="17"/>
      <c r="C32" s="43"/>
      <c r="D32" s="25"/>
      <c r="E32" s="42"/>
      <c r="F32" s="44"/>
      <c r="G32" s="25"/>
    </row>
    <row r="33" s="35" customFormat="1" ht="18" customHeight="1" spans="1:7">
      <c r="A33" s="16"/>
      <c r="B33" s="17"/>
      <c r="C33" s="43"/>
      <c r="D33" s="25"/>
      <c r="E33" s="42"/>
      <c r="F33" s="43"/>
      <c r="G33" s="25"/>
    </row>
    <row r="34" s="35" customFormat="1" ht="27" customHeight="1" spans="1:7">
      <c r="A34" s="16"/>
      <c r="B34" s="17"/>
      <c r="C34" s="43"/>
      <c r="D34" s="25" t="s">
        <v>56</v>
      </c>
      <c r="E34" s="47">
        <f>SUM(E3:E33)</f>
        <v>3116938.4</v>
      </c>
      <c r="F34" s="43"/>
      <c r="G34" s="25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14" sqref="D14"/>
    </sheetView>
  </sheetViews>
  <sheetFormatPr defaultColWidth="9" defaultRowHeight="22" customHeight="1" outlineLevelCol="3"/>
  <cols>
    <col min="2" max="4" width="32.5333333333333" style="27" customWidth="1"/>
  </cols>
  <sheetData>
    <row r="1" customHeight="1" spans="1:4">
      <c r="A1" s="28" t="s">
        <v>261</v>
      </c>
      <c r="B1" s="29" t="s">
        <v>262</v>
      </c>
      <c r="C1" s="29" t="s">
        <v>263</v>
      </c>
      <c r="D1" s="30" t="s">
        <v>264</v>
      </c>
    </row>
    <row r="2" customHeight="1" spans="1:4">
      <c r="A2" s="28" t="s">
        <v>265</v>
      </c>
      <c r="B2" s="29">
        <v>4059167.01</v>
      </c>
      <c r="C2" s="29">
        <v>7530849.27</v>
      </c>
      <c r="D2" s="29">
        <f ca="1">SUMIFS(INDIRECT("'"&amp;A2&amp;"'!E:E"),INDIRECT("'"&amp;A2&amp;"'!D:D"),"合计")</f>
        <v>4870493.14</v>
      </c>
    </row>
    <row r="3" customHeight="1" spans="1:4">
      <c r="A3" s="28" t="s">
        <v>266</v>
      </c>
      <c r="B3" s="29">
        <v>1625801.07</v>
      </c>
      <c r="C3" s="29">
        <v>5593199.98</v>
      </c>
      <c r="D3" s="29">
        <f ca="1">SUMIFS(INDIRECT("'"&amp;A3&amp;"'!E:E"),INDIRECT("'"&amp;A3&amp;"'!D:D"),"合计")</f>
        <v>1961618.27</v>
      </c>
    </row>
    <row r="4" customHeight="1" spans="1:4">
      <c r="A4" s="28" t="s">
        <v>267</v>
      </c>
      <c r="B4" s="29">
        <v>2879253</v>
      </c>
      <c r="C4" s="29">
        <v>1386467.1</v>
      </c>
      <c r="D4" s="29">
        <f ca="1">SUMIFS(INDIRECT("'"&amp;A4&amp;"'!E:E"),INDIRECT("'"&amp;A4&amp;"'!D:D"),"合计")</f>
        <v>2222988.15</v>
      </c>
    </row>
    <row r="5" customHeight="1" spans="1:4">
      <c r="A5" s="28" t="s">
        <v>268</v>
      </c>
      <c r="B5" s="29">
        <v>3119659.89</v>
      </c>
      <c r="C5" s="29">
        <v>999600.94</v>
      </c>
      <c r="D5" s="29">
        <f ca="1" t="shared" ref="D4:D13" si="0">SUMIFS(INDIRECT("'"&amp;A5&amp;"'!E:E"),INDIRECT("'"&amp;A5&amp;"'!D:D"),"合计")</f>
        <v>2606168.1</v>
      </c>
    </row>
    <row r="6" customHeight="1" spans="1:4">
      <c r="A6" s="28" t="s">
        <v>269</v>
      </c>
      <c r="B6" s="29">
        <v>4306959.75</v>
      </c>
      <c r="C6" s="29">
        <v>1059218.12</v>
      </c>
      <c r="D6" s="29">
        <f ca="1" t="shared" si="0"/>
        <v>2446647.69</v>
      </c>
    </row>
    <row r="7" customHeight="1" spans="1:4">
      <c r="A7" s="28" t="s">
        <v>270</v>
      </c>
      <c r="B7" s="29">
        <v>3986068.35</v>
      </c>
      <c r="C7" s="29">
        <v>1906978.77</v>
      </c>
      <c r="D7" s="29">
        <f ca="1" t="shared" si="0"/>
        <v>1011623.46</v>
      </c>
    </row>
    <row r="8" customHeight="1" spans="1:4">
      <c r="A8" s="28" t="s">
        <v>271</v>
      </c>
      <c r="B8" s="29">
        <v>2655763.18</v>
      </c>
      <c r="C8" s="29">
        <v>3850709.65</v>
      </c>
      <c r="D8" s="29">
        <f ca="1" t="shared" si="0"/>
        <v>2022498.49</v>
      </c>
    </row>
    <row r="9" customHeight="1" spans="1:4">
      <c r="A9" s="28" t="s">
        <v>272</v>
      </c>
      <c r="B9" s="29">
        <v>3215694.41</v>
      </c>
      <c r="C9" s="29">
        <v>4551054.36</v>
      </c>
      <c r="D9" s="29">
        <f ca="1" t="shared" si="0"/>
        <v>1287899.39</v>
      </c>
    </row>
    <row r="10" customHeight="1" spans="1:4">
      <c r="A10" s="28" t="s">
        <v>273</v>
      </c>
      <c r="B10" s="29">
        <v>2428282.19</v>
      </c>
      <c r="C10" s="29">
        <v>3800514.28</v>
      </c>
      <c r="D10" s="29">
        <f ca="1" t="shared" si="0"/>
        <v>2017372.7</v>
      </c>
    </row>
    <row r="11" customHeight="1" spans="1:4">
      <c r="A11" s="28" t="s">
        <v>274</v>
      </c>
      <c r="B11" s="29">
        <v>1448899.19</v>
      </c>
      <c r="C11" s="29">
        <v>3781999.09</v>
      </c>
      <c r="D11" s="29">
        <f ca="1" t="shared" si="0"/>
        <v>2994556.1</v>
      </c>
    </row>
    <row r="12" customHeight="1" spans="1:4">
      <c r="A12" s="28" t="s">
        <v>275</v>
      </c>
      <c r="B12" s="29">
        <v>2260040.58</v>
      </c>
      <c r="C12" s="29">
        <v>3379242.95</v>
      </c>
      <c r="D12" s="29">
        <f ca="1" t="shared" si="0"/>
        <v>1643080.52</v>
      </c>
    </row>
    <row r="13" customHeight="1" spans="1:4">
      <c r="A13" s="28" t="s">
        <v>276</v>
      </c>
      <c r="B13" s="29">
        <v>3804665.46</v>
      </c>
      <c r="C13" s="29">
        <v>2842986.25</v>
      </c>
      <c r="D13" s="29">
        <f ca="1" t="shared" si="0"/>
        <v>3116938.4</v>
      </c>
    </row>
    <row r="14" customHeight="1" spans="1:4">
      <c r="A14" s="31" t="s">
        <v>56</v>
      </c>
      <c r="B14" s="32">
        <f>SUM(B2:B13)</f>
        <v>35790254.08</v>
      </c>
      <c r="C14" s="32">
        <f>SUM(C2:C13)</f>
        <v>40682820.76</v>
      </c>
      <c r="D14" s="32">
        <f ca="1">SUM(D2:D13)</f>
        <v>28201884.41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38"/>
  <sheetViews>
    <sheetView workbookViewId="0">
      <selection activeCell="K67" sqref="K67"/>
    </sheetView>
  </sheetViews>
  <sheetFormatPr defaultColWidth="9" defaultRowHeight="13.5"/>
  <cols>
    <col min="1" max="1" width="7.25" customWidth="1"/>
    <col min="2" max="2" width="11.75" customWidth="1"/>
    <col min="3" max="3" width="36.25" style="3" customWidth="1"/>
    <col min="4" max="4" width="8.38333333333333" style="3" customWidth="1"/>
    <col min="5" max="5" width="13.75" style="3" customWidth="1"/>
    <col min="6" max="6" width="18.3833333333333" style="3" customWidth="1"/>
    <col min="7" max="7" width="17.25" style="3" customWidth="1"/>
    <col min="8" max="8" width="30.375" style="3" customWidth="1"/>
    <col min="9" max="9" width="9" style="3"/>
  </cols>
  <sheetData>
    <row r="1" ht="24" customHeight="1" spans="1:9">
      <c r="A1" s="4" t="s">
        <v>277</v>
      </c>
      <c r="B1" s="4"/>
      <c r="C1" s="4"/>
      <c r="D1" s="4"/>
      <c r="E1" s="4"/>
      <c r="F1" s="4"/>
      <c r="G1" s="4"/>
      <c r="H1" s="4"/>
    </row>
    <row r="2" ht="21" customHeight="1" spans="1:9">
      <c r="A2" s="5" t="s">
        <v>1</v>
      </c>
      <c r="B2" s="5" t="s">
        <v>2</v>
      </c>
      <c r="C2" s="6" t="s">
        <v>3</v>
      </c>
      <c r="D2" s="6" t="s">
        <v>4</v>
      </c>
      <c r="E2" s="6" t="s">
        <v>278</v>
      </c>
      <c r="F2" s="7" t="s">
        <v>5</v>
      </c>
      <c r="G2" s="8" t="s">
        <v>6</v>
      </c>
      <c r="H2" s="6" t="s">
        <v>7</v>
      </c>
    </row>
    <row r="3" hidden="1" spans="1:9">
      <c r="A3" s="9">
        <v>1</v>
      </c>
      <c r="B3" s="10">
        <v>45660</v>
      </c>
      <c r="C3" s="9" t="s">
        <v>279</v>
      </c>
      <c r="D3" s="9"/>
      <c r="E3" s="9" t="s">
        <v>280</v>
      </c>
      <c r="F3" s="11">
        <v>8000</v>
      </c>
      <c r="G3" s="9" t="s">
        <v>9</v>
      </c>
      <c r="H3" s="9" t="s">
        <v>281</v>
      </c>
    </row>
    <row r="4" hidden="1" spans="1:9">
      <c r="A4" s="9">
        <v>2</v>
      </c>
      <c r="B4" s="10">
        <v>45681</v>
      </c>
      <c r="C4" s="9" t="s">
        <v>44</v>
      </c>
      <c r="D4" s="9"/>
      <c r="E4" s="9" t="s">
        <v>280</v>
      </c>
      <c r="F4" s="11">
        <v>20000</v>
      </c>
      <c r="G4" s="9" t="s">
        <v>9</v>
      </c>
      <c r="H4" s="9" t="s">
        <v>281</v>
      </c>
    </row>
    <row r="5" hidden="1" spans="1:9">
      <c r="A5" s="9">
        <v>3</v>
      </c>
      <c r="B5" s="10">
        <v>45681</v>
      </c>
      <c r="C5" s="9" t="s">
        <v>44</v>
      </c>
      <c r="D5" s="9"/>
      <c r="E5" s="9" t="s">
        <v>280</v>
      </c>
      <c r="F5" s="11">
        <v>20000</v>
      </c>
      <c r="G5" s="9" t="s">
        <v>141</v>
      </c>
      <c r="H5" s="9" t="s">
        <v>281</v>
      </c>
    </row>
    <row r="6" hidden="1" spans="1:9">
      <c r="A6" s="9">
        <v>4</v>
      </c>
      <c r="B6" s="10">
        <v>45716</v>
      </c>
      <c r="C6" s="9" t="s">
        <v>282</v>
      </c>
      <c r="D6" s="9"/>
      <c r="E6" s="9" t="s">
        <v>280</v>
      </c>
      <c r="F6" s="11">
        <v>1000</v>
      </c>
      <c r="G6" s="9" t="s">
        <v>283</v>
      </c>
      <c r="H6" s="9" t="s">
        <v>284</v>
      </c>
    </row>
    <row r="7" hidden="1" spans="1:9">
      <c r="A7" s="9">
        <v>5</v>
      </c>
      <c r="B7" s="10">
        <v>45713</v>
      </c>
      <c r="C7" s="9" t="s">
        <v>285</v>
      </c>
      <c r="D7" s="9"/>
      <c r="E7" s="9" t="s">
        <v>280</v>
      </c>
      <c r="F7" s="11">
        <v>10000</v>
      </c>
      <c r="G7" s="9" t="s">
        <v>9</v>
      </c>
      <c r="H7" s="9" t="s">
        <v>281</v>
      </c>
    </row>
    <row r="8" hidden="1" spans="1:9">
      <c r="A8" s="9">
        <v>6</v>
      </c>
      <c r="B8" s="10">
        <v>45714</v>
      </c>
      <c r="C8" s="9" t="s">
        <v>285</v>
      </c>
      <c r="D8" s="9"/>
      <c r="E8" s="9" t="s">
        <v>280</v>
      </c>
      <c r="F8" s="11">
        <v>10000</v>
      </c>
      <c r="G8" s="9" t="s">
        <v>9</v>
      </c>
      <c r="H8" s="9" t="s">
        <v>281</v>
      </c>
    </row>
    <row r="9" hidden="1" spans="1:9">
      <c r="A9" s="9">
        <v>7</v>
      </c>
      <c r="B9" s="10">
        <v>45720</v>
      </c>
      <c r="C9" s="9" t="s">
        <v>286</v>
      </c>
      <c r="D9" s="9"/>
      <c r="E9" s="9" t="s">
        <v>280</v>
      </c>
      <c r="F9" s="11">
        <v>10000</v>
      </c>
      <c r="G9" s="9" t="s">
        <v>9</v>
      </c>
      <c r="H9" s="9" t="s">
        <v>281</v>
      </c>
    </row>
    <row r="10" hidden="1" spans="1:9">
      <c r="A10" s="9">
        <v>8</v>
      </c>
      <c r="B10" s="10">
        <v>45720</v>
      </c>
      <c r="C10" s="9" t="s">
        <v>287</v>
      </c>
      <c r="D10" s="9"/>
      <c r="E10" s="9" t="s">
        <v>280</v>
      </c>
      <c r="F10" s="11">
        <v>10000</v>
      </c>
      <c r="G10" s="9" t="s">
        <v>9</v>
      </c>
      <c r="H10" s="9" t="s">
        <v>281</v>
      </c>
    </row>
    <row r="11" hidden="1" spans="1:9">
      <c r="A11" s="9">
        <v>9</v>
      </c>
      <c r="B11" s="10">
        <v>45721</v>
      </c>
      <c r="C11" s="9" t="s">
        <v>285</v>
      </c>
      <c r="D11" s="9"/>
      <c r="E11" s="9" t="s">
        <v>280</v>
      </c>
      <c r="F11" s="11">
        <v>10000</v>
      </c>
      <c r="G11" s="9" t="s">
        <v>9</v>
      </c>
      <c r="H11" s="9" t="s">
        <v>281</v>
      </c>
    </row>
    <row r="12" hidden="1" spans="1:9">
      <c r="A12" s="9">
        <v>10</v>
      </c>
      <c r="B12" s="10">
        <v>45728</v>
      </c>
      <c r="C12" s="9" t="s">
        <v>81</v>
      </c>
      <c r="D12" s="9"/>
      <c r="E12" s="9" t="s">
        <v>280</v>
      </c>
      <c r="F12" s="11">
        <v>50000</v>
      </c>
      <c r="G12" s="9" t="s">
        <v>9</v>
      </c>
      <c r="H12" s="9" t="s">
        <v>288</v>
      </c>
    </row>
    <row r="13" hidden="1" spans="1:9">
      <c r="A13" s="9">
        <v>11</v>
      </c>
      <c r="B13" s="10">
        <v>45729</v>
      </c>
      <c r="C13" s="9" t="s">
        <v>289</v>
      </c>
      <c r="D13" s="9"/>
      <c r="E13" s="9" t="s">
        <v>280</v>
      </c>
      <c r="F13" s="11">
        <v>10000</v>
      </c>
      <c r="G13" s="9" t="s">
        <v>9</v>
      </c>
      <c r="H13" s="9" t="s">
        <v>281</v>
      </c>
    </row>
    <row r="14" hidden="1" spans="1:9">
      <c r="A14" s="9">
        <v>12</v>
      </c>
      <c r="B14" s="10">
        <v>45740</v>
      </c>
      <c r="C14" s="9" t="s">
        <v>290</v>
      </c>
      <c r="D14" s="9"/>
      <c r="E14" s="9" t="s">
        <v>280</v>
      </c>
      <c r="F14" s="11">
        <v>3000</v>
      </c>
      <c r="G14" s="9" t="s">
        <v>291</v>
      </c>
      <c r="H14" s="9" t="s">
        <v>284</v>
      </c>
    </row>
    <row r="15" hidden="1" spans="1:9">
      <c r="A15" s="9">
        <v>13</v>
      </c>
      <c r="B15" s="10">
        <v>45741</v>
      </c>
      <c r="C15" s="9" t="s">
        <v>292</v>
      </c>
      <c r="D15" s="9"/>
      <c r="E15" s="9" t="s">
        <v>280</v>
      </c>
      <c r="F15" s="11">
        <v>32300</v>
      </c>
      <c r="G15" s="9" t="s">
        <v>9</v>
      </c>
      <c r="H15" s="9" t="s">
        <v>281</v>
      </c>
    </row>
    <row r="16" s="1" customFormat="1" spans="1:9">
      <c r="A16" s="12">
        <v>14</v>
      </c>
      <c r="B16" s="13">
        <v>45742</v>
      </c>
      <c r="C16" s="12" t="s">
        <v>46</v>
      </c>
      <c r="D16" s="12"/>
      <c r="E16" s="12" t="s">
        <v>280</v>
      </c>
      <c r="F16" s="14">
        <v>12000</v>
      </c>
      <c r="G16" s="12" t="s">
        <v>9</v>
      </c>
      <c r="H16" s="12" t="s">
        <v>281</v>
      </c>
      <c r="I16" s="15"/>
    </row>
    <row r="17" s="1" customFormat="1" spans="1:9">
      <c r="A17" s="12">
        <v>15</v>
      </c>
      <c r="B17" s="13">
        <v>45744</v>
      </c>
      <c r="C17" s="12" t="s">
        <v>46</v>
      </c>
      <c r="D17" s="12"/>
      <c r="E17" s="12" t="s">
        <v>280</v>
      </c>
      <c r="F17" s="14">
        <v>10000</v>
      </c>
      <c r="G17" s="12" t="s">
        <v>9</v>
      </c>
      <c r="H17" s="12" t="s">
        <v>281</v>
      </c>
      <c r="I17" s="15"/>
    </row>
    <row r="18" s="1" customFormat="1" spans="1:9">
      <c r="A18" s="12">
        <v>16</v>
      </c>
      <c r="B18" s="13">
        <v>45744</v>
      </c>
      <c r="C18" s="12" t="s">
        <v>46</v>
      </c>
      <c r="D18" s="12"/>
      <c r="E18" s="12" t="s">
        <v>280</v>
      </c>
      <c r="F18" s="14">
        <v>10000</v>
      </c>
      <c r="G18" s="12" t="s">
        <v>48</v>
      </c>
      <c r="H18" s="12" t="s">
        <v>281</v>
      </c>
      <c r="I18" s="15"/>
    </row>
    <row r="19" hidden="1" spans="1:9">
      <c r="A19" s="9">
        <v>17</v>
      </c>
      <c r="B19" s="10">
        <v>45748</v>
      </c>
      <c r="C19" s="9" t="s">
        <v>293</v>
      </c>
      <c r="D19" s="9"/>
      <c r="E19" s="9" t="s">
        <v>280</v>
      </c>
      <c r="F19" s="11">
        <v>3000</v>
      </c>
      <c r="G19" s="9" t="s">
        <v>9</v>
      </c>
      <c r="H19" s="9" t="s">
        <v>281</v>
      </c>
    </row>
    <row r="20" hidden="1" spans="1:9">
      <c r="A20" s="9">
        <v>18</v>
      </c>
      <c r="B20" s="10">
        <v>45748</v>
      </c>
      <c r="C20" s="9" t="s">
        <v>293</v>
      </c>
      <c r="D20" s="9"/>
      <c r="E20" s="9" t="s">
        <v>280</v>
      </c>
      <c r="F20" s="11">
        <v>0.27</v>
      </c>
      <c r="G20" s="9" t="s">
        <v>9</v>
      </c>
      <c r="H20" s="9" t="s">
        <v>294</v>
      </c>
    </row>
    <row r="21" hidden="1" spans="1:9">
      <c r="A21" s="9">
        <v>19</v>
      </c>
      <c r="B21" s="10">
        <v>45770</v>
      </c>
      <c r="C21" s="9" t="s">
        <v>295</v>
      </c>
      <c r="D21" s="9"/>
      <c r="E21" s="9" t="s">
        <v>280</v>
      </c>
      <c r="F21" s="11">
        <v>50000</v>
      </c>
      <c r="G21" s="9" t="s">
        <v>9</v>
      </c>
      <c r="H21" s="9" t="s">
        <v>281</v>
      </c>
    </row>
    <row r="22" hidden="1" spans="1:9">
      <c r="A22" s="9">
        <v>20</v>
      </c>
      <c r="B22" s="10">
        <v>45772</v>
      </c>
      <c r="C22" s="9" t="s">
        <v>233</v>
      </c>
      <c r="D22" s="9"/>
      <c r="E22" s="9" t="s">
        <v>280</v>
      </c>
      <c r="F22" s="11">
        <v>8000</v>
      </c>
      <c r="G22" s="9" t="s">
        <v>9</v>
      </c>
      <c r="H22" s="9" t="s">
        <v>296</v>
      </c>
    </row>
    <row r="23" s="1" customFormat="1" hidden="1" spans="1:9">
      <c r="A23" s="12">
        <v>21</v>
      </c>
      <c r="B23" s="13">
        <v>45772</v>
      </c>
      <c r="C23" s="12" t="s">
        <v>184</v>
      </c>
      <c r="D23" s="12"/>
      <c r="E23" s="12" t="s">
        <v>280</v>
      </c>
      <c r="F23" s="14">
        <v>15000</v>
      </c>
      <c r="G23" s="12" t="s">
        <v>297</v>
      </c>
      <c r="H23" s="12" t="s">
        <v>281</v>
      </c>
      <c r="I23" s="15"/>
    </row>
    <row r="24" hidden="1" spans="1:9">
      <c r="A24" s="9">
        <v>22</v>
      </c>
      <c r="B24" s="10">
        <v>45774</v>
      </c>
      <c r="C24" s="9" t="s">
        <v>298</v>
      </c>
      <c r="D24" s="9"/>
      <c r="E24" s="9" t="s">
        <v>280</v>
      </c>
      <c r="F24" s="11">
        <v>3000</v>
      </c>
      <c r="G24" s="9" t="s">
        <v>9</v>
      </c>
      <c r="H24" s="9" t="s">
        <v>281</v>
      </c>
    </row>
    <row r="25" hidden="1" spans="1:9">
      <c r="A25" s="9">
        <v>23</v>
      </c>
      <c r="B25" s="10">
        <v>45774</v>
      </c>
      <c r="C25" s="9" t="s">
        <v>298</v>
      </c>
      <c r="D25" s="9"/>
      <c r="E25" s="9" t="s">
        <v>280</v>
      </c>
      <c r="F25" s="11">
        <v>3000</v>
      </c>
      <c r="G25" s="9" t="s">
        <v>55</v>
      </c>
      <c r="H25" s="9" t="s">
        <v>281</v>
      </c>
    </row>
    <row r="26" hidden="1" spans="1:9">
      <c r="A26" s="9">
        <v>24</v>
      </c>
      <c r="B26" s="10">
        <v>45775</v>
      </c>
      <c r="C26" s="9" t="s">
        <v>285</v>
      </c>
      <c r="D26" s="9"/>
      <c r="E26" s="9" t="s">
        <v>280</v>
      </c>
      <c r="F26" s="11">
        <v>10000</v>
      </c>
      <c r="G26" s="9" t="s">
        <v>9</v>
      </c>
      <c r="H26" s="9"/>
    </row>
    <row r="27" hidden="1" spans="1:9">
      <c r="A27" s="9">
        <v>25</v>
      </c>
      <c r="B27" s="10">
        <v>45779</v>
      </c>
      <c r="C27" s="9" t="s">
        <v>299</v>
      </c>
      <c r="D27" s="9"/>
      <c r="E27" s="9" t="s">
        <v>280</v>
      </c>
      <c r="F27" s="11">
        <v>2000</v>
      </c>
      <c r="G27" s="9" t="s">
        <v>9</v>
      </c>
      <c r="H27" s="9" t="s">
        <v>281</v>
      </c>
    </row>
    <row r="28" s="1" customFormat="1" spans="1:9">
      <c r="A28" s="12">
        <v>26</v>
      </c>
      <c r="B28" s="13">
        <v>45783</v>
      </c>
      <c r="C28" s="12" t="s">
        <v>46</v>
      </c>
      <c r="D28" s="12"/>
      <c r="E28" s="12" t="s">
        <v>280</v>
      </c>
      <c r="F28" s="14">
        <v>15000</v>
      </c>
      <c r="G28" s="12" t="s">
        <v>9</v>
      </c>
      <c r="H28" s="12" t="s">
        <v>281</v>
      </c>
      <c r="I28" s="15"/>
    </row>
    <row r="29" hidden="1" spans="1:9">
      <c r="A29" s="9">
        <v>27</v>
      </c>
      <c r="B29" s="10">
        <v>45784</v>
      </c>
      <c r="C29" s="9" t="s">
        <v>300</v>
      </c>
      <c r="D29" s="9"/>
      <c r="E29" s="9" t="s">
        <v>280</v>
      </c>
      <c r="F29" s="11">
        <v>10000</v>
      </c>
      <c r="G29" s="9" t="s">
        <v>9</v>
      </c>
      <c r="H29" s="9" t="s">
        <v>281</v>
      </c>
    </row>
    <row r="30" s="1" customFormat="1" hidden="1" spans="1:9">
      <c r="A30" s="12">
        <v>28</v>
      </c>
      <c r="B30" s="13">
        <v>45784</v>
      </c>
      <c r="C30" s="12" t="s">
        <v>184</v>
      </c>
      <c r="D30" s="12"/>
      <c r="E30" s="12" t="s">
        <v>280</v>
      </c>
      <c r="F30" s="14">
        <v>15000</v>
      </c>
      <c r="G30" s="12" t="s">
        <v>301</v>
      </c>
      <c r="H30" s="12" t="s">
        <v>281</v>
      </c>
      <c r="I30" s="15"/>
    </row>
    <row r="31" hidden="1" spans="1:9">
      <c r="A31" s="9">
        <v>29</v>
      </c>
      <c r="B31" s="10">
        <v>45789</v>
      </c>
      <c r="C31" s="9" t="s">
        <v>299</v>
      </c>
      <c r="D31" s="9"/>
      <c r="E31" s="9" t="s">
        <v>280</v>
      </c>
      <c r="F31" s="11">
        <v>20000</v>
      </c>
      <c r="G31" s="9" t="s">
        <v>9</v>
      </c>
      <c r="H31" s="9" t="s">
        <v>281</v>
      </c>
    </row>
    <row r="32" s="1" customFormat="1" spans="1:9">
      <c r="A32" s="12">
        <v>30</v>
      </c>
      <c r="B32" s="13">
        <v>45791</v>
      </c>
      <c r="C32" s="12" t="s">
        <v>46</v>
      </c>
      <c r="D32" s="12"/>
      <c r="E32" s="12" t="s">
        <v>280</v>
      </c>
      <c r="F32" s="14">
        <v>15000</v>
      </c>
      <c r="G32" s="12" t="s">
        <v>9</v>
      </c>
      <c r="H32" s="12" t="s">
        <v>281</v>
      </c>
      <c r="I32" s="15"/>
    </row>
    <row r="33" hidden="1" spans="1:9">
      <c r="A33" s="9">
        <v>31</v>
      </c>
      <c r="B33" s="10">
        <v>45791</v>
      </c>
      <c r="C33" s="9" t="s">
        <v>302</v>
      </c>
      <c r="D33" s="9"/>
      <c r="E33" s="9" t="s">
        <v>280</v>
      </c>
      <c r="F33" s="11">
        <v>200</v>
      </c>
      <c r="G33" s="9" t="s">
        <v>9</v>
      </c>
      <c r="H33" s="9" t="s">
        <v>303</v>
      </c>
    </row>
    <row r="34" hidden="1" spans="1:9">
      <c r="A34" s="9">
        <v>32</v>
      </c>
      <c r="B34" s="10">
        <v>45791</v>
      </c>
      <c r="C34" s="9" t="s">
        <v>304</v>
      </c>
      <c r="D34" s="9"/>
      <c r="E34" s="9" t="s">
        <v>280</v>
      </c>
      <c r="F34" s="11">
        <v>10000</v>
      </c>
      <c r="G34" s="9" t="s">
        <v>9</v>
      </c>
      <c r="H34" s="9" t="s">
        <v>305</v>
      </c>
    </row>
    <row r="35" hidden="1" spans="1:9">
      <c r="A35" s="9">
        <v>33</v>
      </c>
      <c r="B35" s="10">
        <v>45792</v>
      </c>
      <c r="C35" s="9" t="s">
        <v>306</v>
      </c>
      <c r="D35" s="9"/>
      <c r="E35" s="9" t="s">
        <v>280</v>
      </c>
      <c r="F35" s="11">
        <v>20000</v>
      </c>
      <c r="G35" s="9" t="s">
        <v>9</v>
      </c>
      <c r="H35" s="9" t="s">
        <v>281</v>
      </c>
    </row>
    <row r="36" s="1" customFormat="1" hidden="1" spans="1:9">
      <c r="A36" s="12">
        <v>34</v>
      </c>
      <c r="B36" s="13">
        <v>45793</v>
      </c>
      <c r="C36" s="12" t="s">
        <v>184</v>
      </c>
      <c r="D36" s="12"/>
      <c r="E36" s="12" t="s">
        <v>280</v>
      </c>
      <c r="F36" s="14">
        <v>15000</v>
      </c>
      <c r="G36" s="12" t="s">
        <v>301</v>
      </c>
      <c r="H36" s="12" t="s">
        <v>281</v>
      </c>
      <c r="I36" s="15"/>
    </row>
    <row r="37" hidden="1" spans="1:9">
      <c r="A37" s="9">
        <v>35</v>
      </c>
      <c r="B37" s="10">
        <v>45799</v>
      </c>
      <c r="C37" s="9" t="s">
        <v>307</v>
      </c>
      <c r="D37" s="9"/>
      <c r="E37" s="9" t="s">
        <v>280</v>
      </c>
      <c r="F37" s="11">
        <v>18900</v>
      </c>
      <c r="G37" s="9" t="s">
        <v>9</v>
      </c>
      <c r="H37" s="9" t="s">
        <v>281</v>
      </c>
    </row>
    <row r="38" hidden="1" spans="1:9">
      <c r="A38" s="9">
        <v>36</v>
      </c>
      <c r="B38" s="10">
        <v>45804</v>
      </c>
      <c r="C38" s="9" t="s">
        <v>126</v>
      </c>
      <c r="D38" s="9"/>
      <c r="E38" s="9" t="s">
        <v>280</v>
      </c>
      <c r="F38" s="11">
        <v>1500</v>
      </c>
      <c r="G38" s="9" t="s">
        <v>25</v>
      </c>
      <c r="H38" s="9" t="s">
        <v>308</v>
      </c>
    </row>
    <row r="39" hidden="1" spans="1:9">
      <c r="A39" s="9">
        <v>37</v>
      </c>
      <c r="B39" s="10">
        <v>45804</v>
      </c>
      <c r="C39" s="9" t="s">
        <v>126</v>
      </c>
      <c r="D39" s="9"/>
      <c r="E39" s="9" t="s">
        <v>280</v>
      </c>
      <c r="F39" s="11">
        <v>4000</v>
      </c>
      <c r="G39" s="9" t="s">
        <v>25</v>
      </c>
      <c r="H39" s="9" t="s">
        <v>308</v>
      </c>
    </row>
    <row r="40" hidden="1" spans="1:9">
      <c r="A40" s="9">
        <v>38</v>
      </c>
      <c r="B40" s="10">
        <v>45812</v>
      </c>
      <c r="C40" s="9" t="s">
        <v>299</v>
      </c>
      <c r="D40" s="9"/>
      <c r="E40" s="9" t="s">
        <v>280</v>
      </c>
      <c r="F40" s="11">
        <v>1000</v>
      </c>
      <c r="G40" s="9" t="s">
        <v>9</v>
      </c>
      <c r="H40" s="9" t="s">
        <v>281</v>
      </c>
    </row>
    <row r="41" hidden="1" spans="1:9">
      <c r="A41" s="9">
        <v>39</v>
      </c>
      <c r="B41" s="10">
        <v>45813</v>
      </c>
      <c r="C41" s="9" t="s">
        <v>309</v>
      </c>
      <c r="D41" s="9"/>
      <c r="E41" s="9" t="s">
        <v>280</v>
      </c>
      <c r="F41" s="11">
        <v>10000</v>
      </c>
      <c r="G41" s="9" t="s">
        <v>9</v>
      </c>
      <c r="H41" s="9" t="s">
        <v>281</v>
      </c>
    </row>
    <row r="42" hidden="1" spans="1:9">
      <c r="A42" s="9">
        <v>40</v>
      </c>
      <c r="B42" s="10">
        <v>45820</v>
      </c>
      <c r="C42" s="9" t="s">
        <v>310</v>
      </c>
      <c r="D42" s="9"/>
      <c r="E42" s="9" t="s">
        <v>280</v>
      </c>
      <c r="F42" s="11">
        <v>2000</v>
      </c>
      <c r="G42" s="9" t="s">
        <v>9</v>
      </c>
      <c r="H42" s="9"/>
    </row>
    <row r="43" s="1" customFormat="1" hidden="1" spans="1:9">
      <c r="A43" s="12">
        <v>41</v>
      </c>
      <c r="B43" s="13">
        <v>45825</v>
      </c>
      <c r="C43" s="12" t="s">
        <v>184</v>
      </c>
      <c r="D43" s="12"/>
      <c r="E43" s="12" t="s">
        <v>280</v>
      </c>
      <c r="F43" s="14">
        <v>10000</v>
      </c>
      <c r="G43" s="12" t="s">
        <v>301</v>
      </c>
      <c r="H43" s="12"/>
      <c r="I43" s="15"/>
    </row>
    <row r="44" s="1" customFormat="1" spans="1:9">
      <c r="A44" s="12">
        <v>42</v>
      </c>
      <c r="B44" s="13">
        <v>45824</v>
      </c>
      <c r="C44" s="12" t="s">
        <v>46</v>
      </c>
      <c r="D44" s="12"/>
      <c r="E44" s="12" t="s">
        <v>280</v>
      </c>
      <c r="F44" s="14">
        <v>10000</v>
      </c>
      <c r="G44" s="12" t="s">
        <v>48</v>
      </c>
      <c r="H44" s="12"/>
      <c r="I44" s="15"/>
    </row>
    <row r="45" s="1" customFormat="1" spans="1:9">
      <c r="A45" s="12">
        <v>43</v>
      </c>
      <c r="B45" s="13">
        <v>45831</v>
      </c>
      <c r="C45" s="12" t="s">
        <v>46</v>
      </c>
      <c r="D45" s="12"/>
      <c r="E45" s="12" t="s">
        <v>280</v>
      </c>
      <c r="F45" s="14">
        <v>89000</v>
      </c>
      <c r="G45" s="12" t="s">
        <v>9</v>
      </c>
      <c r="H45" s="12" t="s">
        <v>284</v>
      </c>
      <c r="I45" s="15"/>
    </row>
    <row r="46" s="1" customFormat="1" spans="1:9">
      <c r="A46" s="12">
        <v>44</v>
      </c>
      <c r="B46" s="13">
        <v>45831</v>
      </c>
      <c r="C46" s="12" t="s">
        <v>46</v>
      </c>
      <c r="D46" s="12"/>
      <c r="E46" s="12" t="s">
        <v>280</v>
      </c>
      <c r="F46" s="14">
        <v>15000</v>
      </c>
      <c r="G46" s="12" t="s">
        <v>9</v>
      </c>
      <c r="H46" s="12" t="s">
        <v>284</v>
      </c>
      <c r="I46" s="15"/>
    </row>
    <row r="47" s="1" customFormat="1" spans="1:9">
      <c r="A47" s="12">
        <v>45</v>
      </c>
      <c r="B47" s="13">
        <v>45831</v>
      </c>
      <c r="C47" s="12" t="s">
        <v>46</v>
      </c>
      <c r="D47" s="12"/>
      <c r="E47" s="12" t="s">
        <v>280</v>
      </c>
      <c r="F47" s="14">
        <v>29000</v>
      </c>
      <c r="G47" s="12" t="s">
        <v>9</v>
      </c>
      <c r="H47" s="12" t="s">
        <v>284</v>
      </c>
      <c r="I47" s="15"/>
    </row>
    <row r="48" s="1" customFormat="1" spans="1:9">
      <c r="A48" s="12">
        <v>46</v>
      </c>
      <c r="B48" s="13">
        <v>45831</v>
      </c>
      <c r="C48" s="12" t="s">
        <v>46</v>
      </c>
      <c r="D48" s="12"/>
      <c r="E48" s="12" t="s">
        <v>280</v>
      </c>
      <c r="F48" s="14">
        <v>180000</v>
      </c>
      <c r="G48" s="12" t="s">
        <v>9</v>
      </c>
      <c r="H48" s="12" t="s">
        <v>284</v>
      </c>
      <c r="I48" s="15"/>
    </row>
    <row r="49" s="1" customFormat="1" spans="1:9">
      <c r="A49" s="12">
        <v>47</v>
      </c>
      <c r="B49" s="13">
        <v>45831</v>
      </c>
      <c r="C49" s="12" t="s">
        <v>46</v>
      </c>
      <c r="D49" s="12"/>
      <c r="E49" s="12" t="s">
        <v>280</v>
      </c>
      <c r="F49" s="14">
        <v>66000</v>
      </c>
      <c r="G49" s="12" t="s">
        <v>9</v>
      </c>
      <c r="H49" s="12" t="s">
        <v>284</v>
      </c>
      <c r="I49" s="15"/>
    </row>
    <row r="50" s="1" customFormat="1" spans="1:9">
      <c r="A50" s="12">
        <v>48</v>
      </c>
      <c r="B50" s="13">
        <v>45831</v>
      </c>
      <c r="C50" s="12" t="s">
        <v>46</v>
      </c>
      <c r="D50" s="12"/>
      <c r="E50" s="12" t="s">
        <v>280</v>
      </c>
      <c r="F50" s="14">
        <v>21000</v>
      </c>
      <c r="G50" s="12" t="s">
        <v>9</v>
      </c>
      <c r="H50" s="12" t="s">
        <v>284</v>
      </c>
      <c r="I50" s="15"/>
    </row>
    <row r="51" s="1" customFormat="1" spans="1:9">
      <c r="A51" s="12">
        <v>49</v>
      </c>
      <c r="B51" s="13">
        <v>45831</v>
      </c>
      <c r="C51" s="12" t="s">
        <v>46</v>
      </c>
      <c r="D51" s="12"/>
      <c r="E51" s="12" t="s">
        <v>280</v>
      </c>
      <c r="F51" s="14">
        <v>7000</v>
      </c>
      <c r="G51" s="12" t="s">
        <v>9</v>
      </c>
      <c r="H51" s="12" t="s">
        <v>284</v>
      </c>
      <c r="I51" s="15"/>
    </row>
    <row r="52" s="1" customFormat="1" spans="1:9">
      <c r="A52" s="12">
        <v>50</v>
      </c>
      <c r="B52" s="13">
        <v>45831</v>
      </c>
      <c r="C52" s="12" t="s">
        <v>46</v>
      </c>
      <c r="D52" s="12"/>
      <c r="E52" s="12" t="s">
        <v>280</v>
      </c>
      <c r="F52" s="14">
        <v>6950</v>
      </c>
      <c r="G52" s="12" t="s">
        <v>9</v>
      </c>
      <c r="H52" s="12" t="s">
        <v>311</v>
      </c>
      <c r="I52" s="15"/>
    </row>
    <row r="53" s="1" customFormat="1" spans="1:9">
      <c r="A53" s="12">
        <v>51</v>
      </c>
      <c r="B53" s="13">
        <v>45831</v>
      </c>
      <c r="C53" s="12" t="s">
        <v>46</v>
      </c>
      <c r="D53" s="12"/>
      <c r="E53" s="12" t="s">
        <v>280</v>
      </c>
      <c r="F53" s="14">
        <v>6950</v>
      </c>
      <c r="G53" s="12" t="s">
        <v>9</v>
      </c>
      <c r="H53" s="12" t="s">
        <v>288</v>
      </c>
      <c r="I53" s="15"/>
    </row>
    <row r="54" s="1" customFormat="1" spans="1:9">
      <c r="A54" s="12">
        <v>52</v>
      </c>
      <c r="B54" s="13">
        <v>45831</v>
      </c>
      <c r="C54" s="12" t="s">
        <v>46</v>
      </c>
      <c r="D54" s="12"/>
      <c r="E54" s="12" t="s">
        <v>280</v>
      </c>
      <c r="F54" s="14">
        <v>3675</v>
      </c>
      <c r="G54" s="12" t="s">
        <v>9</v>
      </c>
      <c r="H54" s="12" t="s">
        <v>288</v>
      </c>
      <c r="I54" s="15"/>
    </row>
    <row r="55" s="1" customFormat="1" spans="1:9">
      <c r="A55" s="12">
        <v>53</v>
      </c>
      <c r="B55" s="13">
        <v>45831</v>
      </c>
      <c r="C55" s="12" t="s">
        <v>46</v>
      </c>
      <c r="D55" s="12"/>
      <c r="E55" s="12" t="s">
        <v>280</v>
      </c>
      <c r="F55" s="14">
        <v>9000</v>
      </c>
      <c r="G55" s="12" t="s">
        <v>9</v>
      </c>
      <c r="H55" s="12" t="s">
        <v>284</v>
      </c>
      <c r="I55" s="15"/>
    </row>
    <row r="56" s="1" customFormat="1" spans="1:9">
      <c r="A56" s="12">
        <v>54</v>
      </c>
      <c r="B56" s="13">
        <v>45831</v>
      </c>
      <c r="C56" s="12" t="s">
        <v>46</v>
      </c>
      <c r="D56" s="12"/>
      <c r="E56" s="12" t="s">
        <v>280</v>
      </c>
      <c r="F56" s="14">
        <v>12000</v>
      </c>
      <c r="G56" s="12" t="s">
        <v>9</v>
      </c>
      <c r="H56" s="12" t="s">
        <v>284</v>
      </c>
      <c r="I56" s="15"/>
    </row>
    <row r="57" s="1" customFormat="1" spans="1:9">
      <c r="A57" s="12">
        <v>55</v>
      </c>
      <c r="B57" s="13">
        <v>45831</v>
      </c>
      <c r="C57" s="12" t="s">
        <v>46</v>
      </c>
      <c r="D57" s="12"/>
      <c r="E57" s="12" t="s">
        <v>280</v>
      </c>
      <c r="F57" s="14">
        <v>35000</v>
      </c>
      <c r="G57" s="12" t="s">
        <v>48</v>
      </c>
      <c r="H57" s="12" t="s">
        <v>284</v>
      </c>
      <c r="I57" s="15"/>
    </row>
    <row r="58" s="1" customFormat="1" spans="1:9">
      <c r="A58" s="12">
        <v>56</v>
      </c>
      <c r="B58" s="13">
        <v>45831</v>
      </c>
      <c r="C58" s="12" t="s">
        <v>46</v>
      </c>
      <c r="D58" s="12"/>
      <c r="E58" s="12" t="s">
        <v>280</v>
      </c>
      <c r="F58" s="14">
        <v>48000</v>
      </c>
      <c r="G58" s="12" t="s">
        <v>48</v>
      </c>
      <c r="H58" s="12" t="s">
        <v>284</v>
      </c>
      <c r="I58" s="15"/>
    </row>
    <row r="59" s="1" customFormat="1" spans="1:9">
      <c r="A59" s="12">
        <v>57</v>
      </c>
      <c r="B59" s="13">
        <v>45833</v>
      </c>
      <c r="C59" s="12" t="s">
        <v>46</v>
      </c>
      <c r="D59" s="12"/>
      <c r="E59" s="12" t="s">
        <v>280</v>
      </c>
      <c r="F59" s="14">
        <v>27999</v>
      </c>
      <c r="G59" s="12" t="s">
        <v>9</v>
      </c>
      <c r="H59" s="12" t="s">
        <v>288</v>
      </c>
      <c r="I59" s="15"/>
    </row>
    <row r="60" s="1" customFormat="1" spans="1:9">
      <c r="A60" s="12">
        <v>58</v>
      </c>
      <c r="B60" s="13">
        <v>45833</v>
      </c>
      <c r="C60" s="12" t="s">
        <v>46</v>
      </c>
      <c r="D60" s="12"/>
      <c r="E60" s="12" t="s">
        <v>280</v>
      </c>
      <c r="F60" s="14">
        <v>65500</v>
      </c>
      <c r="G60" s="12" t="s">
        <v>9</v>
      </c>
      <c r="H60" s="12" t="s">
        <v>288</v>
      </c>
      <c r="I60" s="15"/>
    </row>
    <row r="61" s="1" customFormat="1" spans="1:9">
      <c r="A61" s="12">
        <v>59</v>
      </c>
      <c r="B61" s="13">
        <v>45833</v>
      </c>
      <c r="C61" s="12" t="s">
        <v>46</v>
      </c>
      <c r="D61" s="12"/>
      <c r="E61" s="12" t="s">
        <v>280</v>
      </c>
      <c r="F61" s="14">
        <v>27999</v>
      </c>
      <c r="G61" s="12" t="s">
        <v>9</v>
      </c>
      <c r="H61" s="12" t="s">
        <v>311</v>
      </c>
      <c r="I61" s="15"/>
    </row>
    <row r="62" s="1" customFormat="1" spans="1:9">
      <c r="A62" s="12">
        <v>60</v>
      </c>
      <c r="B62" s="13">
        <v>45833</v>
      </c>
      <c r="C62" s="12" t="s">
        <v>46</v>
      </c>
      <c r="D62" s="12"/>
      <c r="E62" s="12" t="s">
        <v>280</v>
      </c>
      <c r="F62" s="14">
        <v>15975</v>
      </c>
      <c r="G62" s="12" t="s">
        <v>9</v>
      </c>
      <c r="H62" s="12" t="s">
        <v>288</v>
      </c>
      <c r="I62" s="15"/>
    </row>
    <row r="63" s="1" customFormat="1" spans="1:9">
      <c r="A63" s="12">
        <v>61</v>
      </c>
      <c r="B63" s="13">
        <v>45833</v>
      </c>
      <c r="C63" s="12" t="s">
        <v>46</v>
      </c>
      <c r="D63" s="12"/>
      <c r="E63" s="12" t="s">
        <v>280</v>
      </c>
      <c r="F63" s="14">
        <v>9000</v>
      </c>
      <c r="G63" s="12" t="s">
        <v>9</v>
      </c>
      <c r="H63" s="12" t="s">
        <v>288</v>
      </c>
      <c r="I63" s="15"/>
    </row>
    <row r="64" s="1" customFormat="1" spans="1:9">
      <c r="A64" s="12">
        <v>62</v>
      </c>
      <c r="B64" s="13">
        <v>45833</v>
      </c>
      <c r="C64" s="12" t="s">
        <v>46</v>
      </c>
      <c r="D64" s="12"/>
      <c r="E64" s="12" t="s">
        <v>280</v>
      </c>
      <c r="F64" s="14">
        <v>88500</v>
      </c>
      <c r="G64" s="12" t="s">
        <v>9</v>
      </c>
      <c r="H64" s="12" t="s">
        <v>288</v>
      </c>
      <c r="I64" s="15"/>
    </row>
    <row r="65" s="1" customFormat="1" spans="1:9">
      <c r="A65" s="12">
        <v>63</v>
      </c>
      <c r="B65" s="13">
        <v>45833</v>
      </c>
      <c r="C65" s="12" t="s">
        <v>46</v>
      </c>
      <c r="D65" s="12"/>
      <c r="E65" s="12" t="s">
        <v>280</v>
      </c>
      <c r="F65" s="14">
        <v>9000</v>
      </c>
      <c r="G65" s="12" t="s">
        <v>9</v>
      </c>
      <c r="H65" s="12" t="s">
        <v>311</v>
      </c>
      <c r="I65" s="15"/>
    </row>
    <row r="66" s="1" customFormat="1" spans="1:9">
      <c r="A66" s="12">
        <v>64</v>
      </c>
      <c r="B66" s="13">
        <v>45833</v>
      </c>
      <c r="C66" s="12" t="s">
        <v>46</v>
      </c>
      <c r="D66" s="12"/>
      <c r="E66" s="12" t="s">
        <v>280</v>
      </c>
      <c r="F66" s="14">
        <v>35000</v>
      </c>
      <c r="G66" s="12" t="s">
        <v>48</v>
      </c>
      <c r="H66" s="12" t="s">
        <v>288</v>
      </c>
      <c r="I66" s="15"/>
    </row>
    <row r="67" s="1" customFormat="1" spans="1:9">
      <c r="A67" s="12">
        <v>65</v>
      </c>
      <c r="B67" s="13">
        <v>45833</v>
      </c>
      <c r="C67" s="12" t="s">
        <v>46</v>
      </c>
      <c r="D67" s="12"/>
      <c r="E67" s="12" t="s">
        <v>280</v>
      </c>
      <c r="F67" s="14">
        <v>47850</v>
      </c>
      <c r="G67" s="12" t="s">
        <v>48</v>
      </c>
      <c r="H67" s="12" t="s">
        <v>288</v>
      </c>
      <c r="I67" s="15"/>
    </row>
    <row r="68" hidden="1" spans="1:9">
      <c r="A68" s="9">
        <v>66</v>
      </c>
      <c r="B68" s="10">
        <v>45833</v>
      </c>
      <c r="C68" s="16" t="s">
        <v>256</v>
      </c>
      <c r="D68" s="9"/>
      <c r="E68" s="9" t="s">
        <v>280</v>
      </c>
      <c r="F68" s="11">
        <v>29100</v>
      </c>
      <c r="G68" s="9" t="s">
        <v>25</v>
      </c>
      <c r="H68" s="9" t="s">
        <v>308</v>
      </c>
    </row>
    <row r="69" hidden="1" spans="1:9">
      <c r="A69" s="9">
        <v>67</v>
      </c>
      <c r="B69" s="10">
        <v>45833</v>
      </c>
      <c r="C69" s="9" t="s">
        <v>140</v>
      </c>
      <c r="D69" s="9"/>
      <c r="E69" s="9" t="s">
        <v>280</v>
      </c>
      <c r="F69" s="11">
        <v>57000</v>
      </c>
      <c r="G69" s="9" t="s">
        <v>9</v>
      </c>
      <c r="H69" s="9" t="s">
        <v>312</v>
      </c>
    </row>
    <row r="70" hidden="1" spans="1:9">
      <c r="A70" s="9">
        <v>68</v>
      </c>
      <c r="B70" s="10">
        <v>45834</v>
      </c>
      <c r="C70" s="9" t="s">
        <v>313</v>
      </c>
      <c r="D70" s="9"/>
      <c r="E70" s="9" t="s">
        <v>280</v>
      </c>
      <c r="F70" s="11">
        <v>40000</v>
      </c>
      <c r="G70" s="9" t="s">
        <v>9</v>
      </c>
      <c r="H70" s="9"/>
    </row>
    <row r="71" hidden="1" spans="1:9">
      <c r="A71" s="9">
        <v>69</v>
      </c>
      <c r="B71" s="17">
        <v>45834</v>
      </c>
      <c r="C71" s="16" t="s">
        <v>314</v>
      </c>
      <c r="D71" s="9"/>
      <c r="E71" s="9" t="s">
        <v>280</v>
      </c>
      <c r="F71" s="18">
        <v>10000</v>
      </c>
      <c r="G71" s="16" t="s">
        <v>25</v>
      </c>
      <c r="H71" s="9"/>
    </row>
    <row r="72" hidden="1" spans="1:9">
      <c r="A72" s="9">
        <v>70</v>
      </c>
      <c r="B72" s="17">
        <v>45834</v>
      </c>
      <c r="C72" s="9" t="s">
        <v>315</v>
      </c>
      <c r="D72" s="9"/>
      <c r="E72" s="9" t="s">
        <v>280</v>
      </c>
      <c r="F72" s="11">
        <v>5000</v>
      </c>
      <c r="G72" s="9" t="s">
        <v>316</v>
      </c>
      <c r="H72" s="9" t="s">
        <v>284</v>
      </c>
    </row>
    <row r="73" s="2" customFormat="1" hidden="1" spans="1:9">
      <c r="A73" s="9">
        <v>71</v>
      </c>
      <c r="B73" s="10">
        <v>45835</v>
      </c>
      <c r="C73" s="9" t="s">
        <v>304</v>
      </c>
      <c r="D73" s="9"/>
      <c r="E73" s="9" t="s">
        <v>280</v>
      </c>
      <c r="F73" s="11">
        <v>10000</v>
      </c>
      <c r="G73" s="9" t="s">
        <v>9</v>
      </c>
      <c r="H73" s="9"/>
      <c r="I73" s="19"/>
    </row>
    <row r="74" hidden="1" spans="1:9">
      <c r="A74" s="9">
        <v>72</v>
      </c>
      <c r="B74" s="10">
        <v>45840</v>
      </c>
      <c r="C74" s="9" t="s">
        <v>317</v>
      </c>
      <c r="D74" s="9"/>
      <c r="E74" s="9" t="s">
        <v>280</v>
      </c>
      <c r="F74" s="11">
        <v>50000</v>
      </c>
      <c r="G74" s="9" t="s">
        <v>9</v>
      </c>
      <c r="H74" s="9"/>
    </row>
    <row r="75" hidden="1" spans="1:9">
      <c r="A75" s="9">
        <v>73</v>
      </c>
      <c r="B75" s="10">
        <v>45842</v>
      </c>
      <c r="C75" s="9" t="s">
        <v>317</v>
      </c>
      <c r="D75" s="9"/>
      <c r="E75" s="9" t="s">
        <v>280</v>
      </c>
      <c r="F75" s="11">
        <v>100000</v>
      </c>
      <c r="G75" s="9" t="s">
        <v>9</v>
      </c>
      <c r="H75" s="9"/>
    </row>
    <row r="76" hidden="1" spans="1:9">
      <c r="A76" s="9">
        <v>74</v>
      </c>
      <c r="B76" s="10">
        <v>45842</v>
      </c>
      <c r="C76" s="9" t="s">
        <v>318</v>
      </c>
      <c r="D76" s="9"/>
      <c r="E76" s="9" t="s">
        <v>280</v>
      </c>
      <c r="F76" s="11">
        <v>10000</v>
      </c>
      <c r="G76" s="9" t="s">
        <v>9</v>
      </c>
      <c r="H76" s="9"/>
    </row>
    <row r="77" hidden="1" spans="1:9">
      <c r="A77" s="9">
        <v>75</v>
      </c>
      <c r="B77" s="10">
        <v>45847</v>
      </c>
      <c r="C77" s="9" t="s">
        <v>319</v>
      </c>
      <c r="D77" s="9"/>
      <c r="E77" s="9" t="s">
        <v>280</v>
      </c>
      <c r="F77" s="11">
        <v>15800</v>
      </c>
      <c r="G77" s="9" t="s">
        <v>19</v>
      </c>
      <c r="H77" s="9" t="s">
        <v>288</v>
      </c>
    </row>
    <row r="78" hidden="1" spans="1:9">
      <c r="A78" s="9">
        <v>76</v>
      </c>
      <c r="B78" s="10">
        <v>45849</v>
      </c>
      <c r="C78" s="9" t="s">
        <v>320</v>
      </c>
      <c r="D78" s="9"/>
      <c r="E78" s="9" t="s">
        <v>280</v>
      </c>
      <c r="F78" s="11">
        <v>10000</v>
      </c>
      <c r="G78" s="9" t="s">
        <v>9</v>
      </c>
      <c r="H78" s="9" t="s">
        <v>321</v>
      </c>
    </row>
    <row r="79" hidden="1" spans="1:9">
      <c r="A79" s="9">
        <v>77</v>
      </c>
      <c r="B79" s="10">
        <v>45852</v>
      </c>
      <c r="C79" s="9" t="s">
        <v>322</v>
      </c>
      <c r="D79" s="9"/>
      <c r="E79" s="9" t="s">
        <v>280</v>
      </c>
      <c r="F79" s="11">
        <v>15000</v>
      </c>
      <c r="G79" s="9" t="s">
        <v>9</v>
      </c>
      <c r="H79" s="9"/>
    </row>
    <row r="80" hidden="1" spans="1:9">
      <c r="A80" s="9">
        <v>78</v>
      </c>
      <c r="B80" s="10">
        <v>45853</v>
      </c>
      <c r="C80" s="9" t="s">
        <v>259</v>
      </c>
      <c r="D80" s="9"/>
      <c r="E80" s="9" t="s">
        <v>280</v>
      </c>
      <c r="F80" s="11">
        <v>30000</v>
      </c>
      <c r="G80" s="9" t="s">
        <v>9</v>
      </c>
      <c r="H80" s="9" t="s">
        <v>321</v>
      </c>
    </row>
    <row r="81" hidden="1" spans="1:9">
      <c r="A81" s="9">
        <v>79</v>
      </c>
      <c r="B81" s="17">
        <v>45859</v>
      </c>
      <c r="C81" s="20" t="s">
        <v>149</v>
      </c>
      <c r="D81" s="9"/>
      <c r="E81" s="9" t="s">
        <v>280</v>
      </c>
      <c r="F81" s="11">
        <v>10000</v>
      </c>
      <c r="G81" s="9" t="s">
        <v>9</v>
      </c>
      <c r="H81" s="9" t="s">
        <v>308</v>
      </c>
    </row>
    <row r="82" s="1" customFormat="1" spans="1:9">
      <c r="A82" s="12">
        <v>80</v>
      </c>
      <c r="B82" s="21">
        <v>45863</v>
      </c>
      <c r="C82" s="12" t="s">
        <v>46</v>
      </c>
      <c r="D82" s="12"/>
      <c r="E82" s="12" t="s">
        <v>280</v>
      </c>
      <c r="F82" s="14">
        <v>4000</v>
      </c>
      <c r="G82" s="12" t="s">
        <v>9</v>
      </c>
      <c r="H82" s="12" t="s">
        <v>284</v>
      </c>
      <c r="I82" s="15"/>
    </row>
    <row r="83" hidden="1" spans="1:9">
      <c r="A83" s="9">
        <v>81</v>
      </c>
      <c r="B83" s="17">
        <v>45873</v>
      </c>
      <c r="C83" s="16" t="s">
        <v>323</v>
      </c>
      <c r="D83" s="9"/>
      <c r="E83" s="9" t="s">
        <v>280</v>
      </c>
      <c r="F83" s="18">
        <v>10000</v>
      </c>
      <c r="G83" s="16" t="s">
        <v>9</v>
      </c>
      <c r="H83" s="9"/>
    </row>
    <row r="84" hidden="1" spans="1:9">
      <c r="A84" s="9">
        <v>82</v>
      </c>
      <c r="B84" s="17">
        <v>45873</v>
      </c>
      <c r="C84" s="16" t="s">
        <v>202</v>
      </c>
      <c r="D84" s="9"/>
      <c r="E84" s="9" t="s">
        <v>280</v>
      </c>
      <c r="F84" s="18">
        <v>32000</v>
      </c>
      <c r="G84" s="16" t="s">
        <v>9</v>
      </c>
      <c r="H84" s="16" t="s">
        <v>308</v>
      </c>
    </row>
    <row r="85" hidden="1" spans="1:9">
      <c r="A85" s="9">
        <v>83</v>
      </c>
      <c r="B85" s="17">
        <v>45873</v>
      </c>
      <c r="C85" s="16" t="s">
        <v>202</v>
      </c>
      <c r="D85" s="9"/>
      <c r="E85" s="9" t="s">
        <v>280</v>
      </c>
      <c r="F85" s="18">
        <v>30000</v>
      </c>
      <c r="G85" s="16" t="s">
        <v>9</v>
      </c>
      <c r="H85" s="16" t="s">
        <v>308</v>
      </c>
    </row>
    <row r="86" hidden="1" spans="1:9">
      <c r="A86" s="9">
        <v>84</v>
      </c>
      <c r="B86" s="17">
        <v>45874</v>
      </c>
      <c r="C86" s="16" t="s">
        <v>318</v>
      </c>
      <c r="D86" s="9"/>
      <c r="E86" s="9" t="s">
        <v>280</v>
      </c>
      <c r="F86" s="18">
        <v>20000</v>
      </c>
      <c r="G86" s="16" t="s">
        <v>9</v>
      </c>
      <c r="H86" s="9"/>
    </row>
    <row r="87" hidden="1" spans="1:9">
      <c r="A87" s="9">
        <v>85</v>
      </c>
      <c r="B87" s="17">
        <v>45889</v>
      </c>
      <c r="C87" s="9" t="s">
        <v>324</v>
      </c>
      <c r="D87" s="9"/>
      <c r="E87" s="9" t="s">
        <v>280</v>
      </c>
      <c r="F87" s="11">
        <v>20000</v>
      </c>
      <c r="G87" s="16" t="s">
        <v>9</v>
      </c>
      <c r="H87" s="9" t="s">
        <v>325</v>
      </c>
    </row>
    <row r="88" hidden="1" spans="1:9">
      <c r="A88" s="9">
        <v>86</v>
      </c>
      <c r="B88" s="17">
        <v>45894</v>
      </c>
      <c r="C88" s="9" t="s">
        <v>326</v>
      </c>
      <c r="D88" s="9"/>
      <c r="E88" s="9" t="s">
        <v>280</v>
      </c>
      <c r="F88" s="11">
        <v>3000</v>
      </c>
      <c r="G88" s="16" t="s">
        <v>9</v>
      </c>
      <c r="H88" s="9" t="s">
        <v>321</v>
      </c>
    </row>
    <row r="89" hidden="1" spans="1:9">
      <c r="A89" s="9">
        <v>87</v>
      </c>
      <c r="B89" s="17">
        <v>45897</v>
      </c>
      <c r="C89" s="16" t="s">
        <v>20</v>
      </c>
      <c r="D89" s="9"/>
      <c r="E89" s="9" t="s">
        <v>280</v>
      </c>
      <c r="F89" s="18">
        <v>20000</v>
      </c>
      <c r="G89" s="16" t="s">
        <v>9</v>
      </c>
      <c r="H89" s="9" t="s">
        <v>284</v>
      </c>
    </row>
    <row r="90" hidden="1" spans="1:9">
      <c r="A90" s="9">
        <v>88</v>
      </c>
      <c r="B90" s="17">
        <v>45905</v>
      </c>
      <c r="C90" s="9" t="s">
        <v>184</v>
      </c>
      <c r="D90" s="9"/>
      <c r="E90" s="9" t="s">
        <v>280</v>
      </c>
      <c r="F90" s="11">
        <v>16000</v>
      </c>
      <c r="G90" s="9" t="s">
        <v>301</v>
      </c>
      <c r="H90" s="9" t="s">
        <v>321</v>
      </c>
    </row>
    <row r="91" hidden="1" spans="1:9">
      <c r="A91" s="9">
        <v>89</v>
      </c>
      <c r="B91" s="17">
        <v>45908</v>
      </c>
      <c r="C91" s="9" t="s">
        <v>184</v>
      </c>
      <c r="D91" s="9"/>
      <c r="E91" s="9" t="s">
        <v>280</v>
      </c>
      <c r="F91" s="11">
        <v>20000</v>
      </c>
      <c r="G91" s="9" t="s">
        <v>301</v>
      </c>
      <c r="H91" s="9" t="s">
        <v>321</v>
      </c>
    </row>
    <row r="92" hidden="1" spans="1:9">
      <c r="A92" s="9">
        <v>90</v>
      </c>
      <c r="B92" s="17">
        <v>45905</v>
      </c>
      <c r="C92" s="16" t="s">
        <v>304</v>
      </c>
      <c r="D92" s="9"/>
      <c r="E92" s="9" t="s">
        <v>280</v>
      </c>
      <c r="F92" s="11">
        <v>10000</v>
      </c>
      <c r="G92" s="9" t="s">
        <v>9</v>
      </c>
      <c r="H92" s="9" t="s">
        <v>308</v>
      </c>
    </row>
    <row r="93" hidden="1" spans="1:9">
      <c r="A93" s="9">
        <v>91</v>
      </c>
      <c r="B93" s="17">
        <v>45912</v>
      </c>
      <c r="C93" s="16" t="s">
        <v>120</v>
      </c>
      <c r="D93" s="9"/>
      <c r="E93" s="9" t="s">
        <v>280</v>
      </c>
      <c r="F93" s="11">
        <v>10000</v>
      </c>
      <c r="G93" s="9" t="s">
        <v>9</v>
      </c>
      <c r="H93" s="9" t="s">
        <v>321</v>
      </c>
    </row>
    <row r="94" hidden="1" spans="1:9">
      <c r="A94" s="9">
        <v>92</v>
      </c>
      <c r="B94" s="17">
        <v>45912</v>
      </c>
      <c r="C94" s="16" t="s">
        <v>189</v>
      </c>
      <c r="D94" s="9"/>
      <c r="E94" s="9" t="s">
        <v>280</v>
      </c>
      <c r="F94" s="11">
        <v>7377.5</v>
      </c>
      <c r="G94" s="9" t="s">
        <v>9</v>
      </c>
      <c r="H94" s="9" t="s">
        <v>288</v>
      </c>
    </row>
    <row r="95" ht="18" hidden="1" customHeight="1" spans="1:9">
      <c r="A95" s="9">
        <v>93</v>
      </c>
      <c r="B95" s="17">
        <v>45912</v>
      </c>
      <c r="C95" s="16" t="s">
        <v>327</v>
      </c>
      <c r="D95" s="9"/>
      <c r="E95" s="9" t="s">
        <v>280</v>
      </c>
      <c r="F95" s="11">
        <v>20000</v>
      </c>
      <c r="G95" s="9" t="s">
        <v>9</v>
      </c>
      <c r="H95" s="9" t="s">
        <v>308</v>
      </c>
    </row>
    <row r="96" hidden="1" spans="1:9">
      <c r="A96" s="9">
        <v>94</v>
      </c>
      <c r="B96" s="17">
        <v>45918</v>
      </c>
      <c r="C96" s="16" t="s">
        <v>328</v>
      </c>
      <c r="D96" s="9"/>
      <c r="E96" s="9" t="s">
        <v>280</v>
      </c>
      <c r="F96" s="11">
        <v>8000</v>
      </c>
      <c r="G96" s="9" t="s">
        <v>9</v>
      </c>
      <c r="H96" s="9" t="s">
        <v>308</v>
      </c>
    </row>
    <row r="97" ht="20" hidden="1" customHeight="1" spans="1:12">
      <c r="A97" s="9">
        <v>95</v>
      </c>
      <c r="B97" s="17">
        <v>45918</v>
      </c>
      <c r="C97" s="16" t="s">
        <v>328</v>
      </c>
      <c r="D97" s="9"/>
      <c r="E97" s="9" t="s">
        <v>280</v>
      </c>
      <c r="F97" s="11">
        <v>3000</v>
      </c>
      <c r="G97" s="9" t="s">
        <v>48</v>
      </c>
      <c r="H97" s="9" t="s">
        <v>308</v>
      </c>
    </row>
    <row r="98" ht="18" hidden="1" customHeight="1" spans="1:12">
      <c r="A98" s="9">
        <v>96</v>
      </c>
      <c r="B98" s="17">
        <v>45922</v>
      </c>
      <c r="C98" s="16" t="s">
        <v>82</v>
      </c>
      <c r="D98" s="9"/>
      <c r="E98" s="9" t="s">
        <v>280</v>
      </c>
      <c r="F98" s="11">
        <v>5000</v>
      </c>
      <c r="G98" s="9" t="s">
        <v>55</v>
      </c>
      <c r="H98" s="9" t="s">
        <v>308</v>
      </c>
    </row>
    <row r="99" ht="18" hidden="1" customHeight="1" spans="1:12">
      <c r="A99" s="9">
        <v>97</v>
      </c>
      <c r="B99" s="17">
        <v>45922</v>
      </c>
      <c r="C99" s="16" t="s">
        <v>251</v>
      </c>
      <c r="D99" s="9"/>
      <c r="E99" s="9" t="s">
        <v>280</v>
      </c>
      <c r="F99" s="11">
        <v>3000</v>
      </c>
      <c r="G99" s="9" t="s">
        <v>55</v>
      </c>
      <c r="H99" s="9" t="s">
        <v>308</v>
      </c>
    </row>
    <row r="100" ht="18" hidden="1" customHeight="1" spans="1:12">
      <c r="A100" s="9">
        <v>98</v>
      </c>
      <c r="B100" s="17">
        <v>45923</v>
      </c>
      <c r="C100" s="16" t="s">
        <v>82</v>
      </c>
      <c r="D100" s="9"/>
      <c r="E100" s="9" t="s">
        <v>280</v>
      </c>
      <c r="F100" s="11">
        <v>5000</v>
      </c>
      <c r="G100" s="9" t="s">
        <v>55</v>
      </c>
      <c r="H100" s="9" t="s">
        <v>308</v>
      </c>
    </row>
    <row r="101" hidden="1" spans="1:12">
      <c r="A101" s="9">
        <v>99</v>
      </c>
      <c r="B101" s="17">
        <v>45923</v>
      </c>
      <c r="C101" s="16" t="s">
        <v>329</v>
      </c>
      <c r="D101" s="9"/>
      <c r="E101" s="9" t="s">
        <v>280</v>
      </c>
      <c r="F101" s="11">
        <v>80000</v>
      </c>
      <c r="G101" s="9" t="s">
        <v>19</v>
      </c>
      <c r="H101" s="9" t="s">
        <v>308</v>
      </c>
    </row>
    <row r="102" hidden="1" spans="1:12">
      <c r="A102" s="9">
        <v>100</v>
      </c>
      <c r="B102" s="17">
        <v>45923</v>
      </c>
      <c r="C102" s="18" t="s">
        <v>228</v>
      </c>
      <c r="D102" s="9"/>
      <c r="E102" s="9" t="s">
        <v>280</v>
      </c>
      <c r="F102" s="11">
        <v>1200</v>
      </c>
      <c r="G102" s="9" t="s">
        <v>9</v>
      </c>
      <c r="H102" s="9" t="s">
        <v>308</v>
      </c>
    </row>
    <row r="103" ht="15" customHeight="1" spans="1:12">
      <c r="A103" s="9">
        <v>101</v>
      </c>
      <c r="B103" s="17">
        <v>45925</v>
      </c>
      <c r="C103" s="18" t="s">
        <v>46</v>
      </c>
      <c r="D103" s="9"/>
      <c r="E103" s="9" t="s">
        <v>280</v>
      </c>
      <c r="F103" s="11">
        <v>41745.8</v>
      </c>
      <c r="G103" s="9" t="s">
        <v>9</v>
      </c>
      <c r="H103" s="9" t="s">
        <v>288</v>
      </c>
      <c r="I103" s="3">
        <v>9000</v>
      </c>
      <c r="J103">
        <v>8500</v>
      </c>
      <c r="K103">
        <v>16500</v>
      </c>
      <c r="L103">
        <v>7500</v>
      </c>
    </row>
    <row r="104" hidden="1" spans="1:12">
      <c r="A104" s="9">
        <v>102</v>
      </c>
      <c r="B104" s="17">
        <v>45925</v>
      </c>
      <c r="C104" s="16" t="s">
        <v>330</v>
      </c>
      <c r="D104" s="9"/>
      <c r="E104" s="9" t="s">
        <v>331</v>
      </c>
      <c r="F104" s="11">
        <v>2000</v>
      </c>
      <c r="G104" s="9" t="s">
        <v>9</v>
      </c>
      <c r="H104" s="9" t="s">
        <v>308</v>
      </c>
    </row>
    <row r="105" hidden="1" spans="1:12">
      <c r="A105" s="9">
        <v>103</v>
      </c>
      <c r="B105" s="17">
        <v>45925</v>
      </c>
      <c r="C105" s="16" t="s">
        <v>304</v>
      </c>
      <c r="D105" s="9"/>
      <c r="E105" s="9" t="s">
        <v>280</v>
      </c>
      <c r="F105" s="11">
        <v>10000</v>
      </c>
      <c r="G105" s="9" t="s">
        <v>9</v>
      </c>
      <c r="H105" s="9" t="s">
        <v>308</v>
      </c>
    </row>
    <row r="106" hidden="1" spans="1:12">
      <c r="A106" s="9">
        <v>104</v>
      </c>
      <c r="B106" s="17">
        <v>45926</v>
      </c>
      <c r="C106" s="16" t="s">
        <v>144</v>
      </c>
      <c r="D106" s="9"/>
      <c r="E106" s="9" t="s">
        <v>280</v>
      </c>
      <c r="F106" s="11">
        <v>50000</v>
      </c>
      <c r="G106" s="9" t="s">
        <v>9</v>
      </c>
      <c r="H106" s="9" t="s">
        <v>308</v>
      </c>
    </row>
    <row r="107" hidden="1" spans="1:12">
      <c r="A107" s="9">
        <v>105</v>
      </c>
      <c r="B107" s="17">
        <v>45930</v>
      </c>
      <c r="C107" s="18" t="s">
        <v>332</v>
      </c>
      <c r="D107" s="9"/>
      <c r="E107" s="9" t="s">
        <v>280</v>
      </c>
      <c r="F107" s="11">
        <v>5000</v>
      </c>
      <c r="G107" s="9" t="s">
        <v>9</v>
      </c>
      <c r="H107" s="9" t="s">
        <v>321</v>
      </c>
    </row>
    <row r="108" hidden="1" spans="1:12">
      <c r="A108" s="9">
        <v>106</v>
      </c>
      <c r="B108" s="17">
        <v>45941</v>
      </c>
      <c r="C108" s="18" t="s">
        <v>304</v>
      </c>
      <c r="D108" s="9"/>
      <c r="E108" s="9" t="s">
        <v>280</v>
      </c>
      <c r="F108" s="18">
        <v>10000</v>
      </c>
      <c r="G108" s="16" t="s">
        <v>9</v>
      </c>
      <c r="H108" s="9" t="s">
        <v>308</v>
      </c>
    </row>
    <row r="109" hidden="1" spans="1:12">
      <c r="A109" s="9">
        <v>107</v>
      </c>
      <c r="B109" s="17">
        <v>45943</v>
      </c>
      <c r="C109" s="18" t="s">
        <v>333</v>
      </c>
      <c r="D109" s="9"/>
      <c r="E109" s="9" t="s">
        <v>280</v>
      </c>
      <c r="F109" s="11">
        <v>10000</v>
      </c>
      <c r="G109" s="9" t="s">
        <v>25</v>
      </c>
      <c r="H109" s="9"/>
    </row>
    <row r="110" hidden="1" spans="1:12">
      <c r="A110" s="9">
        <v>108</v>
      </c>
      <c r="B110" s="17">
        <v>45945</v>
      </c>
      <c r="C110" s="16" t="s">
        <v>138</v>
      </c>
      <c r="D110" s="9"/>
      <c r="E110" s="9" t="s">
        <v>280</v>
      </c>
      <c r="F110" s="11">
        <v>20000</v>
      </c>
      <c r="G110" s="9" t="s">
        <v>25</v>
      </c>
      <c r="H110" s="9"/>
    </row>
    <row r="111" hidden="1" spans="1:12">
      <c r="A111" s="9">
        <v>109</v>
      </c>
      <c r="B111" s="17">
        <v>45946</v>
      </c>
      <c r="C111" s="18" t="s">
        <v>328</v>
      </c>
      <c r="D111" s="9"/>
      <c r="E111" s="9" t="s">
        <v>280</v>
      </c>
      <c r="F111" s="11">
        <v>9000</v>
      </c>
      <c r="G111" s="9" t="s">
        <v>9</v>
      </c>
      <c r="H111" s="9"/>
    </row>
    <row r="112" hidden="1" spans="1:12">
      <c r="A112" s="9">
        <v>110</v>
      </c>
      <c r="B112" s="17">
        <v>45945</v>
      </c>
      <c r="C112" s="16" t="s">
        <v>334</v>
      </c>
      <c r="D112" s="9"/>
      <c r="E112" s="9" t="s">
        <v>280</v>
      </c>
      <c r="F112" s="18">
        <v>50000</v>
      </c>
      <c r="G112" s="16" t="s">
        <v>246</v>
      </c>
      <c r="H112" s="9"/>
    </row>
    <row r="113" hidden="1" spans="1:9">
      <c r="A113" s="9">
        <v>111</v>
      </c>
      <c r="B113" s="17">
        <v>45951</v>
      </c>
      <c r="C113" s="16" t="s">
        <v>172</v>
      </c>
      <c r="D113" s="9"/>
      <c r="E113" s="9" t="s">
        <v>280</v>
      </c>
      <c r="F113" s="18">
        <v>13000</v>
      </c>
      <c r="G113" s="9" t="s">
        <v>55</v>
      </c>
      <c r="H113" s="9" t="s">
        <v>308</v>
      </c>
    </row>
    <row r="114" hidden="1" spans="1:9">
      <c r="A114" s="9">
        <v>112</v>
      </c>
      <c r="B114" s="17">
        <v>45952</v>
      </c>
      <c r="C114" s="16" t="s">
        <v>227</v>
      </c>
      <c r="D114" s="9"/>
      <c r="E114" s="9" t="s">
        <v>280</v>
      </c>
      <c r="F114" s="18">
        <v>41100</v>
      </c>
      <c r="G114" s="16" t="s">
        <v>9</v>
      </c>
      <c r="H114" s="9" t="s">
        <v>284</v>
      </c>
    </row>
    <row r="115" hidden="1" spans="1:9">
      <c r="A115" s="9">
        <v>113</v>
      </c>
      <c r="B115" s="17">
        <v>45953</v>
      </c>
      <c r="C115" s="16" t="s">
        <v>82</v>
      </c>
      <c r="D115" s="9"/>
      <c r="E115" s="9" t="s">
        <v>280</v>
      </c>
      <c r="F115" s="18">
        <v>10000</v>
      </c>
      <c r="G115" s="16" t="s">
        <v>9</v>
      </c>
      <c r="H115" s="9" t="s">
        <v>308</v>
      </c>
    </row>
    <row r="116" hidden="1" spans="1:9">
      <c r="A116" s="9">
        <v>114</v>
      </c>
      <c r="B116" s="17">
        <v>45953</v>
      </c>
      <c r="C116" s="16" t="s">
        <v>304</v>
      </c>
      <c r="D116" s="9"/>
      <c r="E116" s="9" t="s">
        <v>280</v>
      </c>
      <c r="F116" s="18">
        <v>10000</v>
      </c>
      <c r="G116" s="16" t="s">
        <v>9</v>
      </c>
      <c r="H116" s="9"/>
    </row>
    <row r="117" s="1" customFormat="1" spans="1:9">
      <c r="A117" s="12">
        <v>115</v>
      </c>
      <c r="B117" s="21">
        <v>45958</v>
      </c>
      <c r="C117" s="22" t="s">
        <v>46</v>
      </c>
      <c r="D117" s="12"/>
      <c r="E117" s="12" t="s">
        <v>280</v>
      </c>
      <c r="F117" s="23">
        <v>50000</v>
      </c>
      <c r="G117" s="22" t="s">
        <v>9</v>
      </c>
      <c r="H117" s="12" t="s">
        <v>288</v>
      </c>
      <c r="I117" s="15"/>
    </row>
    <row r="118" s="1" customFormat="1" spans="1:9">
      <c r="A118" s="12">
        <v>116</v>
      </c>
      <c r="B118" s="21">
        <v>45958</v>
      </c>
      <c r="C118" s="22" t="s">
        <v>46</v>
      </c>
      <c r="D118" s="12"/>
      <c r="E118" s="12" t="s">
        <v>280</v>
      </c>
      <c r="F118" s="23">
        <v>37000</v>
      </c>
      <c r="G118" s="12" t="s">
        <v>48</v>
      </c>
      <c r="H118" s="12" t="s">
        <v>288</v>
      </c>
      <c r="I118" s="15"/>
    </row>
    <row r="119" hidden="1" spans="1:9">
      <c r="A119" s="9">
        <v>117</v>
      </c>
      <c r="B119" s="17">
        <v>45961</v>
      </c>
      <c r="C119" s="16" t="s">
        <v>79</v>
      </c>
      <c r="D119" s="9"/>
      <c r="E119" s="9" t="s">
        <v>280</v>
      </c>
      <c r="F119" s="18">
        <v>1000</v>
      </c>
      <c r="G119" s="16" t="s">
        <v>55</v>
      </c>
      <c r="H119" s="9" t="s">
        <v>308</v>
      </c>
    </row>
    <row r="120" ht="27" hidden="1" customHeight="1" spans="1:9">
      <c r="A120" s="9">
        <v>118</v>
      </c>
      <c r="B120" s="17">
        <v>45965</v>
      </c>
      <c r="C120" s="16" t="s">
        <v>184</v>
      </c>
      <c r="D120" s="9"/>
      <c r="E120" s="9" t="s">
        <v>280</v>
      </c>
      <c r="F120" s="18">
        <v>44000</v>
      </c>
      <c r="G120" s="9" t="s">
        <v>301</v>
      </c>
      <c r="H120" s="24" t="s">
        <v>335</v>
      </c>
    </row>
    <row r="121" ht="27" hidden="1" customHeight="1" spans="1:9">
      <c r="A121" s="9">
        <v>119</v>
      </c>
      <c r="B121" s="17">
        <v>45965</v>
      </c>
      <c r="C121" s="16" t="s">
        <v>184</v>
      </c>
      <c r="D121" s="9"/>
      <c r="E121" s="9" t="s">
        <v>280</v>
      </c>
      <c r="F121" s="18">
        <v>9000</v>
      </c>
      <c r="G121" s="9" t="s">
        <v>301</v>
      </c>
      <c r="H121" s="24" t="s">
        <v>336</v>
      </c>
    </row>
    <row r="122" ht="18" hidden="1" customHeight="1" spans="1:9">
      <c r="A122" s="9">
        <v>120</v>
      </c>
      <c r="B122" s="17">
        <v>45966</v>
      </c>
      <c r="C122" s="16" t="s">
        <v>103</v>
      </c>
      <c r="D122" s="9"/>
      <c r="E122" s="9" t="s">
        <v>280</v>
      </c>
      <c r="F122" s="18">
        <v>10000</v>
      </c>
      <c r="G122" s="9" t="s">
        <v>9</v>
      </c>
      <c r="H122" s="24" t="s">
        <v>308</v>
      </c>
    </row>
    <row r="123" ht="18" hidden="1" customHeight="1" spans="1:9">
      <c r="A123" s="9">
        <v>121</v>
      </c>
      <c r="B123" s="17">
        <v>45973</v>
      </c>
      <c r="C123" s="16" t="s">
        <v>287</v>
      </c>
      <c r="D123" s="9"/>
      <c r="E123" s="9" t="s">
        <v>280</v>
      </c>
      <c r="F123" s="18">
        <v>20000</v>
      </c>
      <c r="G123" s="9" t="s">
        <v>9</v>
      </c>
      <c r="H123" s="24" t="s">
        <v>308</v>
      </c>
    </row>
    <row r="124" ht="18" hidden="1" customHeight="1" spans="1:9">
      <c r="A124" s="9">
        <v>122</v>
      </c>
      <c r="B124" s="17">
        <v>45974</v>
      </c>
      <c r="C124" s="16" t="s">
        <v>103</v>
      </c>
      <c r="D124" s="9"/>
      <c r="E124" s="9" t="s">
        <v>280</v>
      </c>
      <c r="F124" s="18">
        <v>9000</v>
      </c>
      <c r="G124" s="9" t="s">
        <v>9</v>
      </c>
      <c r="H124" s="24" t="s">
        <v>308</v>
      </c>
    </row>
    <row r="125" ht="18" hidden="1" customHeight="1" spans="1:9">
      <c r="A125" s="9">
        <v>123</v>
      </c>
      <c r="B125" s="17">
        <v>45974</v>
      </c>
      <c r="C125" s="16" t="s">
        <v>51</v>
      </c>
      <c r="D125" s="9"/>
      <c r="E125" s="9" t="s">
        <v>280</v>
      </c>
      <c r="F125" s="18">
        <v>1000</v>
      </c>
      <c r="G125" s="9" t="s">
        <v>30</v>
      </c>
      <c r="H125" s="24" t="s">
        <v>337</v>
      </c>
    </row>
    <row r="126" ht="18" hidden="1" customHeight="1" spans="1:9">
      <c r="A126" s="9">
        <v>124</v>
      </c>
      <c r="B126" s="17">
        <v>45980</v>
      </c>
      <c r="C126" s="16" t="s">
        <v>328</v>
      </c>
      <c r="D126" s="9"/>
      <c r="E126" s="9" t="s">
        <v>280</v>
      </c>
      <c r="F126" s="18">
        <v>8000</v>
      </c>
      <c r="G126" s="9" t="s">
        <v>48</v>
      </c>
      <c r="H126" s="24" t="s">
        <v>308</v>
      </c>
    </row>
    <row r="127" ht="18" hidden="1" customHeight="1" spans="1:9">
      <c r="A127" s="9">
        <v>125</v>
      </c>
      <c r="B127" s="17">
        <v>45987</v>
      </c>
      <c r="C127" s="16" t="s">
        <v>249</v>
      </c>
      <c r="D127" s="16"/>
      <c r="E127" s="9" t="s">
        <v>280</v>
      </c>
      <c r="F127" s="18">
        <v>10000</v>
      </c>
      <c r="G127" s="16" t="s">
        <v>25</v>
      </c>
      <c r="H127" s="24"/>
    </row>
    <row r="128" ht="18" hidden="1" customHeight="1" spans="1:9">
      <c r="A128" s="9">
        <v>126</v>
      </c>
      <c r="B128" s="17">
        <v>45988</v>
      </c>
      <c r="C128" s="16" t="s">
        <v>338</v>
      </c>
      <c r="D128" s="16"/>
      <c r="E128" s="9" t="s">
        <v>280</v>
      </c>
      <c r="F128" s="18">
        <v>5000</v>
      </c>
      <c r="G128" s="16" t="s">
        <v>9</v>
      </c>
      <c r="H128" s="24" t="s">
        <v>308</v>
      </c>
    </row>
    <row r="129" ht="18" hidden="1" customHeight="1" spans="1:9">
      <c r="A129" s="9">
        <v>127</v>
      </c>
      <c r="B129" s="17">
        <v>45989</v>
      </c>
      <c r="C129" s="16" t="s">
        <v>20</v>
      </c>
      <c r="D129" s="16"/>
      <c r="E129" s="9" t="s">
        <v>280</v>
      </c>
      <c r="F129" s="18">
        <v>44802</v>
      </c>
      <c r="G129" s="16" t="s">
        <v>9</v>
      </c>
      <c r="H129" s="24"/>
    </row>
    <row r="130" ht="18" hidden="1" customHeight="1" spans="1:9">
      <c r="A130" s="9">
        <v>128</v>
      </c>
      <c r="B130" s="17">
        <v>45989</v>
      </c>
      <c r="C130" s="16" t="s">
        <v>20</v>
      </c>
      <c r="D130" s="16"/>
      <c r="E130" s="9" t="s">
        <v>280</v>
      </c>
      <c r="F130" s="18">
        <v>59000</v>
      </c>
      <c r="G130" s="16" t="s">
        <v>9</v>
      </c>
      <c r="H130" s="24"/>
    </row>
    <row r="131" ht="18" hidden="1" customHeight="1" spans="1:9">
      <c r="A131" s="9">
        <v>129</v>
      </c>
      <c r="B131" s="17">
        <v>45996</v>
      </c>
      <c r="C131" s="25" t="s">
        <v>318</v>
      </c>
      <c r="D131" s="16"/>
      <c r="E131" s="9" t="s">
        <v>280</v>
      </c>
      <c r="F131" s="18">
        <v>50000</v>
      </c>
      <c r="G131" s="16" t="s">
        <v>9</v>
      </c>
      <c r="H131" s="24" t="s">
        <v>308</v>
      </c>
    </row>
    <row r="132" ht="18" hidden="1" customHeight="1" spans="1:9">
      <c r="A132" s="9">
        <v>130</v>
      </c>
      <c r="B132" s="17">
        <v>46001</v>
      </c>
      <c r="C132" s="16" t="s">
        <v>259</v>
      </c>
      <c r="D132" s="16"/>
      <c r="E132" s="9" t="s">
        <v>280</v>
      </c>
      <c r="F132" s="18">
        <v>83760</v>
      </c>
      <c r="G132" s="16" t="s">
        <v>9</v>
      </c>
      <c r="H132" s="24" t="s">
        <v>308</v>
      </c>
    </row>
    <row r="133" ht="18" hidden="1" customHeight="1" spans="1:9">
      <c r="A133" s="9"/>
      <c r="B133" s="17">
        <v>46009</v>
      </c>
      <c r="C133" s="16" t="s">
        <v>184</v>
      </c>
      <c r="D133" s="9"/>
      <c r="E133" s="9" t="s">
        <v>280</v>
      </c>
      <c r="F133" s="18">
        <v>10000</v>
      </c>
      <c r="G133" s="9" t="s">
        <v>301</v>
      </c>
      <c r="H133" s="24" t="s">
        <v>339</v>
      </c>
    </row>
    <row r="134" ht="18" hidden="1" customHeight="1" spans="1:9">
      <c r="A134" s="9"/>
      <c r="B134" s="17">
        <v>46009</v>
      </c>
      <c r="C134" s="16" t="s">
        <v>184</v>
      </c>
      <c r="D134" s="9"/>
      <c r="E134" s="9" t="s">
        <v>280</v>
      </c>
      <c r="F134" s="18">
        <v>5000</v>
      </c>
      <c r="G134" s="9" t="s">
        <v>301</v>
      </c>
      <c r="H134" s="24" t="s">
        <v>339</v>
      </c>
    </row>
    <row r="135" customFormat="1" ht="18" hidden="1" customHeight="1" spans="1:9">
      <c r="A135" s="9"/>
      <c r="B135" s="17">
        <v>46017</v>
      </c>
      <c r="C135" s="16" t="s">
        <v>120</v>
      </c>
      <c r="D135" s="9"/>
      <c r="E135" s="9" t="s">
        <v>280</v>
      </c>
      <c r="F135" s="18">
        <v>35000</v>
      </c>
      <c r="G135" s="9" t="s">
        <v>9</v>
      </c>
      <c r="H135" s="24" t="s">
        <v>308</v>
      </c>
      <c r="I135" s="3"/>
    </row>
    <row r="136" customFormat="1" ht="18" customHeight="1" spans="1:9">
      <c r="A136" s="9"/>
      <c r="B136" s="17"/>
      <c r="C136" s="16"/>
      <c r="D136" s="16"/>
      <c r="E136" s="9"/>
      <c r="F136" s="18"/>
      <c r="G136" s="16"/>
      <c r="H136" s="24"/>
      <c r="I136" s="3"/>
    </row>
    <row r="137" ht="18" customHeight="1" spans="1:9">
      <c r="A137" s="9"/>
      <c r="B137" s="17"/>
      <c r="C137" s="16"/>
      <c r="D137" s="16"/>
      <c r="E137" s="9"/>
      <c r="F137" s="18"/>
      <c r="G137" s="16"/>
      <c r="H137" s="24"/>
    </row>
    <row r="138" ht="19" customHeight="1" spans="1:9">
      <c r="A138" s="9"/>
      <c r="B138" s="10"/>
      <c r="C138" s="9"/>
      <c r="D138" s="9"/>
      <c r="E138" s="6" t="s">
        <v>56</v>
      </c>
      <c r="F138" s="26">
        <f>SUM(F3:F137)</f>
        <v>2846183.57</v>
      </c>
      <c r="G138" s="9"/>
      <c r="H138" s="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I135" etc:filterBottomFollowUsedRange="0">
    <filterColumn colId="2">
      <customFilters>
        <customFilter operator="equal" val="青海发投碱业有限公司"/>
      </customFilters>
    </filterColumn>
    <extLst/>
  </autoFilter>
  <mergeCells count="1">
    <mergeCell ref="A1:H1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pivotTables>
        <pivotTable pivotTableName="数据透视表2" updateTime="-1" sourceDataDirty="0"/>
      </pivotTables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</woSheetsProps>
  <woBookProps>
    <bookSettings fileId="39064091926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4"/>
  <pixelatorList sheetStid="15"/>
  <pixelatorList sheetStid="16"/>
  <pixelatorList sheetStid="2"/>
  <pixelatorList sheetStid="19"/>
  <pixelatorList sheetStid="2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汇总</vt:lpstr>
      <vt:lpstr>保证金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AZB-001</dc:creator>
  <cp:lastModifiedBy>黄婷</cp:lastModifiedBy>
  <dcterms:created xsi:type="dcterms:W3CDTF">2023-01-09T01:03:00Z</dcterms:created>
  <dcterms:modified xsi:type="dcterms:W3CDTF">2026-03-01T00:17:00Z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1B54F8058C864D90947532CFC8894D74_13</vt:lpwstr>
  </property>
  <property fmtid="{D5CDD505-2E9C-101B-9397-08002B2CF9AE}" pid="3" name="KSOProductBuildVer">
    <vt:lpwstr>2052-12.9.0.25970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