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ezhang/Downloads/"/>
    </mc:Choice>
  </mc:AlternateContent>
  <xr:revisionPtr revIDLastSave="0" documentId="13_ncr:1_{6A7F146A-9D4C-8548-A666-A3E28EA099EA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现金流总表" sheetId="1" r:id="rId1"/>
    <sheet name="现金流流入" sheetId="3" r:id="rId2"/>
    <sheet name="现金流图表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3" i="1"/>
  <c r="F4" i="1"/>
  <c r="F5" i="1"/>
  <c r="F6" i="1"/>
  <c r="F7" i="1"/>
  <c r="F8" i="1"/>
  <c r="F9" i="1"/>
  <c r="F10" i="1"/>
  <c r="F11" i="1"/>
  <c r="F12" i="1"/>
  <c r="F13" i="1"/>
  <c r="E14" i="1"/>
  <c r="E13" i="3"/>
  <c r="F12" i="3"/>
  <c r="F11" i="3"/>
  <c r="F10" i="3"/>
  <c r="F9" i="3"/>
  <c r="F8" i="3"/>
  <c r="F7" i="3"/>
  <c r="F6" i="3"/>
  <c r="F5" i="3"/>
  <c r="F4" i="3"/>
  <c r="F3" i="3"/>
  <c r="F2" i="3"/>
  <c r="H9" i="1"/>
  <c r="H3" i="1"/>
  <c r="H4" i="1"/>
  <c r="H5" i="1"/>
  <c r="H6" i="1"/>
  <c r="H7" i="1"/>
  <c r="H8" i="1"/>
  <c r="H10" i="1"/>
  <c r="H11" i="1"/>
  <c r="H12" i="1"/>
  <c r="H13" i="1"/>
  <c r="G14" i="1"/>
  <c r="H14" i="1" l="1"/>
  <c r="F13" i="3"/>
</calcChain>
</file>

<file path=xl/sharedStrings.xml><?xml version="1.0" encoding="utf-8"?>
<sst xmlns="http://schemas.openxmlformats.org/spreadsheetml/2006/main" count="44" uniqueCount="26">
  <si>
    <t>时间</t>
  </si>
  <si>
    <t>合同金额(元)</t>
  </si>
  <si>
    <t>开票金额(元)</t>
  </si>
  <si>
    <t>资金流</t>
  </si>
  <si>
    <t>现金流入</t>
  </si>
  <si>
    <t>现金流出</t>
  </si>
  <si>
    <t>2025年-11月</t>
  </si>
  <si>
    <t>2025年-10月</t>
  </si>
  <si>
    <t>2025年-09月</t>
  </si>
  <si>
    <t>2025年-08月</t>
  </si>
  <si>
    <t>2025年-07月</t>
  </si>
  <si>
    <t>2025年-06月</t>
  </si>
  <si>
    <t>2025年-05月</t>
  </si>
  <si>
    <t>2025年-04月</t>
  </si>
  <si>
    <t>2025年-03月</t>
  </si>
  <si>
    <t>2025年-02月</t>
  </si>
  <si>
    <t>2025年-01月</t>
  </si>
  <si>
    <t>总计</t>
  </si>
  <si>
    <t>应收回款</t>
  </si>
  <si>
    <t>其他现金流入</t>
  </si>
  <si>
    <t>数据来源</t>
  </si>
  <si>
    <t>财务应收回款</t>
  </si>
  <si>
    <t>WPS财务2025年回款表</t>
  </si>
  <si>
    <t>红圈应收回款</t>
  </si>
  <si>
    <t>红圈其他现金流入</t>
  </si>
  <si>
    <t>财务其他现金流入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</si>
</sst>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0.00"/>
    <numFmt numFmtId="165" formatCode="###,##0.00"/>
  </numFmts>
  <fonts count="3">
    <font>
      <sz val="11"/>
      <color indexed="8"/>
      <name val="Aptos Narrow"/>
      <family val="2"/>
      <scheme val="minor"/>
    </font>
    <font>
      <b/>
      <sz val="11"/>
      <name val="宋体"/>
      <charset val="134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2">
    <dxf>
      <numFmt numFmtId="165" formatCode="###,##0.00"/>
    </dxf>
    <dxf>
      <numFmt numFmtId="165" formatCode="###,##0.00"/>
    </dxf>
    <dxf>
      <numFmt numFmtId="165" formatCode="###,##0.00"/>
    </dxf>
    <dxf>
      <numFmt numFmtId="165" formatCode="###,##0.00"/>
    </dxf>
    <dxf>
      <numFmt numFmtId="165" formatCode="###,##0.00"/>
      <alignment horizontal="center" vertical="center" textRotation="0" wrapText="0" indent="0" justifyLastLine="0" shrinkToFit="0" readingOrder="0"/>
    </dxf>
    <dxf>
      <numFmt numFmtId="165" formatCode="###,##0.00"/>
      <alignment horizontal="center" vertical="center" textRotation="0" wrapText="0" indent="0" justifyLastLine="0" shrinkToFit="0" readingOrder="0"/>
    </dxf>
    <dxf>
      <numFmt numFmtId="165" formatCode="###,##0.0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wrapText="0" indent="0" justifyLastLine="0" shrinkToFit="0" readingOrder="0"/>
    </dxf>
    <dxf>
      <numFmt numFmtId="165" formatCode="###,##0.00"/>
      <alignment horizontal="center" vertical="center" textRotation="0" wrapText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numFmt numFmtId="165" formatCode="###,##0.0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charset val="134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现金流总表!$B$2</c:f>
              <c:strCache>
                <c:ptCount val="1"/>
                <c:pt idx="0">
                  <c:v>资金流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现金流总表!$A$3:$A$13</c:f>
              <c:strCache>
                <c:ptCount val="11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  <c:pt idx="10">
                  <c:v>2025年-11月</c:v>
                </c:pt>
              </c:strCache>
            </c:strRef>
          </c:cat>
          <c:val>
            <c:numRef>
              <c:f>现金流总表!$B$3:$B$13</c:f>
              <c:numCache>
                <c:formatCode>###,##0.00</c:formatCode>
                <c:ptCount val="11"/>
                <c:pt idx="0">
                  <c:v>2292426.7599999998</c:v>
                </c:pt>
                <c:pt idx="1">
                  <c:v>1015645.83</c:v>
                </c:pt>
                <c:pt idx="2">
                  <c:v>786914.74</c:v>
                </c:pt>
                <c:pt idx="3">
                  <c:v>781641.08</c:v>
                </c:pt>
                <c:pt idx="4">
                  <c:v>-1224948.6599999999</c:v>
                </c:pt>
                <c:pt idx="5">
                  <c:v>-1606277.05</c:v>
                </c:pt>
                <c:pt idx="6">
                  <c:v>-2063784.33</c:v>
                </c:pt>
                <c:pt idx="7">
                  <c:v>-557915.99</c:v>
                </c:pt>
                <c:pt idx="8">
                  <c:v>841765.09</c:v>
                </c:pt>
                <c:pt idx="9">
                  <c:v>2061300.17</c:v>
                </c:pt>
                <c:pt idx="10">
                  <c:v>-446084.6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1-5642-ADAE-01E8A03581B1}"/>
            </c:ext>
          </c:extLst>
        </c:ser>
        <c:ser>
          <c:idx val="1"/>
          <c:order val="1"/>
          <c:tx>
            <c:strRef>
              <c:f>现金流总表!$C$2</c:f>
              <c:strCache>
                <c:ptCount val="1"/>
                <c:pt idx="0">
                  <c:v>现金流入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现金流总表!$A$3:$A$13</c:f>
              <c:strCache>
                <c:ptCount val="11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  <c:pt idx="10">
                  <c:v>2025年-11月</c:v>
                </c:pt>
              </c:strCache>
            </c:strRef>
          </c:cat>
          <c:val>
            <c:numRef>
              <c:f>现金流总表!$C$3:$C$13</c:f>
              <c:numCache>
                <c:formatCode>###,##0.00</c:formatCode>
                <c:ptCount val="11"/>
                <c:pt idx="0">
                  <c:v>4962257.4400000004</c:v>
                </c:pt>
                <c:pt idx="1">
                  <c:v>1982618.27</c:v>
                </c:pt>
                <c:pt idx="2">
                  <c:v>2383488.15</c:v>
                </c:pt>
                <c:pt idx="3">
                  <c:v>2472657.9500000002</c:v>
                </c:pt>
                <c:pt idx="4">
                  <c:v>2682047.69</c:v>
                </c:pt>
                <c:pt idx="5">
                  <c:v>1716157.16</c:v>
                </c:pt>
                <c:pt idx="6">
                  <c:v>2071656.05</c:v>
                </c:pt>
                <c:pt idx="7">
                  <c:v>1410999.39</c:v>
                </c:pt>
                <c:pt idx="8">
                  <c:v>2255955.16</c:v>
                </c:pt>
                <c:pt idx="9">
                  <c:v>3255656.1</c:v>
                </c:pt>
                <c:pt idx="10">
                  <c:v>194709.33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51-5642-ADAE-01E8A03581B1}"/>
            </c:ext>
          </c:extLst>
        </c:ser>
        <c:ser>
          <c:idx val="2"/>
          <c:order val="2"/>
          <c:tx>
            <c:strRef>
              <c:f>现金流总表!$D$2</c:f>
              <c:strCache>
                <c:ptCount val="1"/>
                <c:pt idx="0">
                  <c:v>现金流出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现金流总表!$A$3:$A$13</c:f>
              <c:strCache>
                <c:ptCount val="11"/>
                <c:pt idx="0">
                  <c:v>2025年-01月</c:v>
                </c:pt>
                <c:pt idx="1">
                  <c:v>2025年-02月</c:v>
                </c:pt>
                <c:pt idx="2">
                  <c:v>2025年-03月</c:v>
                </c:pt>
                <c:pt idx="3">
                  <c:v>2025年-04月</c:v>
                </c:pt>
                <c:pt idx="4">
                  <c:v>2025年-05月</c:v>
                </c:pt>
                <c:pt idx="5">
                  <c:v>2025年-06月</c:v>
                </c:pt>
                <c:pt idx="6">
                  <c:v>2025年-07月</c:v>
                </c:pt>
                <c:pt idx="7">
                  <c:v>2025年-08月</c:v>
                </c:pt>
                <c:pt idx="8">
                  <c:v>2025年-09月</c:v>
                </c:pt>
                <c:pt idx="9">
                  <c:v>2025年-10月</c:v>
                </c:pt>
                <c:pt idx="10">
                  <c:v>2025年-11月</c:v>
                </c:pt>
              </c:strCache>
            </c:strRef>
          </c:cat>
          <c:val>
            <c:numRef>
              <c:f>现金流总表!$D$3:$D$13</c:f>
              <c:numCache>
                <c:formatCode>###,##0.00</c:formatCode>
                <c:ptCount val="11"/>
                <c:pt idx="0">
                  <c:v>2669830.6800000002</c:v>
                </c:pt>
                <c:pt idx="1">
                  <c:v>966972.44</c:v>
                </c:pt>
                <c:pt idx="2">
                  <c:v>1596573.41</c:v>
                </c:pt>
                <c:pt idx="3">
                  <c:v>1691016.87</c:v>
                </c:pt>
                <c:pt idx="4">
                  <c:v>3906996.35</c:v>
                </c:pt>
                <c:pt idx="5">
                  <c:v>3322434.21</c:v>
                </c:pt>
                <c:pt idx="6">
                  <c:v>4135440.38</c:v>
                </c:pt>
                <c:pt idx="7">
                  <c:v>1968915.38</c:v>
                </c:pt>
                <c:pt idx="8">
                  <c:v>1414190.07</c:v>
                </c:pt>
                <c:pt idx="9">
                  <c:v>1194355.93</c:v>
                </c:pt>
                <c:pt idx="10">
                  <c:v>640793.93000000005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51-5642-ADAE-01E8A03581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69853887"/>
        <c:axId val="1005550223"/>
      </c:barChart>
      <c:catAx>
        <c:axId val="146985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50223"/>
        <c:crosses val="autoZero"/>
        <c:auto val="1"/>
        <c:lblAlgn val="ctr"/>
        <c:lblOffset val="100"/>
        <c:noMultiLvlLbl val="0"/>
      </c:catAx>
      <c:valAx>
        <c:axId val="100555022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##,##0.00" sourceLinked="1"/>
        <c:majorTickMark val="none"/>
        <c:minorTickMark val="none"/>
        <c:tickLblPos val="nextTo"/>
        <c:crossAx val="146985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568960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88473-73B1-9A44-B86B-8E912746C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AA028-2C1A-B74B-92D0-0FF89316581A}" name="Table1" displayName="Table1" ref="A2:J14" totalsRowShown="0" headerRowDxfId="21" dataDxfId="19" headerRowBorderDxfId="20">
  <autoFilter ref="A2:J14" xr:uid="{FD2AA028-2C1A-B74B-92D0-0FF89316581A}"/>
  <sortState xmlns:xlrd2="http://schemas.microsoft.com/office/spreadsheetml/2017/richdata2" ref="A3:D14">
    <sortCondition ref="A2:A14"/>
  </sortState>
  <tableColumns count="10">
    <tableColumn id="1" xr3:uid="{E31561C5-F7AC-924F-8954-E9A901C3840E}" name="时间" dataDxfId="18"/>
    <tableColumn id="4" xr3:uid="{7BF207CB-C43A-254C-BE71-F4BCDCA2AB39}" name="资金流" dataDxfId="17"/>
    <tableColumn id="5" xr3:uid="{05C4EF91-0AE8-ED4F-9E7F-DBB3EFB372E2}" name="现金流入" dataDxfId="16"/>
    <tableColumn id="6" xr3:uid="{E3FBAE35-CCAE-F546-8896-DACC4D002EA1}" name="现金流出" dataDxfId="15"/>
    <tableColumn id="9" xr3:uid="{08BB1591-7D81-D248-9080-1C3E80FD1C53}" name="财务应收回款" dataDxfId="14"/>
    <tableColumn id="10" xr3:uid="{8632DBAD-D1A8-DB42-BFB2-16245921F73E}" name="财务其他现金流入" dataDxfId="13">
      <calculatedColumnFormula>Table1[[#This Row],[现金流入]]-Table1[[#This Row],[财务应收回款]]</calculatedColumnFormula>
    </tableColumn>
    <tableColumn id="7" xr3:uid="{E446A9C4-7193-9C43-9ACE-4852C7B8BF0A}" name="红圈应收回款" dataDxfId="12"/>
    <tableColumn id="8" xr3:uid="{D58B2C1F-8B9B-A04B-9BA0-CBCE68366B8A}" name="红圈其他现金流入" dataDxfId="11">
      <calculatedColumnFormula>Table1[[#This Row],[现金流入]]-Table1[[#This Row],[红圈应收回款]]</calculatedColumnFormula>
    </tableColumn>
    <tableColumn id="2" xr3:uid="{3E946AA8-BAD3-BB4E-813D-7271EE3ECB3B}" name="合同金额(元)" dataDxfId="10"/>
    <tableColumn id="3" xr3:uid="{DEEF407C-7B0F-1940-A9F0-AC2228E18E98}" name="开票金额(元)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869707-DD4B-4945-A61B-80B5AB6CD51A}" name="Table13" displayName="Table13" ref="A1:H13" totalsRowShown="0" headerRowDxfId="8" headerRowBorderDxfId="7">
  <autoFilter ref="A1:H13" xr:uid="{38869707-DD4B-4945-A61B-80B5AB6CD51A}"/>
  <sortState xmlns:xlrd2="http://schemas.microsoft.com/office/spreadsheetml/2017/richdata2" ref="A2:B13">
    <sortCondition ref="A1:A13"/>
  </sortState>
  <tableColumns count="8">
    <tableColumn id="1" xr3:uid="{A345F07F-2C94-3146-A61B-2ABF7A7CA134}" name="时间"/>
    <tableColumn id="5" xr3:uid="{BD0AEE98-9A8C-1B41-B9EA-7F16BAEDEBE0}" name="现金流入" dataDxfId="6"/>
    <tableColumn id="4" xr3:uid="{6EF0927D-8629-914F-AA5C-B9F9CADF4149}" name="财务应收回款" dataDxfId="5"/>
    <tableColumn id="6" xr3:uid="{4DE7685E-7C91-6345-88B7-0E6B4C18F2F4}" name="财务其他现金流入" dataDxfId="4"/>
    <tableColumn id="7" xr3:uid="{77F43D74-0353-374E-B898-D741C3680FA9}" name="应收回款" dataDxfId="3"/>
    <tableColumn id="8" xr3:uid="{E6600A48-ED54-7041-A04D-E79F8A12055B}" name="其他现金流入" dataDxfId="2">
      <calculatedColumnFormula>Table13[[#This Row],[现金流入]]-Table13[[#This Row],[应收回款]]</calculatedColumnFormula>
    </tableColumn>
    <tableColumn id="2" xr3:uid="{BE457D5E-BBED-8040-B979-EFBFF971FE24}" name="合同金额(元)" dataDxfId="1"/>
    <tableColumn id="3" xr3:uid="{2EF8AEA6-B306-994D-B7A3-80B0DC90EB84}" name="开票金额(元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125" workbookViewId="0">
      <selection activeCell="A3" sqref="A3"/>
    </sheetView>
  </sheetViews>
  <sheetFormatPr baseColWidth="10" defaultColWidth="20.83203125" defaultRowHeight="15"/>
  <cols>
    <col min="1" max="16384" width="20.83203125" style="4"/>
  </cols>
  <sheetData>
    <row r="1" spans="1:10">
      <c r="A1" s="4" t="s">
        <v>20</v>
      </c>
      <c r="E1" s="4" t="s">
        <v>22</v>
      </c>
    </row>
    <row r="2" spans="1:10">
      <c r="A2" s="1" t="s">
        <v>0</v>
      </c>
      <c r="B2" s="1" t="s">
        <v>3</v>
      </c>
      <c r="C2" s="1" t="s">
        <v>4</v>
      </c>
      <c r="D2" s="1" t="s">
        <v>5</v>
      </c>
      <c r="E2" s="1" t="s">
        <v>21</v>
      </c>
      <c r="F2" s="1" t="s">
        <v>25</v>
      </c>
      <c r="G2" s="1" t="s">
        <v>23</v>
      </c>
      <c r="H2" s="1" t="s">
        <v>24</v>
      </c>
      <c r="I2" s="1" t="s">
        <v>1</v>
      </c>
      <c r="J2" s="1" t="s">
        <v>2</v>
      </c>
    </row>
    <row r="3" spans="1:10">
      <c r="A3" s="4" t="s">
        <v>16</v>
      </c>
      <c r="B3" s="5">
        <v>2292426.7599999998</v>
      </c>
      <c r="C3" s="5">
        <v>4962257.4400000004</v>
      </c>
      <c r="D3" s="5">
        <v>2669830.6800000002</v>
      </c>
      <c r="E3" s="5">
        <v>4870493.1399999997</v>
      </c>
      <c r="F3" s="5">
        <f>Table1[[#This Row],[现金流入]]-Table1[[#This Row],[财务应收回款]]</f>
        <v>91764.300000000745</v>
      </c>
      <c r="G3" s="5">
        <v>4914257.4400000004</v>
      </c>
      <c r="H3" s="5">
        <f>Table1[[#This Row],[现金流入]]-Table1[[#This Row],[红圈应收回款]]</f>
        <v>48000</v>
      </c>
      <c r="I3" s="5">
        <v>1153000</v>
      </c>
      <c r="J3" s="5">
        <v>1680183</v>
      </c>
    </row>
    <row r="4" spans="1:10">
      <c r="A4" s="4" t="s">
        <v>15</v>
      </c>
      <c r="B4" s="5">
        <v>1015645.83</v>
      </c>
      <c r="C4" s="5">
        <v>1982618.27</v>
      </c>
      <c r="D4" s="5">
        <v>966972.44</v>
      </c>
      <c r="E4" s="5">
        <v>1961618.27</v>
      </c>
      <c r="F4" s="5">
        <f>Table1[[#This Row],[现金流入]]-Table1[[#This Row],[财务应收回款]]</f>
        <v>21000</v>
      </c>
      <c r="G4" s="5">
        <v>1961618.27</v>
      </c>
      <c r="H4" s="5">
        <f>Table1[[#This Row],[现金流入]]-Table1[[#This Row],[红圈应收回款]]</f>
        <v>21000</v>
      </c>
      <c r="I4" s="5">
        <v>974499.99</v>
      </c>
      <c r="J4" s="5">
        <v>1342049.74</v>
      </c>
    </row>
    <row r="5" spans="1:10">
      <c r="A5" s="4" t="s">
        <v>14</v>
      </c>
      <c r="B5" s="5">
        <v>786914.74</v>
      </c>
      <c r="C5" s="5">
        <v>2383488.15</v>
      </c>
      <c r="D5" s="5">
        <v>1596573.41</v>
      </c>
      <c r="E5" s="5">
        <v>2222988.15</v>
      </c>
      <c r="F5" s="5">
        <f>Table1[[#This Row],[现金流入]]-Table1[[#This Row],[财务应收回款]]</f>
        <v>160500</v>
      </c>
      <c r="G5" s="5">
        <v>2219788.15</v>
      </c>
      <c r="H5" s="5">
        <f>Table1[[#This Row],[现金流入]]-Table1[[#This Row],[红圈应收回款]]</f>
        <v>163700</v>
      </c>
      <c r="I5" s="5">
        <v>2855733.73</v>
      </c>
      <c r="J5" s="5">
        <v>737511.2</v>
      </c>
    </row>
    <row r="6" spans="1:10">
      <c r="A6" s="4" t="s">
        <v>13</v>
      </c>
      <c r="B6" s="5">
        <v>781641.08</v>
      </c>
      <c r="C6" s="5">
        <v>2472657.9500000002</v>
      </c>
      <c r="D6" s="5">
        <v>1691016.87</v>
      </c>
      <c r="E6" s="5">
        <v>2606168.1</v>
      </c>
      <c r="F6" s="5">
        <f>Table1[[#This Row],[现金流入]]-Table1[[#This Row],[财务应收回款]]</f>
        <v>-133510.14999999991</v>
      </c>
      <c r="G6" s="5">
        <v>2378657.9500000002</v>
      </c>
      <c r="H6" s="5">
        <f>Table1[[#This Row],[现金流入]]-Table1[[#This Row],[红圈应收回款]]</f>
        <v>94000</v>
      </c>
      <c r="I6" s="5">
        <v>2865659</v>
      </c>
      <c r="J6" s="5">
        <v>622025.4</v>
      </c>
    </row>
    <row r="7" spans="1:10">
      <c r="A7" s="4" t="s">
        <v>12</v>
      </c>
      <c r="B7" s="5">
        <v>-1224948.6599999999</v>
      </c>
      <c r="C7" s="5">
        <v>2682047.69</v>
      </c>
      <c r="D7" s="5">
        <v>3906996.35</v>
      </c>
      <c r="E7" s="5">
        <v>2446647.69</v>
      </c>
      <c r="F7" s="5">
        <f>Table1[[#This Row],[现金流入]]-Table1[[#This Row],[财务应收回款]]</f>
        <v>235400</v>
      </c>
      <c r="G7" s="5">
        <v>2535647.69</v>
      </c>
      <c r="H7" s="5">
        <f>Table1[[#This Row],[现金流入]]-Table1[[#This Row],[红圈应收回款]]</f>
        <v>146400</v>
      </c>
      <c r="I7" s="5">
        <v>501000</v>
      </c>
      <c r="J7" s="5">
        <v>518817.81</v>
      </c>
    </row>
    <row r="8" spans="1:10">
      <c r="A8" s="4" t="s">
        <v>11</v>
      </c>
      <c r="B8" s="5">
        <v>-1606277.05</v>
      </c>
      <c r="C8" s="5">
        <v>1716157.16</v>
      </c>
      <c r="D8" s="5">
        <v>3322434.21</v>
      </c>
      <c r="E8" s="5">
        <v>1011623.46</v>
      </c>
      <c r="F8" s="5">
        <f>Table1[[#This Row],[现金流入]]-Table1[[#This Row],[财务应收回款]]</f>
        <v>704533.7</v>
      </c>
      <c r="G8" s="5">
        <v>686159.16</v>
      </c>
      <c r="H8" s="5">
        <f>Table1[[#This Row],[现金流入]]-Table1[[#This Row],[红圈应收回款]]</f>
        <v>1029997.9999999999</v>
      </c>
      <c r="I8" s="5">
        <v>4033281.16</v>
      </c>
      <c r="J8" s="5">
        <v>1399665.4</v>
      </c>
    </row>
    <row r="9" spans="1:10">
      <c r="A9" s="4" t="s">
        <v>10</v>
      </c>
      <c r="B9" s="5">
        <v>-2063784.33</v>
      </c>
      <c r="C9" s="5">
        <v>2071656.05</v>
      </c>
      <c r="D9" s="5">
        <v>4135440.38</v>
      </c>
      <c r="E9" s="5">
        <v>2022498.49</v>
      </c>
      <c r="F9" s="5">
        <f>Table1[[#This Row],[现金流入]]-Table1[[#This Row],[财务应收回款]]</f>
        <v>49157.560000000056</v>
      </c>
      <c r="G9" s="5">
        <v>1755066.05</v>
      </c>
      <c r="H9" s="5">
        <f>Table1[[#This Row],[现金流入]]-Table1[[#This Row],[红圈应收回款]]</f>
        <v>316590</v>
      </c>
      <c r="I9" s="5">
        <v>2766846.11</v>
      </c>
      <c r="J9" s="5">
        <v>1147640</v>
      </c>
    </row>
    <row r="10" spans="1:10">
      <c r="A10" s="4" t="s">
        <v>9</v>
      </c>
      <c r="B10" s="5">
        <v>-557915.99</v>
      </c>
      <c r="C10" s="5">
        <v>1410999.39</v>
      </c>
      <c r="D10" s="5">
        <v>1968915.38</v>
      </c>
      <c r="E10" s="5">
        <v>1287899.3899999999</v>
      </c>
      <c r="F10" s="5">
        <f>Table1[[#This Row],[现金流入]]-Table1[[#This Row],[财务应收回款]]</f>
        <v>123100</v>
      </c>
      <c r="G10" s="5">
        <v>1275999.3899999999</v>
      </c>
      <c r="H10" s="5">
        <f>Table1[[#This Row],[现金流入]]-Table1[[#This Row],[红圈应收回款]]</f>
        <v>135000</v>
      </c>
      <c r="I10" s="5">
        <v>158000</v>
      </c>
      <c r="J10" s="5">
        <v>967995</v>
      </c>
    </row>
    <row r="11" spans="1:10">
      <c r="A11" s="4" t="s">
        <v>8</v>
      </c>
      <c r="B11" s="5">
        <v>841765.09</v>
      </c>
      <c r="C11" s="5">
        <v>2255955.16</v>
      </c>
      <c r="D11" s="5">
        <v>1414190.07</v>
      </c>
      <c r="E11" s="5">
        <v>2017372.7</v>
      </c>
      <c r="F11" s="5">
        <f>Table1[[#This Row],[现金流入]]-Table1[[#This Row],[财务应收回款]]</f>
        <v>238582.4600000002</v>
      </c>
      <c r="G11" s="5">
        <v>1928877.66</v>
      </c>
      <c r="H11" s="5">
        <f>Table1[[#This Row],[现金流入]]-Table1[[#This Row],[红圈应收回款]]</f>
        <v>327077.50000000023</v>
      </c>
      <c r="I11" s="5">
        <v>2860146</v>
      </c>
      <c r="J11" s="5">
        <v>2898502.2</v>
      </c>
    </row>
    <row r="12" spans="1:10">
      <c r="A12" s="4" t="s">
        <v>7</v>
      </c>
      <c r="B12" s="5">
        <v>2061300.17</v>
      </c>
      <c r="C12" s="5">
        <v>3255656.1</v>
      </c>
      <c r="D12" s="5">
        <v>1194355.93</v>
      </c>
      <c r="E12" s="5">
        <v>2994556.1</v>
      </c>
      <c r="F12" s="5">
        <f>Table1[[#This Row],[现金流入]]-Table1[[#This Row],[财务应收回款]]</f>
        <v>261100</v>
      </c>
      <c r="G12" s="5">
        <v>2994556.1</v>
      </c>
      <c r="H12" s="5">
        <f>Table1[[#This Row],[现金流入]]-Table1[[#This Row],[红圈应收回款]]</f>
        <v>261100</v>
      </c>
      <c r="I12" s="5">
        <v>550000</v>
      </c>
      <c r="J12" s="5">
        <v>2591675.9900000002</v>
      </c>
    </row>
    <row r="13" spans="1:10">
      <c r="A13" s="4" t="s">
        <v>6</v>
      </c>
      <c r="B13" s="5">
        <v>-446084.6</v>
      </c>
      <c r="C13" s="5">
        <v>194709.33</v>
      </c>
      <c r="D13" s="5">
        <v>640793.93000000005</v>
      </c>
      <c r="E13" s="5">
        <v>132277.62</v>
      </c>
      <c r="F13" s="5">
        <f>Table1[[#This Row],[现金流入]]-Table1[[#This Row],[财务应收回款]]</f>
        <v>62431.709999999992</v>
      </c>
      <c r="G13" s="5">
        <v>131709.32999999999</v>
      </c>
      <c r="H13" s="5">
        <f>Table1[[#This Row],[现金流入]]-Table1[[#This Row],[红圈应收回款]]</f>
        <v>63000</v>
      </c>
      <c r="I13" s="6">
        <v>0</v>
      </c>
      <c r="J13" s="5">
        <v>846520</v>
      </c>
    </row>
    <row r="14" spans="1:10">
      <c r="A14" s="4" t="s">
        <v>17</v>
      </c>
      <c r="B14" s="5">
        <v>1880683.04</v>
      </c>
      <c r="C14" s="5">
        <v>25388202.690000001</v>
      </c>
      <c r="D14" s="5">
        <v>23507519.649999999</v>
      </c>
      <c r="E14" s="5">
        <f>SUM(E3:E13)</f>
        <v>23574143.109999999</v>
      </c>
      <c r="F14" s="5">
        <f>SUM(F3:F13)</f>
        <v>1814059.580000001</v>
      </c>
      <c r="G14" s="5">
        <f>SUM(G3:G13)</f>
        <v>22782337.190000001</v>
      </c>
      <c r="H14" s="5">
        <f>SUM(H3:H13)</f>
        <v>2605865.5</v>
      </c>
      <c r="I14" s="5">
        <v>18718165.989999998</v>
      </c>
      <c r="J14" s="5">
        <v>14752585.74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061F-2D9B-8A49-8379-AD700D8BD26A}">
  <dimension ref="A1:H13"/>
  <sheetViews>
    <sheetView zoomScale="143" workbookViewId="0">
      <selection activeCell="C2" sqref="C2"/>
    </sheetView>
  </sheetViews>
  <sheetFormatPr baseColWidth="10" defaultColWidth="20.83203125" defaultRowHeight="15"/>
  <sheetData>
    <row r="1" spans="1:8">
      <c r="A1" s="1" t="s">
        <v>0</v>
      </c>
      <c r="B1" s="1" t="s">
        <v>4</v>
      </c>
      <c r="C1" s="1" t="s">
        <v>21</v>
      </c>
      <c r="D1" s="1" t="s">
        <v>25</v>
      </c>
      <c r="E1" s="1" t="s">
        <v>18</v>
      </c>
      <c r="F1" s="1" t="s">
        <v>19</v>
      </c>
      <c r="G1" s="1" t="s">
        <v>1</v>
      </c>
      <c r="H1" s="1" t="s">
        <v>2</v>
      </c>
    </row>
    <row r="2" spans="1:8">
      <c r="A2" t="s">
        <v>16</v>
      </c>
      <c r="B2" s="3">
        <v>4962257.4400000004</v>
      </c>
      <c r="C2" s="5">
        <v>4870493.1399999997</v>
      </c>
      <c r="D2" s="5">
        <v>91764.300000000745</v>
      </c>
      <c r="E2" s="3">
        <v>4914257.4400000004</v>
      </c>
      <c r="F2" s="3">
        <f>Table13[[#This Row],[现金流入]]-Table13[[#This Row],[应收回款]]</f>
        <v>48000</v>
      </c>
      <c r="G2" s="3">
        <v>1153000</v>
      </c>
      <c r="H2" s="3">
        <v>1680183</v>
      </c>
    </row>
    <row r="3" spans="1:8">
      <c r="A3" t="s">
        <v>15</v>
      </c>
      <c r="B3" s="3">
        <v>1982618.27</v>
      </c>
      <c r="C3" s="5">
        <v>1961618.27</v>
      </c>
      <c r="D3" s="5">
        <v>21000</v>
      </c>
      <c r="E3" s="3">
        <v>1961618.27</v>
      </c>
      <c r="F3" s="3">
        <f>Table13[[#This Row],[现金流入]]-Table13[[#This Row],[应收回款]]</f>
        <v>21000</v>
      </c>
      <c r="G3" s="3">
        <v>974499.99</v>
      </c>
      <c r="H3" s="3">
        <v>1342049.74</v>
      </c>
    </row>
    <row r="4" spans="1:8">
      <c r="A4" t="s">
        <v>14</v>
      </c>
      <c r="B4" s="3">
        <v>2383488.15</v>
      </c>
      <c r="C4" s="5">
        <v>2222988.15</v>
      </c>
      <c r="D4" s="5">
        <v>160500</v>
      </c>
      <c r="E4" s="3">
        <v>2219788.15</v>
      </c>
      <c r="F4" s="3">
        <f>Table13[[#This Row],[现金流入]]-Table13[[#This Row],[应收回款]]</f>
        <v>163700</v>
      </c>
      <c r="G4" s="3">
        <v>2855733.73</v>
      </c>
      <c r="H4" s="3">
        <v>737511.2</v>
      </c>
    </row>
    <row r="5" spans="1:8">
      <c r="A5" t="s">
        <v>13</v>
      </c>
      <c r="B5" s="3">
        <v>2472657.9500000002</v>
      </c>
      <c r="C5" s="5">
        <v>2606168.1</v>
      </c>
      <c r="D5" s="5">
        <v>-133510.14999999991</v>
      </c>
      <c r="E5" s="3">
        <v>2378657.9500000002</v>
      </c>
      <c r="F5" s="3">
        <f>Table13[[#This Row],[现金流入]]-Table13[[#This Row],[应收回款]]</f>
        <v>94000</v>
      </c>
      <c r="G5" s="3">
        <v>2865659</v>
      </c>
      <c r="H5" s="3">
        <v>622025.4</v>
      </c>
    </row>
    <row r="6" spans="1:8">
      <c r="A6" t="s">
        <v>12</v>
      </c>
      <c r="B6" s="3">
        <v>2682047.69</v>
      </c>
      <c r="C6" s="5">
        <v>2446647.69</v>
      </c>
      <c r="D6" s="5">
        <v>235400</v>
      </c>
      <c r="E6" s="3">
        <v>2535647.69</v>
      </c>
      <c r="F6" s="3">
        <f>Table13[[#This Row],[现金流入]]-Table13[[#This Row],[应收回款]]</f>
        <v>146400</v>
      </c>
      <c r="G6" s="3">
        <v>501000</v>
      </c>
      <c r="H6" s="3">
        <v>518817.81</v>
      </c>
    </row>
    <row r="7" spans="1:8">
      <c r="A7" t="s">
        <v>11</v>
      </c>
      <c r="B7" s="3">
        <v>1716157.16</v>
      </c>
      <c r="C7" s="5">
        <v>1011623.46</v>
      </c>
      <c r="D7" s="5">
        <v>704533.7</v>
      </c>
      <c r="E7" s="3">
        <v>686159.16</v>
      </c>
      <c r="F7" s="3">
        <f>Table13[[#This Row],[现金流入]]-Table13[[#This Row],[应收回款]]</f>
        <v>1029997.9999999999</v>
      </c>
      <c r="G7" s="3">
        <v>4033281.16</v>
      </c>
      <c r="H7" s="3">
        <v>1399665.4</v>
      </c>
    </row>
    <row r="8" spans="1:8">
      <c r="A8" t="s">
        <v>10</v>
      </c>
      <c r="B8" s="3">
        <v>2071656.05</v>
      </c>
      <c r="C8" s="5">
        <v>2022498.49</v>
      </c>
      <c r="D8" s="5">
        <v>49157.560000000056</v>
      </c>
      <c r="E8" s="3">
        <v>1755066.05</v>
      </c>
      <c r="F8" s="3">
        <f>Table13[[#This Row],[现金流入]]-Table13[[#This Row],[应收回款]]</f>
        <v>316590</v>
      </c>
      <c r="G8" s="3">
        <v>2766846.11</v>
      </c>
      <c r="H8" s="3">
        <v>1147640</v>
      </c>
    </row>
    <row r="9" spans="1:8">
      <c r="A9" t="s">
        <v>9</v>
      </c>
      <c r="B9" s="3">
        <v>1410999.39</v>
      </c>
      <c r="C9" s="5">
        <v>1287899.3899999999</v>
      </c>
      <c r="D9" s="5">
        <v>123100</v>
      </c>
      <c r="E9" s="3">
        <v>1275999.3899999999</v>
      </c>
      <c r="F9" s="3">
        <f>Table13[[#This Row],[现金流入]]-Table13[[#This Row],[应收回款]]</f>
        <v>135000</v>
      </c>
      <c r="G9" s="3">
        <v>158000</v>
      </c>
      <c r="H9" s="3">
        <v>967995</v>
      </c>
    </row>
    <row r="10" spans="1:8">
      <c r="A10" t="s">
        <v>8</v>
      </c>
      <c r="B10" s="3">
        <v>2255955.16</v>
      </c>
      <c r="C10" s="5">
        <v>2017372.7</v>
      </c>
      <c r="D10" s="5">
        <v>238582.4600000002</v>
      </c>
      <c r="E10" s="3">
        <v>1928877.66</v>
      </c>
      <c r="F10" s="3">
        <f>Table13[[#This Row],[现金流入]]-Table13[[#This Row],[应收回款]]</f>
        <v>327077.50000000023</v>
      </c>
      <c r="G10" s="3">
        <v>2860146</v>
      </c>
      <c r="H10" s="3">
        <v>2898502.2</v>
      </c>
    </row>
    <row r="11" spans="1:8">
      <c r="A11" t="s">
        <v>7</v>
      </c>
      <c r="B11" s="3">
        <v>3255656.1</v>
      </c>
      <c r="C11" s="5">
        <v>2994556.1</v>
      </c>
      <c r="D11" s="5">
        <v>261100</v>
      </c>
      <c r="E11" s="3">
        <v>2994556.1</v>
      </c>
      <c r="F11" s="3">
        <f>Table13[[#This Row],[现金流入]]-Table13[[#This Row],[应收回款]]</f>
        <v>261100</v>
      </c>
      <c r="G11" s="3">
        <v>550000</v>
      </c>
      <c r="H11" s="3">
        <v>2591675.9900000002</v>
      </c>
    </row>
    <row r="12" spans="1:8">
      <c r="A12" t="s">
        <v>6</v>
      </c>
      <c r="B12" s="3">
        <v>194709.33</v>
      </c>
      <c r="C12" s="5">
        <v>132277.62</v>
      </c>
      <c r="D12" s="5">
        <v>62431.709999999992</v>
      </c>
      <c r="E12" s="3">
        <v>131709.32999999999</v>
      </c>
      <c r="F12" s="3">
        <f>Table13[[#This Row],[现金流入]]-Table13[[#This Row],[应收回款]]</f>
        <v>63000</v>
      </c>
      <c r="G12" s="2">
        <v>0</v>
      </c>
      <c r="H12" s="3">
        <v>846520</v>
      </c>
    </row>
    <row r="13" spans="1:8">
      <c r="A13" t="s">
        <v>17</v>
      </c>
      <c r="B13" s="3">
        <v>25388202.690000001</v>
      </c>
      <c r="C13" s="5">
        <v>23574143.109999999</v>
      </c>
      <c r="D13" s="5">
        <v>1814059.580000001</v>
      </c>
      <c r="E13" s="3">
        <f>SUM(E2:E12)</f>
        <v>22782337.190000001</v>
      </c>
      <c r="F13" s="3">
        <f>SUM(F2:F12)</f>
        <v>2605865.5</v>
      </c>
      <c r="G13" s="3">
        <v>18718165.989999998</v>
      </c>
      <c r="H13" s="3">
        <v>14752585.74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0DF60-55E3-3045-96BD-03A9BB164172}">
  <dimension ref="A1"/>
  <sheetViews>
    <sheetView zoomScale="125" workbookViewId="0"/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现金流总表</vt:lpstr>
      <vt:lpstr>现金流流入</vt:lpstr>
      <vt:lpstr>现金流图表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Linze Zhang</cp:lastModifiedBy>
  <dcterms:created xsi:type="dcterms:W3CDTF">2025-11-12T06:49:02Z</dcterms:created>
  <dcterms:modified xsi:type="dcterms:W3CDTF">2025-11-14T06:55:59Z</dcterms:modified>
</cp:coreProperties>
</file>