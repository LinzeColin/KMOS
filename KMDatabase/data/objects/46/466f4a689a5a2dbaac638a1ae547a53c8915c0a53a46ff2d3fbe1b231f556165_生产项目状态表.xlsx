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信息表" sheetId="1" r:id="rId1"/>
    <sheet name="Sheet1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linzezhang</author>
    <author>Unknown User</author>
    <author>D</author>
  </authors>
  <commentList>
    <comment ref="K2" authorId="0">
      <text>
        <r>
          <rPr>
            <sz val="9"/>
            <rFont val="宋体"/>
            <charset val="134"/>
          </rPr>
          <t xml:space="preserve">linzezhang:
第一次施工12/08-12/12，共5天
</t>
        </r>
        <r>
          <rPr>
            <b/>
            <sz val="9"/>
            <rFont val="宋体"/>
            <charset val="134"/>
          </rPr>
          <t xml:space="preserve">
张月:</t>
        </r>
        <r>
          <rPr>
            <sz val="9"/>
            <rFont val="宋体"/>
            <charset val="134"/>
          </rPr>
          <t xml:space="preserve">
朱太礼4.3日签验收单</t>
        </r>
      </text>
    </comment>
    <comment ref="W2" authorId="1">
      <text>
        <r>
          <rPr>
            <b/>
            <sz val="9"/>
            <rFont val="宋体"/>
            <charset val="134"/>
          </rPr>
          <t>张月:</t>
        </r>
        <r>
          <rPr>
            <sz val="9"/>
            <rFont val="宋体"/>
            <charset val="134"/>
          </rPr>
          <t xml:space="preserve">
</t>
        </r>
      </text>
    </comment>
    <comment ref="I3" authorId="1">
      <text>
        <r>
          <rPr>
            <b/>
            <sz val="9"/>
            <rFont val="宋体"/>
            <charset val="134"/>
          </rPr>
          <t>张月:</t>
        </r>
        <r>
          <rPr>
            <sz val="9"/>
            <rFont val="宋体"/>
            <charset val="134"/>
          </rPr>
          <t xml:space="preserve">
以最后一次验收单日期为准</t>
        </r>
      </text>
    </comment>
    <comment ref="K3" authorId="1">
      <text>
        <r>
          <rPr>
            <b/>
            <sz val="9"/>
            <rFont val="宋体"/>
            <charset val="134"/>
          </rPr>
          <t>张霖泽:</t>
        </r>
        <r>
          <rPr>
            <sz val="9"/>
            <rFont val="宋体"/>
            <charset val="134"/>
          </rPr>
          <t xml:space="preserve">
2025.11.27-2026.01.09 车磨削44天</t>
        </r>
      </text>
    </comment>
    <comment ref="W3" authorId="1">
      <text>
        <r>
          <rPr>
            <b/>
            <sz val="9"/>
            <rFont val="宋体"/>
            <charset val="134"/>
          </rPr>
          <t>张月:</t>
        </r>
        <r>
          <rPr>
            <sz val="9"/>
            <rFont val="宋体"/>
            <charset val="134"/>
          </rPr>
          <t xml:space="preserve">
</t>
        </r>
      </text>
    </comment>
    <comment ref="K10" authorId="0">
      <text>
        <r>
          <rPr>
            <b/>
            <sz val="9"/>
            <rFont val="宋体"/>
            <charset val="134"/>
          </rPr>
          <t>linzezhang:</t>
        </r>
        <r>
          <rPr>
            <sz val="9"/>
            <rFont val="宋体"/>
            <charset val="134"/>
          </rPr>
          <t xml:space="preserve">
第一次施工12/27-01/02，共7天
</t>
        </r>
      </text>
    </comment>
    <comment ref="I13" authorId="1">
      <text>
        <r>
          <rPr>
            <b/>
            <sz val="9"/>
            <rFont val="宋体"/>
            <charset val="134"/>
          </rPr>
          <t>张月:</t>
        </r>
        <r>
          <rPr>
            <sz val="9"/>
            <rFont val="宋体"/>
            <charset val="134"/>
          </rPr>
          <t xml:space="preserve">
以验收报告日期填报</t>
        </r>
      </text>
    </comment>
    <comment ref="W13" authorId="1">
      <text>
        <r>
          <rPr>
            <b/>
            <sz val="9"/>
            <rFont val="宋体"/>
            <charset val="134"/>
          </rPr>
          <t>张月:</t>
        </r>
        <r>
          <rPr>
            <sz val="9"/>
            <rFont val="宋体"/>
            <charset val="134"/>
          </rPr>
          <t xml:space="preserve">
</t>
        </r>
        <r>
          <rPr>
            <b/>
            <sz val="9"/>
            <rFont val="宋体"/>
            <charset val="134"/>
          </rPr>
          <t xml:space="preserve">
张月:</t>
        </r>
        <r>
          <rPr>
            <sz val="9"/>
            <rFont val="宋体"/>
            <charset val="134"/>
          </rPr>
          <t xml:space="preserve">
</t>
        </r>
      </text>
    </comment>
    <comment ref="I14" authorId="1">
      <text>
        <r>
          <rPr>
            <b/>
            <sz val="9"/>
            <rFont val="宋体"/>
            <charset val="134"/>
          </rPr>
          <t>张月:</t>
        </r>
        <r>
          <rPr>
            <sz val="9"/>
            <rFont val="宋体"/>
            <charset val="134"/>
          </rPr>
          <t xml:space="preserve">
以最后一次验收单日期为准</t>
        </r>
      </text>
    </comment>
    <comment ref="K14" authorId="1">
      <text>
        <r>
          <rPr>
            <b/>
            <sz val="9"/>
            <rFont val="宋体"/>
            <charset val="134"/>
          </rPr>
          <t>张霖泽:</t>
        </r>
        <r>
          <rPr>
            <sz val="9"/>
            <rFont val="宋体"/>
            <charset val="134"/>
          </rPr>
          <t xml:space="preserve">
01/22-01/31 动态调窑 工期10天</t>
        </r>
      </text>
    </comment>
    <comment ref="N14" authorId="1">
      <text>
        <r>
          <rPr>
            <b/>
            <sz val="9"/>
            <rFont val="宋体"/>
            <charset val="134"/>
          </rPr>
          <t>张霖泽:</t>
        </r>
        <r>
          <rPr>
            <sz val="9"/>
            <rFont val="宋体"/>
            <charset val="134"/>
          </rPr>
          <t xml:space="preserve">
预估时间待修改</t>
        </r>
      </text>
    </comment>
    <comment ref="U14" authorId="1">
      <text>
        <r>
          <rPr>
            <b/>
            <sz val="9"/>
            <rFont val="宋体"/>
            <charset val="134"/>
          </rPr>
          <t>张月:</t>
        </r>
        <r>
          <rPr>
            <sz val="9"/>
            <rFont val="宋体"/>
            <charset val="134"/>
          </rPr>
          <t xml:space="preserve">
含余永昕4个工时，未填写余永昕生活费住宿费部分，朱太礼12工时</t>
        </r>
      </text>
    </comment>
    <comment ref="W14" authorId="1">
      <text>
        <r>
          <rPr>
            <b/>
            <sz val="9"/>
            <rFont val="宋体"/>
            <charset val="134"/>
          </rPr>
          <t>张月:</t>
        </r>
        <r>
          <rPr>
            <sz val="9"/>
            <rFont val="宋体"/>
            <charset val="134"/>
          </rPr>
          <t xml:space="preserve">
</t>
        </r>
        <r>
          <rPr>
            <b/>
            <sz val="9"/>
            <rFont val="宋体"/>
            <charset val="134"/>
          </rPr>
          <t xml:space="preserve">
张月:</t>
        </r>
        <r>
          <rPr>
            <sz val="9"/>
            <rFont val="宋体"/>
            <charset val="134"/>
          </rPr>
          <t xml:space="preserve">
</t>
        </r>
      </text>
    </comment>
    <comment ref="K17" authorId="2">
      <text>
        <r>
          <rPr>
            <b/>
            <sz val="9"/>
            <rFont val="宋体"/>
            <charset val="134"/>
          </rPr>
          <t>D:</t>
        </r>
        <r>
          <rPr>
            <sz val="9"/>
            <rFont val="宋体"/>
            <charset val="134"/>
          </rPr>
          <t xml:space="preserve">
实际帮昆山技宇投标</t>
        </r>
      </text>
    </comment>
    <comment ref="K18" authorId="1">
      <text>
        <r>
          <rPr>
            <b/>
            <sz val="9"/>
            <rFont val="宋体"/>
            <charset val="134"/>
          </rPr>
          <t>张霖泽:</t>
        </r>
        <r>
          <rPr>
            <sz val="9"/>
            <rFont val="宋体"/>
            <charset val="134"/>
          </rPr>
          <t xml:space="preserve">
3.3-3.23 车磨削3人20天</t>
        </r>
      </text>
    </comment>
    <comment ref="K19" authorId="1">
      <text>
        <r>
          <rPr>
            <b/>
            <sz val="9"/>
            <rFont val="宋体"/>
            <charset val="134"/>
          </rPr>
          <t>张霖泽:</t>
        </r>
        <r>
          <rPr>
            <sz val="9"/>
            <rFont val="宋体"/>
            <charset val="134"/>
          </rPr>
          <t xml:space="preserve">
01/22-01/31 动态调窑 工期10天</t>
        </r>
      </text>
    </comment>
    <comment ref="U22" authorId="1">
      <text>
        <r>
          <rPr>
            <b/>
            <sz val="9"/>
            <rFont val="宋体"/>
            <charset val="134"/>
          </rPr>
          <t>张月: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<sst xmlns="http://schemas.openxmlformats.org/spreadsheetml/2006/main" count="281" uniqueCount="136">
  <si>
    <t>甲方名称</t>
  </si>
  <si>
    <t>省份</t>
  </si>
  <si>
    <t>合同号</t>
  </si>
  <si>
    <t>含税合同金额</t>
  </si>
  <si>
    <t>税率</t>
  </si>
  <si>
    <t>负责人</t>
  </si>
  <si>
    <t>项目类型</t>
  </si>
  <si>
    <t>开工时间</t>
  </si>
  <si>
    <t>完工时间</t>
  </si>
  <si>
    <t>实际工期</t>
  </si>
  <si>
    <t>施工状态</t>
  </si>
  <si>
    <t>结算时间</t>
  </si>
  <si>
    <t>开票时间</t>
  </si>
  <si>
    <t>回款时间</t>
  </si>
  <si>
    <t>完工后结算时间</t>
  </si>
  <si>
    <t>结算后开票时间</t>
  </si>
  <si>
    <t>开票后回款90%时间</t>
  </si>
  <si>
    <t>结算金额</t>
  </si>
  <si>
    <t>开票金额</t>
  </si>
  <si>
    <t>结算审计偏差率</t>
  </si>
  <si>
    <t>自有人工工时</t>
  </si>
  <si>
    <t>劳务人工工时</t>
  </si>
  <si>
    <t>生活住宿费</t>
  </si>
  <si>
    <t>交通费</t>
  </si>
  <si>
    <t>材料费</t>
  </si>
  <si>
    <t>其他费用</t>
  </si>
  <si>
    <t>项目成本表截止提供时间</t>
  </si>
  <si>
    <t>截止剩余时间</t>
  </si>
  <si>
    <t>是否提供项目成本表</t>
  </si>
  <si>
    <t>是否已计算提成</t>
  </si>
  <si>
    <t>山东圣川新材料科技股份有限公司</t>
  </si>
  <si>
    <t>山东</t>
  </si>
  <si>
    <t>KMX2025125-081</t>
  </si>
  <si>
    <t>自有人员</t>
  </si>
  <si>
    <t>已完工</t>
  </si>
  <si>
    <t>已提供</t>
  </si>
  <si>
    <t>广安昌兴水泥有限公司</t>
  </si>
  <si>
    <t>四川</t>
  </si>
  <si>
    <t>KMX20251119-079</t>
  </si>
  <si>
    <t>余永昕</t>
  </si>
  <si>
    <t>是</t>
  </si>
  <si>
    <t>新疆宜化化工有限公司</t>
  </si>
  <si>
    <t>新疆</t>
  </si>
  <si>
    <t>KMX2025121-080</t>
  </si>
  <si>
    <t>定额分包</t>
  </si>
  <si>
    <t>施工中</t>
  </si>
  <si>
    <t>青海盐湖镁业有限公司</t>
  </si>
  <si>
    <t>青海</t>
  </si>
  <si>
    <t>KMX20251210-082</t>
  </si>
  <si>
    <t>KMX20251217-083</t>
  </si>
  <si>
    <t>待入场</t>
  </si>
  <si>
    <t>崇阳县昌华实业有限公司</t>
  </si>
  <si>
    <t>湖北</t>
  </si>
  <si>
    <t>KMX20251222-084</t>
  </si>
  <si>
    <t>池州恒鑫材料科技有限公司</t>
  </si>
  <si>
    <t>安徽</t>
  </si>
  <si>
    <t>KMX20251222-085</t>
  </si>
  <si>
    <t>自有劳务混合</t>
  </si>
  <si>
    <t>日照钢铁有限公司</t>
  </si>
  <si>
    <t>KMX202595-064</t>
  </si>
  <si>
    <t>萍乡萍钢安源钢铁有限公司</t>
  </si>
  <si>
    <t>江西</t>
  </si>
  <si>
    <t>KMX250226-012-XF</t>
  </si>
  <si>
    <t>部分施工</t>
  </si>
  <si>
    <t>福建鼎信实业有限公司</t>
  </si>
  <si>
    <t>福建</t>
  </si>
  <si>
    <t>KMX2026112-002</t>
  </si>
  <si>
    <t>KMX2026116-003</t>
  </si>
  <si>
    <t>贵州凯里瑞安建材有限公司</t>
  </si>
  <si>
    <t>贵州</t>
  </si>
  <si>
    <t>KMX2026120-004</t>
  </si>
  <si>
    <t>青海盐湖海纳化工有限公司</t>
  </si>
  <si>
    <t>KMX2026121-005</t>
  </si>
  <si>
    <t>KMX2026122-006</t>
  </si>
  <si>
    <t>KMX2026122-007</t>
  </si>
  <si>
    <t>江西福丰新材料科技有限公司</t>
  </si>
  <si>
    <t>KMX2026127-008</t>
  </si>
  <si>
    <t>湘潭瑞通球团有限公司</t>
  </si>
  <si>
    <t>KMX202622-009</t>
  </si>
  <si>
    <t>KMX2026313-010</t>
  </si>
  <si>
    <t>湖北双环科技股份有限公司</t>
  </si>
  <si>
    <t>KMX202632-011</t>
  </si>
  <si>
    <t>林维</t>
  </si>
  <si>
    <t>池州天赐高新材料有限公司</t>
  </si>
  <si>
    <t>KMX2026415-12-XF--Z</t>
  </si>
  <si>
    <t>台泥（贵港）水泥有限公司</t>
  </si>
  <si>
    <t>广西</t>
  </si>
  <si>
    <t>KMX2026415-13-XF--Z</t>
  </si>
  <si>
    <t>KMX2026415-14-XF--Z</t>
  </si>
  <si>
    <t>劳务外协</t>
  </si>
  <si>
    <t>葛洲坝松滋水泥有限公司</t>
  </si>
  <si>
    <t>KMX2026429-015</t>
  </si>
  <si>
    <t>KMX2026429-016</t>
  </si>
  <si>
    <t>福建韩研环保科技有限公司</t>
  </si>
  <si>
    <t>KMX2026429-017</t>
  </si>
  <si>
    <t>新洋丰农业科技股份有限公司</t>
  </si>
  <si>
    <t>KMX202655-018</t>
  </si>
  <si>
    <t>应城市新都化工有限责任公司</t>
  </si>
  <si>
    <t>KMX202657-019</t>
  </si>
  <si>
    <t>江阴兴澄特种钢铁有限公司</t>
  </si>
  <si>
    <t>江苏</t>
  </si>
  <si>
    <t>KMX2026522-020</t>
  </si>
  <si>
    <t>KMX202662-022</t>
  </si>
  <si>
    <t>KMX202662-023</t>
  </si>
  <si>
    <t>阜阳皖润电力有限公司</t>
  </si>
  <si>
    <t>KMX2025101 - 073</t>
  </si>
  <si>
    <t>、</t>
  </si>
  <si>
    <t>定义</t>
  </si>
  <si>
    <t>状态</t>
  </si>
  <si>
    <t>劳务管理人员+劳务施工人员</t>
  </si>
  <si>
    <t>河北</t>
  </si>
  <si>
    <t>部分提供</t>
  </si>
  <si>
    <t>自有管理人员+劳务施工人员</t>
  </si>
  <si>
    <t>山西</t>
  </si>
  <si>
    <t>自有管理人员+自有施工人员</t>
  </si>
  <si>
    <t>辽宁</t>
  </si>
  <si>
    <t>施工人员包含劳务和自有人员</t>
  </si>
  <si>
    <t>吉林</t>
  </si>
  <si>
    <t>黑龙江</t>
  </si>
  <si>
    <t>完工未结算</t>
  </si>
  <si>
    <t>结算未开票</t>
  </si>
  <si>
    <t>浙江</t>
  </si>
  <si>
    <t>已开票</t>
  </si>
  <si>
    <t>河南</t>
  </si>
  <si>
    <t>湖南</t>
  </si>
  <si>
    <t>广东</t>
  </si>
  <si>
    <t>海南</t>
  </si>
  <si>
    <t>云南</t>
  </si>
  <si>
    <t>陕西</t>
  </si>
  <si>
    <t>甘肃</t>
  </si>
  <si>
    <t>内蒙古</t>
  </si>
  <si>
    <t>西藏</t>
  </si>
  <si>
    <t>宁夏</t>
  </si>
  <si>
    <t>北京</t>
  </si>
  <si>
    <t>天津</t>
  </si>
  <si>
    <t>重庆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</si>
</sst>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  <numFmt numFmtId="178" formatCode="#,##0.00_ "/>
    <numFmt numFmtId="179" formatCode="yyyy/mm/dd;@"/>
    <numFmt numFmtId="180" formatCode="0_);[Red]\(0\)"/>
    <numFmt numFmtId="181" formatCode="yyyy/m/d;@"/>
  </numFmts>
  <fonts count="28">
    <font>
      <sz val="11"/>
      <color theme="1"/>
      <name val="宋体"/>
      <charset val="134"/>
      <scheme val="minor"/>
    </font>
    <font>
      <sz val="12"/>
      <color rgb="FF0F1115"/>
      <name val="宋体"/>
      <charset val="134"/>
      <scheme val="minor"/>
    </font>
    <font>
      <sz val="11"/>
      <color rgb="FF000000"/>
      <name val="宋体"/>
      <charset val="134"/>
    </font>
    <font>
      <sz val="10"/>
      <color theme="1"/>
      <name val="微软雅黑"/>
      <charset val="134"/>
    </font>
    <font>
      <b/>
      <sz val="11"/>
      <color theme="1"/>
      <name val="微软雅黑"/>
      <charset val="134"/>
    </font>
    <font>
      <b/>
      <sz val="11"/>
      <color rgb="FFFFFFFF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9BC2E6"/>
      </top>
      <bottom style="thin">
        <color rgb="FF9BC2E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  <xf numFmtId="179" fontId="4" fillId="0" borderId="0" xfId="0" applyNumberFormat="1" applyFont="1" applyAlignment="1">
      <alignment horizontal="center" vertical="center" wrapText="1"/>
    </xf>
    <xf numFmtId="180" fontId="4" fillId="0" borderId="0" xfId="0" applyNumberFormat="1" applyFont="1" applyAlignment="1">
      <alignment horizontal="center" vertical="center" wrapText="1"/>
    </xf>
    <xf numFmtId="179" fontId="5" fillId="0" borderId="0" xfId="0" applyNumberFormat="1" applyFont="1" applyAlignment="1">
      <alignment horizontal="center" vertical="center" wrapText="1"/>
    </xf>
    <xf numFmtId="180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78" fontId="5" fillId="0" borderId="0" xfId="0" applyNumberFormat="1" applyFont="1" applyAlignment="1">
      <alignment horizontal="center" vertical="center" wrapText="1"/>
    </xf>
    <xf numFmtId="10" fontId="5" fillId="0" borderId="0" xfId="0" applyNumberFormat="1" applyFont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78" fontId="3" fillId="0" borderId="0" xfId="0" applyNumberFormat="1" applyFont="1" applyAlignment="1">
      <alignment horizontal="center" vertical="center" wrapText="1"/>
    </xf>
    <xf numFmtId="9" fontId="3" fillId="0" borderId="0" xfId="0" applyNumberFormat="1" applyFont="1" applyAlignment="1">
      <alignment horizontal="center" vertical="center" wrapText="1"/>
    </xf>
    <xf numFmtId="179" fontId="3" fillId="0" borderId="0" xfId="0" applyNumberFormat="1" applyFont="1" applyAlignment="1">
      <alignment horizontal="center" vertical="center" wrapText="1"/>
    </xf>
    <xf numFmtId="180" fontId="3" fillId="0" borderId="0" xfId="0" applyNumberFormat="1" applyFont="1" applyAlignment="1">
      <alignment horizontal="center" vertical="center" wrapText="1"/>
    </xf>
    <xf numFmtId="181" fontId="3" fillId="0" borderId="0" xfId="0" applyNumberFormat="1" applyFont="1" applyAlignment="1">
      <alignment horizontal="center" vertical="center" wrapText="1"/>
    </xf>
    <xf numFmtId="10" fontId="3" fillId="0" borderId="0" xfId="0" applyNumberFormat="1" applyFont="1" applyAlignment="1">
      <alignment horizontal="center" vertical="center" wrapText="1"/>
    </xf>
    <xf numFmtId="9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9" fontId="6" fillId="0" borderId="1" xfId="0" applyNumberFormat="1" applyFont="1" applyBorder="1" applyAlignment="1">
      <alignment horizontal="center" vertical="center" wrapText="1"/>
    </xf>
    <xf numFmtId="179" fontId="6" fillId="0" borderId="0" xfId="0" applyNumberFormat="1" applyFont="1" applyAlignment="1">
      <alignment horizontal="center" vertical="center" wrapText="1"/>
    </xf>
    <xf numFmtId="179" fontId="2" fillId="0" borderId="0" xfId="0" applyNumberFormat="1" applyFont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3" fillId="0" borderId="0" xfId="0" applyNumberFormat="1" applyFont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179" fontId="0" fillId="0" borderId="0" xfId="0" applyNumberFormat="1" applyAlignment="1">
      <alignment horizontal="center" vertical="center" wrapText="1"/>
    </xf>
    <xf numFmtId="180" fontId="0" fillId="0" borderId="0" xfId="0" applyNumberFormat="1" applyAlignment="1">
      <alignment horizontal="center" vertical="center" wrapText="1"/>
    </xf>
    <xf numFmtId="181" fontId="0" fillId="0" borderId="0" xfId="0" applyNumberFormat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10" fontId="6" fillId="0" borderId="0" xfId="0" applyNumberFormat="1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3">
    <dxf>
      <font>
        <name val="微软雅黑"/>
        <scheme val="none"/>
        <sz val="10"/>
      </font>
      <alignment horizontal="center" vertical="center" wrapText="1"/>
    </dxf>
    <dxf>
      <font>
        <name val="微软雅黑"/>
        <scheme val="none"/>
        <sz val="10"/>
      </font>
      <alignment horizontal="center" vertical="center" wrapText="1"/>
    </dxf>
    <dxf>
      <font>
        <name val="微软雅黑"/>
        <scheme val="none"/>
        <sz val="10"/>
      </font>
      <alignment horizontal="center" vertical="center" wrapText="1"/>
    </dxf>
    <dxf>
      <font>
        <name val="微软雅黑"/>
        <scheme val="none"/>
        <sz val="10"/>
      </font>
      <numFmt numFmtId="178" formatCode="#,##0.00_ "/>
      <alignment horizontal="center" vertical="center" wrapText="1"/>
    </dxf>
    <dxf>
      <font>
        <name val="微软雅黑"/>
        <scheme val="none"/>
        <sz val="10"/>
      </font>
      <numFmt numFmtId="9" formatCode="0%"/>
      <alignment horizontal="center" vertical="center" wrapText="1"/>
    </dxf>
    <dxf>
      <font>
        <name val="微软雅黑"/>
        <scheme val="none"/>
        <sz val="10"/>
      </font>
      <alignment horizontal="center" vertical="center" wrapText="1"/>
    </dxf>
    <dxf>
      <font>
        <name val="微软雅黑"/>
        <scheme val="none"/>
        <sz val="10"/>
      </font>
      <numFmt numFmtId="179" formatCode="yyyy/mm/dd;@"/>
      <alignment horizontal="center" vertical="center" wrapText="1"/>
    </dxf>
    <dxf>
      <font>
        <name val="微软雅黑"/>
        <scheme val="none"/>
        <sz val="10"/>
      </font>
      <numFmt numFmtId="179" formatCode="yyyy/mm/dd;@"/>
      <alignment horizontal="center" vertical="center" wrapText="1"/>
    </dxf>
    <dxf>
      <font>
        <name val="微软雅黑"/>
        <scheme val="none"/>
        <sz val="10"/>
      </font>
      <numFmt numFmtId="180" formatCode="0_);[Red]\(0\)"/>
      <alignment horizontal="center" vertical="center" wrapText="1"/>
    </dxf>
    <dxf>
      <font>
        <name val="微软雅黑"/>
        <scheme val="none"/>
        <sz val="10"/>
      </font>
      <alignment horizontal="center" vertical="center" wrapText="1"/>
    </dxf>
    <dxf>
      <font>
        <name val="微软雅黑"/>
        <scheme val="none"/>
        <sz val="10"/>
      </font>
      <numFmt numFmtId="179" formatCode="yyyy/mm/dd;@"/>
      <alignment horizontal="center" vertical="center" wrapText="1"/>
    </dxf>
    <dxf>
      <font>
        <name val="微软雅黑"/>
        <scheme val="none"/>
        <sz val="10"/>
      </font>
      <numFmt numFmtId="179" formatCode="yyyy/mm/dd;@"/>
      <alignment horizontal="center" vertical="center" wrapText="1"/>
    </dxf>
    <dxf>
      <font>
        <name val="微软雅黑"/>
        <scheme val="none"/>
        <sz val="10"/>
      </font>
      <numFmt numFmtId="179" formatCode="yyyy/mm/dd;@"/>
      <alignment horizontal="center" vertical="center" wrapText="1"/>
    </dxf>
    <dxf>
      <font>
        <name val="微软雅黑"/>
        <scheme val="none"/>
        <sz val="10"/>
      </font>
      <numFmt numFmtId="180" formatCode="0_);[Red]\(0\)"/>
      <alignment horizontal="center" vertical="center" wrapText="1"/>
    </dxf>
    <dxf>
      <font>
        <name val="微软雅黑"/>
        <scheme val="none"/>
        <sz val="10"/>
      </font>
      <numFmt numFmtId="180" formatCode="0_);[Red]\(0\)"/>
      <alignment horizontal="center" vertical="center" wrapText="1"/>
    </dxf>
    <dxf>
      <font>
        <name val="微软雅黑"/>
        <scheme val="none"/>
        <sz val="10"/>
      </font>
      <numFmt numFmtId="180" formatCode="0_);[Red]\(0\)"/>
      <alignment horizontal="center" vertical="center" wrapText="1"/>
    </dxf>
    <dxf>
      <font>
        <name val="微软雅黑"/>
        <scheme val="none"/>
        <sz val="10"/>
      </font>
      <numFmt numFmtId="178" formatCode="#,##0.00_ "/>
      <alignment horizontal="center" vertical="center" wrapText="1"/>
    </dxf>
    <dxf>
      <font>
        <name val="微软雅黑"/>
        <scheme val="none"/>
        <sz val="10"/>
      </font>
      <numFmt numFmtId="178" formatCode="#,##0.00_ "/>
      <alignment horizontal="center" vertical="center" wrapText="1"/>
    </dxf>
    <dxf>
      <font>
        <name val="微软雅黑"/>
        <scheme val="none"/>
        <sz val="10"/>
      </font>
      <numFmt numFmtId="10" formatCode="0.00%"/>
      <alignment horizontal="center" vertical="center" wrapText="1"/>
    </dxf>
    <dxf>
      <font>
        <name val="微软雅黑"/>
        <scheme val="none"/>
        <sz val="10"/>
      </font>
      <numFmt numFmtId="0" formatCode="General"/>
      <alignment horizontal="center" vertical="center" wrapText="1"/>
    </dxf>
    <dxf>
      <font>
        <name val="微软雅黑"/>
        <scheme val="none"/>
        <sz val="10"/>
      </font>
      <numFmt numFmtId="0" formatCode="General"/>
      <alignment horizontal="center" vertical="center" wrapText="1"/>
    </dxf>
    <dxf>
      <font>
        <name val="微软雅黑"/>
        <scheme val="none"/>
        <sz val="10"/>
      </font>
      <alignment horizontal="center" vertical="center" wrapText="1"/>
    </dxf>
    <dxf>
      <font>
        <name val="微软雅黑"/>
        <scheme val="none"/>
        <sz val="10"/>
      </font>
      <alignment horizontal="center" vertical="center" wrapText="1"/>
    </dxf>
    <dxf>
      <font>
        <name val="微软雅黑"/>
        <scheme val="none"/>
        <sz val="10"/>
      </font>
      <alignment horizontal="center" vertical="center" wrapText="1"/>
    </dxf>
    <dxf>
      <font>
        <name val="微软雅黑"/>
        <scheme val="none"/>
        <sz val="10"/>
      </font>
      <alignment horizontal="center" vertical="center" wrapText="1"/>
    </dxf>
    <dxf>
      <font>
        <name val="微软雅黑"/>
        <scheme val="none"/>
        <sz val="10"/>
      </font>
      <numFmt numFmtId="179" formatCode="yyyy/mm/dd;@"/>
      <alignment horizontal="center" vertical="center" wrapText="1"/>
    </dxf>
    <dxf>
      <font>
        <name val="微软雅黑"/>
        <scheme val="none"/>
        <sz val="10"/>
      </font>
      <numFmt numFmtId="180" formatCode="0_);[Red]\(0\)"/>
      <alignment horizontal="center" vertical="center" wrapText="1"/>
    </dxf>
    <dxf>
      <font>
        <name val="微软雅黑"/>
        <scheme val="none"/>
        <sz val="10"/>
      </font>
      <alignment horizontal="center" vertical="center" wrapText="1"/>
    </dxf>
    <dxf>
      <alignment horizontal="center" vertical="center"/>
    </dxf>
    <dxf>
      <alignment horizontal="center" vertical="center"/>
    </dxf>
    <dxf>
      <font>
        <name val="宋体"/>
        <scheme val="none"/>
        <sz val="12"/>
        <color rgb="FF0F1115"/>
      </font>
      <alignment horizontal="center"/>
    </dxf>
    <dxf>
      <alignment horizontal="center" vertical="center"/>
    </dxf>
    <dxf>
      <alignment horizontal="center" vertical="center"/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4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1:AD33" totalsRowShown="0">
  <autoFilter xmlns:etc="http://www.wps.cn/officeDocument/2017/etCustomData" ref="A1:AD33" etc:filterBottomFollowUsedRange="0"/>
  <tableColumns count="30">
    <tableColumn id="1" name="甲方名称" dataDxfId="0"/>
    <tableColumn id="2" name="省份" dataDxfId="1"/>
    <tableColumn id="3" name="合同号" dataDxfId="2"/>
    <tableColumn id="4" name="含税合同金额" dataDxfId="3"/>
    <tableColumn id="9" name="税率" dataDxfId="4"/>
    <tableColumn id="29" name="负责人"/>
    <tableColumn id="5" name="项目类型" dataDxfId="5"/>
    <tableColumn id="6" name="开工时间" dataDxfId="6"/>
    <tableColumn id="7" name="完工时间" dataDxfId="7"/>
    <tableColumn id="11" name="实际工期" dataDxfId="8">
      <calculatedColumnFormula>IF(I2,I2-H2+1,"")</calculatedColumnFormula>
    </tableColumn>
    <tableColumn id="10" name="施工状态" dataDxfId="9"/>
    <tableColumn id="14" name="结算时间" dataDxfId="10"/>
    <tableColumn id="15" name="开票时间" dataDxfId="11"/>
    <tableColumn id="16" name="回款时间" dataDxfId="12"/>
    <tableColumn id="17" name="完工后结算时间" dataDxfId="13">
      <calculatedColumnFormula>IF($K2=Sheet1!$F$5,IF(L2&lt;&gt;"",NETWORKDAYS(I2,L2),""),"")</calculatedColumnFormula>
    </tableColumn>
    <tableColumn id="18" name="结算后开票时间" dataDxfId="14">
      <calculatedColumnFormula>IF($K2=Sheet1!$F$5,IF(M2&lt;&gt;"",NETWORKDAYS(L2,M2),""),"")</calculatedColumnFormula>
    </tableColumn>
    <tableColumn id="19" name="开票后回款90%时间" dataDxfId="15">
      <calculatedColumnFormula>IF($K2=Sheet1!$F$5,IF(N2&lt;&gt;"",NETWORKDAYS(M2,N2),""),"")</calculatedColumnFormula>
    </tableColumn>
    <tableColumn id="20" name="结算金额" dataDxfId="16"/>
    <tableColumn id="21" name="开票金额" dataDxfId="17"/>
    <tableColumn id="22" name="结算审计偏差率" dataDxfId="18">
      <calculatedColumnFormula>IFERROR(MIN((R2-D2)/D2,(S2-D2)/D2,(S2-R2)/R2),"")</calculatedColumnFormula>
    </tableColumn>
    <tableColumn id="23" name="自有人工工时" dataDxfId="19"/>
    <tableColumn id="24" name="劳务人工工时" dataDxfId="20"/>
    <tableColumn id="25" name="生活住宿费" dataDxfId="21"/>
    <tableColumn id="26" name="交通费" dataDxfId="22"/>
    <tableColumn id="27" name="材料费" dataDxfId="23"/>
    <tableColumn id="28" name="其他费用" dataDxfId="24"/>
    <tableColumn id="8" name="项目成本表截止提供时间" dataDxfId="25">
      <calculatedColumnFormula>IF(K2=Sheet1!$F$5,MAX(I2+30,0),"")</calculatedColumnFormula>
    </tableColumn>
    <tableColumn id="12" name="截止剩余时间" dataDxfId="26">
      <calculatedColumnFormula>IF(K2=Sheet1!$F$5,MAX(AA2-TODAY(),0),"")</calculatedColumnFormula>
    </tableColumn>
    <tableColumn id="13" name="是否提供项目成本表" dataDxfId="27"/>
    <tableColumn id="30" name="是否已计算提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表2" displayName="表2" ref="A1:B5" totalsRowShown="0">
  <autoFilter xmlns:etc="http://www.wps.cn/officeDocument/2017/etCustomData" ref="A1:B5" etc:filterBottomFollowUsedRange="0"/>
  <tableColumns count="2">
    <tableColumn id="1" name="项目类型" dataDxfId="28"/>
    <tableColumn id="2" name="定义" dataDxfId="2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表3" displayName="表3" ref="D1:D31" totalsRowShown="0">
  <autoFilter xmlns:etc="http://www.wps.cn/officeDocument/2017/etCustomData" ref="D1:D31" etc:filterBottomFollowUsedRange="0"/>
  <tableColumns count="1">
    <tableColumn id="1" name="省份" dataDxfId="3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表5" displayName="表5" ref="F1:F8" totalsRowShown="0">
  <autoFilter xmlns:etc="http://www.wps.cn/officeDocument/2017/etCustomData" ref="F1:F8" etc:filterBottomFollowUsedRange="0"/>
  <tableColumns count="1">
    <tableColumn id="1" name="施工状态" dataDxfId="3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6" name="表6" displayName="表6" ref="H1:H3" totalsRowShown="0">
  <autoFilter xmlns:etc="http://www.wps.cn/officeDocument/2017/etCustomData" ref="H1:H3" etc:filterBottomFollowUsedRange="0"/>
  <tableColumns count="1">
    <tableColumn id="1" name="状态" dataDxfId="3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table" Target="../tables/table5.xml"/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45"/>
  <sheetViews>
    <sheetView tabSelected="1" workbookViewId="0">
      <pane xSplit="3" ySplit="1" topLeftCell="D8" activePane="bottomRight" state="frozen"/>
      <selection/>
      <selection pane="topRight"/>
      <selection pane="bottomLeft"/>
      <selection pane="bottomRight" activeCell="L25" sqref="L25"/>
    </sheetView>
  </sheetViews>
  <sheetFormatPr defaultColWidth="8.8" defaultRowHeight="16.5"/>
  <cols>
    <col min="1" max="1" width="25" style="5" customWidth="1"/>
    <col min="2" max="2" width="8.675" style="1" customWidth="1"/>
    <col min="3" max="3" width="19.375" style="1" customWidth="1"/>
    <col min="4" max="4" width="12.25" style="6" customWidth="1"/>
    <col min="5" max="5" width="4.875" style="7" customWidth="1"/>
    <col min="6" max="6" width="7.75" style="7" customWidth="1"/>
    <col min="7" max="7" width="10.375" style="1" customWidth="1"/>
    <col min="8" max="9" width="11" style="8" customWidth="1"/>
    <col min="10" max="10" width="8.125" style="9" customWidth="1"/>
    <col min="11" max="11" width="8.125" style="10" customWidth="1"/>
    <col min="12" max="14" width="11" style="8" customWidth="1"/>
    <col min="15" max="15" width="11" style="9" customWidth="1"/>
    <col min="16" max="16" width="10.5" style="9" customWidth="1"/>
    <col min="17" max="17" width="10.875" style="10" customWidth="1"/>
    <col min="18" max="19" width="10.75" style="6" customWidth="1"/>
    <col min="20" max="20" width="9.5" style="11" customWidth="1"/>
    <col min="21" max="21" width="11.125" style="4" customWidth="1"/>
    <col min="22" max="22" width="10.25" style="4" customWidth="1"/>
    <col min="23" max="23" width="10" style="4" customWidth="1"/>
    <col min="24" max="24" width="9.375" style="4" customWidth="1"/>
    <col min="25" max="25" width="8.375" style="4" customWidth="1"/>
    <col min="26" max="26" width="10.375" style="4" customWidth="1"/>
    <col min="27" max="27" width="13.75" style="8" customWidth="1"/>
    <col min="28" max="28" width="11.875" style="9" customWidth="1"/>
    <col min="29" max="29" width="12.375" style="1" customWidth="1"/>
    <col min="30" max="30" width="12.375" style="12" customWidth="1"/>
    <col min="31" max="16384" width="8.8" style="1"/>
  </cols>
  <sheetData>
    <row r="1" ht="30" spans="1:30">
      <c r="A1" s="13" t="s">
        <v>0</v>
      </c>
      <c r="B1" s="13" t="s">
        <v>1</v>
      </c>
      <c r="C1" s="13" t="s">
        <v>2</v>
      </c>
      <c r="D1" s="14" t="s">
        <v>3</v>
      </c>
      <c r="E1" s="13" t="s">
        <v>4</v>
      </c>
      <c r="F1" s="13" t="s">
        <v>5</v>
      </c>
      <c r="G1" s="13" t="s">
        <v>6</v>
      </c>
      <c r="H1" s="15" t="s">
        <v>7</v>
      </c>
      <c r="I1" s="15" t="s">
        <v>8</v>
      </c>
      <c r="J1" s="16" t="s">
        <v>9</v>
      </c>
      <c r="K1" s="13" t="s">
        <v>10</v>
      </c>
      <c r="L1" s="15" t="s">
        <v>11</v>
      </c>
      <c r="M1" s="15" t="s">
        <v>12</v>
      </c>
      <c r="N1" s="17" t="s">
        <v>13</v>
      </c>
      <c r="O1" s="18" t="s">
        <v>14</v>
      </c>
      <c r="P1" s="18" t="s">
        <v>15</v>
      </c>
      <c r="Q1" s="19" t="s">
        <v>16</v>
      </c>
      <c r="R1" s="19" t="s">
        <v>17</v>
      </c>
      <c r="S1" s="20" t="s">
        <v>18</v>
      </c>
      <c r="T1" s="21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15" t="s">
        <v>26</v>
      </c>
      <c r="AB1" s="16" t="s">
        <v>27</v>
      </c>
      <c r="AC1" s="15" t="s">
        <v>28</v>
      </c>
      <c r="AD1" s="12" t="s">
        <v>29</v>
      </c>
    </row>
    <row r="2" ht="22.5" customHeight="1" spans="1:30">
      <c r="A2" s="23" t="s">
        <v>30</v>
      </c>
      <c r="B2" s="23" t="s">
        <v>31</v>
      </c>
      <c r="C2" s="23" t="s">
        <v>32</v>
      </c>
      <c r="D2" s="24">
        <v>60000</v>
      </c>
      <c r="E2" s="25">
        <v>0.09</v>
      </c>
      <c r="F2" s="25"/>
      <c r="G2" s="23" t="s">
        <v>33</v>
      </c>
      <c r="H2" s="26">
        <v>45999</v>
      </c>
      <c r="I2" s="26">
        <v>46115</v>
      </c>
      <c r="J2" s="27">
        <v>9</v>
      </c>
      <c r="K2" s="28" t="s">
        <v>34</v>
      </c>
      <c r="L2" s="26">
        <v>46115</v>
      </c>
      <c r="M2" s="26">
        <v>46119</v>
      </c>
      <c r="N2" s="26">
        <v>46141</v>
      </c>
      <c r="O2" s="27">
        <f>IF($K2=Sheet1!$F$5,IF(L2&lt;&gt;"",NETWORKDAYS(I2,L2),""),"")</f>
        <v>1</v>
      </c>
      <c r="P2" s="27">
        <f>IF($K2=Sheet1!$F$5,IF(M2&lt;&gt;"",NETWORKDAYS(L2,M2),""),"")</f>
        <v>3</v>
      </c>
      <c r="Q2" s="27">
        <f>IF($K2=Sheet1!$F$5,IF(N2&lt;&gt;"",NETWORKDAYS(M2,N2),""),"")</f>
        <v>17</v>
      </c>
      <c r="R2" s="24">
        <v>60000</v>
      </c>
      <c r="S2" s="24">
        <v>60000</v>
      </c>
      <c r="T2" s="29">
        <f t="shared" ref="T2:T33" si="0">IFERROR(MIN((R2-D2)/D2,(S2-D2)/D2,(S2-R2)/R2),"")</f>
        <v>0</v>
      </c>
      <c r="U2" s="12">
        <v>21</v>
      </c>
      <c r="V2" s="12"/>
      <c r="W2" s="12">
        <v>2000</v>
      </c>
      <c r="X2" s="12">
        <v>244</v>
      </c>
      <c r="Y2" s="12">
        <v>520</v>
      </c>
      <c r="Z2" s="12">
        <v>150</v>
      </c>
      <c r="AA2" s="26">
        <f>IF(K2=Sheet1!$F$5,MAX(I2+30,0),"")</f>
        <v>46145</v>
      </c>
      <c r="AB2" s="27">
        <f ca="1">IF(K2=Sheet1!$F$5,MAX(AA2-TODAY(),0),"")</f>
        <v>0</v>
      </c>
      <c r="AC2" s="12" t="s">
        <v>35</v>
      </c>
    </row>
    <row r="3" ht="22.5" customHeight="1" spans="1:30">
      <c r="A3" s="23" t="s">
        <v>36</v>
      </c>
      <c r="B3" s="23" t="s">
        <v>37</v>
      </c>
      <c r="C3" s="23" t="s">
        <v>38</v>
      </c>
      <c r="D3" s="24">
        <v>228900</v>
      </c>
      <c r="E3" s="25">
        <v>0.09</v>
      </c>
      <c r="F3" s="30" t="s">
        <v>39</v>
      </c>
      <c r="G3" s="23" t="s">
        <v>33</v>
      </c>
      <c r="H3" s="26">
        <v>45988</v>
      </c>
      <c r="I3" s="26">
        <v>46088</v>
      </c>
      <c r="J3" s="27">
        <f t="shared" ref="J3:J33" si="1">IF(I3,I3-H3+1,"")</f>
        <v>101</v>
      </c>
      <c r="K3" s="28" t="s">
        <v>34</v>
      </c>
      <c r="L3" s="26">
        <v>46088</v>
      </c>
      <c r="M3" s="26">
        <v>46102</v>
      </c>
      <c r="N3" s="26">
        <v>46139</v>
      </c>
      <c r="O3" s="27">
        <f>IF($K3=Sheet1!$F$5,IF(L3&lt;&gt;"",NETWORKDAYS(I3,L3),""),"")</f>
        <v>0</v>
      </c>
      <c r="P3" s="27">
        <f>IF($K3=Sheet1!$F$5,IF(M3&lt;&gt;"",NETWORKDAYS(L3,M3),""),"")</f>
        <v>10</v>
      </c>
      <c r="Q3" s="27">
        <f>IF($K3=Sheet1!$F$5,IF(N3&lt;&gt;"",NETWORKDAYS(M3,N3),""),"")</f>
        <v>26</v>
      </c>
      <c r="R3" s="24">
        <v>228900</v>
      </c>
      <c r="S3" s="24">
        <v>228900</v>
      </c>
      <c r="T3" s="29">
        <f t="shared" si="0"/>
        <v>0</v>
      </c>
      <c r="U3" s="12">
        <v>214</v>
      </c>
      <c r="V3" s="12"/>
      <c r="W3" s="12">
        <v>15500</v>
      </c>
      <c r="X3" s="12">
        <v>7399.04</v>
      </c>
      <c r="Y3" s="12">
        <v>4195</v>
      </c>
      <c r="Z3" s="12">
        <v>80</v>
      </c>
      <c r="AA3" s="26">
        <f>IF(K3=Sheet1!$F$5,MAX(I3+30,0),"")</f>
        <v>46118</v>
      </c>
      <c r="AB3" s="27">
        <f ca="1">IF(K3=Sheet1!$F$5,MAX(AA3-TODAY(),0),"")</f>
        <v>0</v>
      </c>
      <c r="AC3" s="12" t="s">
        <v>35</v>
      </c>
      <c r="AD3" s="12" t="s">
        <v>40</v>
      </c>
    </row>
    <row r="4" ht="22.5" customHeight="1" spans="1:30">
      <c r="A4" s="23" t="s">
        <v>41</v>
      </c>
      <c r="B4" s="23" t="s">
        <v>42</v>
      </c>
      <c r="C4" s="23" t="s">
        <v>43</v>
      </c>
      <c r="D4" s="24">
        <v>3808371.22</v>
      </c>
      <c r="E4" s="25">
        <v>0.09</v>
      </c>
      <c r="F4" s="25"/>
      <c r="G4" s="23" t="s">
        <v>44</v>
      </c>
      <c r="H4" s="26">
        <v>45938</v>
      </c>
      <c r="I4" s="26"/>
      <c r="J4" s="27" t="str">
        <f t="shared" si="1"/>
        <v/>
      </c>
      <c r="K4" s="28" t="s">
        <v>45</v>
      </c>
      <c r="L4" s="26"/>
      <c r="M4" s="26"/>
      <c r="N4" s="26"/>
      <c r="O4" s="27" t="str">
        <f>IF($K4=Sheet1!$F$5,IF(L4&lt;&gt;"",NETWORKDAYS(I4,L4),""),"")</f>
        <v/>
      </c>
      <c r="P4" s="27" t="str">
        <f>IF($K4=Sheet1!$F$5,IF(M4&lt;&gt;"",NETWORKDAYS(L4,M4),""),"")</f>
        <v/>
      </c>
      <c r="Q4" s="27" t="str">
        <f>IF($K4=Sheet1!$F$5,IF(N4&lt;&gt;"",NETWORKDAYS(M4,N4),""),"")</f>
        <v/>
      </c>
      <c r="R4" s="24"/>
      <c r="S4" s="24"/>
      <c r="T4" s="29" t="str">
        <f t="shared" si="0"/>
        <v/>
      </c>
      <c r="U4" s="12"/>
      <c r="V4" s="12"/>
      <c r="W4" s="12"/>
      <c r="X4" s="12"/>
      <c r="Y4" s="12"/>
      <c r="Z4" s="12"/>
      <c r="AA4" s="26" t="str">
        <f>IF(K4=Sheet1!$F$5,MAX(I4+30,0),"")</f>
        <v/>
      </c>
      <c r="AB4" s="27" t="str">
        <f ca="1">IF(K4=Sheet1!$F$5,MAX(AA4-TODAY(),0),"")</f>
        <v/>
      </c>
      <c r="AC4" s="12"/>
    </row>
    <row r="5" ht="22.5" customHeight="1" spans="1:30">
      <c r="A5" s="23" t="s">
        <v>46</v>
      </c>
      <c r="B5" s="23" t="s">
        <v>47</v>
      </c>
      <c r="C5" s="23" t="s">
        <v>48</v>
      </c>
      <c r="D5" s="24">
        <v>460000</v>
      </c>
      <c r="E5" s="25">
        <v>0.09</v>
      </c>
      <c r="F5" s="25"/>
      <c r="G5" s="23" t="s">
        <v>44</v>
      </c>
      <c r="H5" s="26">
        <v>46001</v>
      </c>
      <c r="I5" s="26"/>
      <c r="J5" s="27" t="str">
        <f t="shared" si="1"/>
        <v/>
      </c>
      <c r="K5" s="28" t="s">
        <v>45</v>
      </c>
      <c r="L5" s="26"/>
      <c r="M5" s="26"/>
      <c r="N5" s="26"/>
      <c r="O5" s="27" t="str">
        <f>IF($K5=Sheet1!$F$5,IF(L5&lt;&gt;"",NETWORKDAYS(I5,L5),""),"")</f>
        <v/>
      </c>
      <c r="P5" s="27" t="str">
        <f>IF($K5=Sheet1!$F$5,IF(M5&lt;&gt;"",NETWORKDAYS(L5,M5),""),"")</f>
        <v/>
      </c>
      <c r="Q5" s="27" t="str">
        <f>IF($K5=Sheet1!$F$5,IF(N5&lt;&gt;"",NETWORKDAYS(M5,N5),""),"")</f>
        <v/>
      </c>
      <c r="R5" s="24"/>
      <c r="S5" s="24"/>
      <c r="T5" s="29" t="str">
        <f t="shared" si="0"/>
        <v/>
      </c>
      <c r="U5" s="12"/>
      <c r="V5" s="12"/>
      <c r="W5" s="12"/>
      <c r="X5" s="12"/>
      <c r="Y5" s="12"/>
      <c r="Z5" s="12"/>
      <c r="AA5" s="26" t="str">
        <f>IF(K5=Sheet1!$F$5,MAX(I5+30,0),"")</f>
        <v/>
      </c>
      <c r="AB5" s="27" t="str">
        <f ca="1">IF(K5=Sheet1!$F$5,MAX(AA5-TODAY(),0),"")</f>
        <v/>
      </c>
      <c r="AC5" s="12"/>
    </row>
    <row r="6" ht="22.5" customHeight="1" spans="1:30">
      <c r="A6" s="23" t="s">
        <v>46</v>
      </c>
      <c r="B6" s="23" t="s">
        <v>47</v>
      </c>
      <c r="C6" s="23" t="s">
        <v>49</v>
      </c>
      <c r="D6" s="24">
        <v>346000</v>
      </c>
      <c r="E6" s="25">
        <v>0.13</v>
      </c>
      <c r="F6" s="25"/>
      <c r="G6" s="23" t="s">
        <v>44</v>
      </c>
      <c r="H6" s="26"/>
      <c r="I6" s="26"/>
      <c r="J6" s="27" t="str">
        <f t="shared" si="1"/>
        <v/>
      </c>
      <c r="K6" s="28" t="s">
        <v>50</v>
      </c>
      <c r="L6" s="26"/>
      <c r="M6" s="26"/>
      <c r="N6" s="26"/>
      <c r="O6" s="27" t="str">
        <f>IF($K6=Sheet1!$F$5,IF(L6&lt;&gt;"",NETWORKDAYS(I6,L6),""),"")</f>
        <v/>
      </c>
      <c r="P6" s="27" t="str">
        <f>IF($K6=Sheet1!$F$5,IF(M6&lt;&gt;"",NETWORKDAYS(L6,M6),""),"")</f>
        <v/>
      </c>
      <c r="Q6" s="27" t="str">
        <f>IF($K6=Sheet1!$F$5,IF(N6&lt;&gt;"",NETWORKDAYS(M6,N6),""),"")</f>
        <v/>
      </c>
      <c r="R6" s="24"/>
      <c r="S6" s="24"/>
      <c r="T6" s="29" t="str">
        <f t="shared" si="0"/>
        <v/>
      </c>
      <c r="U6" s="12"/>
      <c r="V6" s="12"/>
      <c r="W6" s="12"/>
      <c r="X6" s="12"/>
      <c r="Y6" s="12"/>
      <c r="Z6" s="12"/>
      <c r="AA6" s="26" t="str">
        <f>IF(K6=Sheet1!$F$5,MAX(I6+30,0),"")</f>
        <v/>
      </c>
      <c r="AB6" s="27" t="str">
        <f ca="1">IF(K6=Sheet1!$F$5,MAX(AA6-TODAY(),0),"")</f>
        <v/>
      </c>
      <c r="AC6" s="12"/>
    </row>
    <row r="7" ht="22.5" customHeight="1" spans="1:30">
      <c r="A7" s="23" t="s">
        <v>51</v>
      </c>
      <c r="B7" s="23" t="s">
        <v>52</v>
      </c>
      <c r="C7" s="23" t="s">
        <v>53</v>
      </c>
      <c r="D7" s="24">
        <v>38000</v>
      </c>
      <c r="E7" s="25">
        <v>0.13</v>
      </c>
      <c r="F7" s="25" t="s">
        <v>39</v>
      </c>
      <c r="G7" s="23" t="s">
        <v>33</v>
      </c>
      <c r="H7" s="26">
        <v>46011</v>
      </c>
      <c r="I7" s="26">
        <v>46016</v>
      </c>
      <c r="J7" s="27">
        <f t="shared" si="1"/>
        <v>6</v>
      </c>
      <c r="K7" s="28" t="s">
        <v>34</v>
      </c>
      <c r="L7" s="26">
        <v>46016</v>
      </c>
      <c r="M7" s="26">
        <v>46027</v>
      </c>
      <c r="N7" s="26">
        <v>46066</v>
      </c>
      <c r="O7" s="27">
        <f>IF($K7=Sheet1!$F$5,IF(L7&lt;&gt;"",NETWORKDAYS(I7,L7),""),"")</f>
        <v>1</v>
      </c>
      <c r="P7" s="27">
        <f>IF($K7=Sheet1!$F$5,IF(M7&lt;&gt;"",NETWORKDAYS(L7,M7),""),"")</f>
        <v>8</v>
      </c>
      <c r="Q7" s="27">
        <f>IF($K7=Sheet1!$F$5,IF(N7&lt;&gt;"",NETWORKDAYS(M7,N7),""),"")</f>
        <v>30</v>
      </c>
      <c r="R7" s="24">
        <v>38000</v>
      </c>
      <c r="S7" s="24">
        <v>38000</v>
      </c>
      <c r="T7" s="29">
        <f t="shared" si="0"/>
        <v>0</v>
      </c>
      <c r="U7" s="12">
        <v>12</v>
      </c>
      <c r="V7" s="12"/>
      <c r="W7" s="12">
        <v>640</v>
      </c>
      <c r="X7" s="12">
        <v>67</v>
      </c>
      <c r="Y7" s="12"/>
      <c r="Z7" s="12"/>
      <c r="AA7" s="26">
        <f>IF(K7=Sheet1!$F$5,MAX(I7+30,0),"")</f>
        <v>46046</v>
      </c>
      <c r="AB7" s="27">
        <f ca="1">IF(K7=Sheet1!$F$5,MAX(AA7-TODAY(),0),"")</f>
        <v>0</v>
      </c>
      <c r="AC7" s="12" t="s">
        <v>35</v>
      </c>
      <c r="AD7" s="12" t="s">
        <v>40</v>
      </c>
    </row>
    <row r="8" ht="22.5" customHeight="1" spans="1:30">
      <c r="A8" s="23" t="s">
        <v>54</v>
      </c>
      <c r="B8" s="23" t="s">
        <v>55</v>
      </c>
      <c r="C8" s="23" t="s">
        <v>56</v>
      </c>
      <c r="D8" s="24">
        <v>45000</v>
      </c>
      <c r="E8" s="25">
        <v>0.09</v>
      </c>
      <c r="F8" s="25" t="s">
        <v>39</v>
      </c>
      <c r="G8" s="23" t="s">
        <v>57</v>
      </c>
      <c r="H8" s="26">
        <v>46014</v>
      </c>
      <c r="I8" s="26">
        <v>46021</v>
      </c>
      <c r="J8" s="27">
        <f t="shared" si="1"/>
        <v>8</v>
      </c>
      <c r="K8" s="28" t="s">
        <v>34</v>
      </c>
      <c r="L8" s="26">
        <v>46021</v>
      </c>
      <c r="M8" s="26">
        <v>46048</v>
      </c>
      <c r="N8" s="26">
        <v>46058</v>
      </c>
      <c r="O8" s="27">
        <f>IF($K8=Sheet1!$F$5,IF(L8&lt;&gt;"",NETWORKDAYS(I8,L8),""),"")</f>
        <v>1</v>
      </c>
      <c r="P8" s="27">
        <f>IF($K8=Sheet1!$F$5,IF(M8&lt;&gt;"",NETWORKDAYS(L8,M8),""),"")</f>
        <v>20</v>
      </c>
      <c r="Q8" s="27">
        <f>IF($K8=Sheet1!$F$5,IF(N8&lt;&gt;"",NETWORKDAYS(M8,N8),""),"")</f>
        <v>9</v>
      </c>
      <c r="R8" s="24">
        <v>45000</v>
      </c>
      <c r="S8" s="24">
        <v>45000</v>
      </c>
      <c r="T8" s="29">
        <f t="shared" si="0"/>
        <v>0</v>
      </c>
      <c r="U8" s="12">
        <v>41</v>
      </c>
      <c r="V8" s="12">
        <v>17</v>
      </c>
      <c r="W8" s="12">
        <f>1812.5+1300</f>
        <v>3112.5</v>
      </c>
      <c r="X8" s="12">
        <v>1233.81</v>
      </c>
      <c r="Y8" s="12">
        <v>160</v>
      </c>
      <c r="Z8" s="12">
        <v>3056</v>
      </c>
      <c r="AA8" s="26">
        <f>IF(K8=Sheet1!$F$5,MAX(I8+30,0),"")</f>
        <v>46051</v>
      </c>
      <c r="AB8" s="27">
        <f ca="1">IF(K8=Sheet1!$F$5,MAX(AA8-TODAY(),0),"")</f>
        <v>0</v>
      </c>
      <c r="AC8" s="12" t="s">
        <v>35</v>
      </c>
      <c r="AD8" s="12" t="s">
        <v>40</v>
      </c>
    </row>
    <row r="9" ht="22.5" customHeight="1" spans="1:30">
      <c r="A9" s="23" t="s">
        <v>58</v>
      </c>
      <c r="B9" s="23" t="s">
        <v>31</v>
      </c>
      <c r="C9" s="23" t="s">
        <v>59</v>
      </c>
      <c r="D9" s="24">
        <v>1263546</v>
      </c>
      <c r="E9" s="25">
        <v>0.13</v>
      </c>
      <c r="F9" s="25"/>
      <c r="G9" s="23" t="s">
        <v>57</v>
      </c>
      <c r="H9" s="26"/>
      <c r="I9" s="26"/>
      <c r="J9" s="27" t="str">
        <f t="shared" si="1"/>
        <v/>
      </c>
      <c r="K9" s="28" t="s">
        <v>45</v>
      </c>
      <c r="L9" s="26"/>
      <c r="M9" s="26"/>
      <c r="N9" s="26"/>
      <c r="O9" s="27" t="str">
        <f>IF($K9=Sheet1!$F$5,IF(L9&lt;&gt;"",NETWORKDAYS(I9,L9),""),"")</f>
        <v/>
      </c>
      <c r="P9" s="27" t="str">
        <f>IF($K9=Sheet1!$F$5,IF(M9&lt;&gt;"",NETWORKDAYS(L9,M9),""),"")</f>
        <v/>
      </c>
      <c r="Q9" s="27" t="str">
        <f>IF($K9=Sheet1!$F$5,IF(N9&lt;&gt;"",NETWORKDAYS(M9,N9),""),"")</f>
        <v/>
      </c>
      <c r="R9" s="24"/>
      <c r="S9" s="24"/>
      <c r="T9" s="29" t="str">
        <f t="shared" si="0"/>
        <v/>
      </c>
      <c r="U9" s="12"/>
      <c r="V9" s="12"/>
      <c r="W9" s="12"/>
      <c r="X9" s="12"/>
      <c r="Y9" s="12"/>
      <c r="Z9" s="12"/>
      <c r="AA9" s="26" t="str">
        <f>IF(K9=Sheet1!$F$5,MAX(I9+30,0),"")</f>
        <v/>
      </c>
      <c r="AB9" s="27" t="str">
        <f ca="1">IF(K9=Sheet1!$F$5,MAX(AA9-TODAY(),0),"")</f>
        <v/>
      </c>
      <c r="AC9" s="12"/>
    </row>
    <row r="10" ht="22.5" customHeight="1" spans="1:30">
      <c r="A10" s="31" t="s">
        <v>60</v>
      </c>
      <c r="B10" s="23" t="s">
        <v>61</v>
      </c>
      <c r="C10" s="31" t="s">
        <v>62</v>
      </c>
      <c r="D10" s="24">
        <v>86000</v>
      </c>
      <c r="E10" s="25">
        <v>0.09</v>
      </c>
      <c r="F10" s="25"/>
      <c r="G10" s="23" t="s">
        <v>57</v>
      </c>
      <c r="H10" s="26">
        <v>46018</v>
      </c>
      <c r="I10" s="26">
        <v>46024</v>
      </c>
      <c r="J10" s="27">
        <f t="shared" si="1"/>
        <v>7</v>
      </c>
      <c r="K10" s="28" t="s">
        <v>63</v>
      </c>
      <c r="L10" s="26"/>
      <c r="M10" s="26"/>
      <c r="N10" s="26"/>
      <c r="O10" s="27" t="str">
        <f>IF($K10=Sheet1!$F$5,IF(L10&lt;&gt;"",NETWORKDAYS(I10,L10),""),"")</f>
        <v/>
      </c>
      <c r="P10" s="27" t="str">
        <f>IF($K10=Sheet1!$F$5,IF(M10&lt;&gt;"",NETWORKDAYS(L10,M10),""),"")</f>
        <v/>
      </c>
      <c r="Q10" s="27" t="str">
        <f>IF($K10=Sheet1!$F$5,IF(N10&lt;&gt;"",NETWORKDAYS(M10,N10),""),"")</f>
        <v/>
      </c>
      <c r="R10" s="24"/>
      <c r="S10" s="24"/>
      <c r="T10" s="29" t="str">
        <f t="shared" si="0"/>
        <v/>
      </c>
      <c r="U10" s="12">
        <v>31</v>
      </c>
      <c r="V10" s="12">
        <v>2</v>
      </c>
      <c r="W10" s="12">
        <f>2195+70</f>
        <v>2265</v>
      </c>
      <c r="X10" s="12">
        <v>2140.31</v>
      </c>
      <c r="Y10" s="12">
        <v>1963</v>
      </c>
      <c r="Z10" s="12">
        <v>300</v>
      </c>
      <c r="AA10" s="26" t="str">
        <f>IF(K10=Sheet1!$F$5,MAX(I10+30,0),"")</f>
        <v/>
      </c>
      <c r="AB10" s="27" t="str">
        <f ca="1">IF(K10=Sheet1!$F$5,MAX(AA10-TODAY(),0),"")</f>
        <v/>
      </c>
      <c r="AC10" s="12"/>
    </row>
    <row r="11" ht="22.5" customHeight="1" spans="1:30">
      <c r="A11" s="31" t="s">
        <v>41</v>
      </c>
      <c r="B11" s="31" t="s">
        <v>42</v>
      </c>
      <c r="C11" s="31" t="s">
        <v>59</v>
      </c>
      <c r="D11" s="24">
        <v>1180000</v>
      </c>
      <c r="E11" s="25">
        <v>0.09</v>
      </c>
      <c r="F11" s="25"/>
      <c r="G11" s="23" t="s">
        <v>57</v>
      </c>
      <c r="H11" s="26">
        <v>45940</v>
      </c>
      <c r="I11" s="26">
        <v>46034</v>
      </c>
      <c r="J11" s="27">
        <f t="shared" si="1"/>
        <v>95</v>
      </c>
      <c r="K11" s="28" t="s">
        <v>34</v>
      </c>
      <c r="L11" s="26">
        <v>46037</v>
      </c>
      <c r="M11" s="26">
        <v>46056</v>
      </c>
      <c r="N11" s="26"/>
      <c r="O11" s="27">
        <f>IF($K11=Sheet1!$F$5,IF(L11&lt;&gt;"",NETWORKDAYS(I11,L11),""),"")</f>
        <v>4</v>
      </c>
      <c r="P11" s="27">
        <f>IF($K11=Sheet1!$F$5,IF(M11&lt;&gt;"",NETWORKDAYS(L11,M11),""),"")</f>
        <v>14</v>
      </c>
      <c r="Q11" s="27" t="str">
        <f>IF($K11=Sheet1!$F$5,IF(N11&lt;&gt;"",NETWORKDAYS(M11,N11),""),"")</f>
        <v/>
      </c>
      <c r="R11" s="24">
        <v>944532</v>
      </c>
      <c r="S11" s="24">
        <v>944532</v>
      </c>
      <c r="T11" s="29">
        <f t="shared" si="0"/>
        <v>-0.199549152542373</v>
      </c>
      <c r="U11" s="12">
        <f>71+75+46</f>
        <v>192</v>
      </c>
      <c r="V11" s="12">
        <v>1579.32</v>
      </c>
      <c r="W11" s="12">
        <f>2474+18412+19703.1+4099.21</f>
        <v>44688.31</v>
      </c>
      <c r="X11" s="12">
        <v>20441.77</v>
      </c>
      <c r="Y11" s="12">
        <f>26276.7+3870</f>
        <v>30146.7</v>
      </c>
      <c r="Z11" s="12">
        <f>4919.95+11993.02+1815+205+41200+87373+978+20000</f>
        <v>168483.97</v>
      </c>
      <c r="AA11" s="26">
        <f>IF(K11=Sheet1!$F$5,MAX(I11+30,0),"")</f>
        <v>46064</v>
      </c>
      <c r="AB11" s="27">
        <f ca="1">IF(K11=Sheet1!$F$5,MAX(AA11-TODAY(),0),"")</f>
        <v>0</v>
      </c>
      <c r="AC11" s="12" t="s">
        <v>35</v>
      </c>
    </row>
    <row r="12" ht="22.5" customHeight="1" spans="1:30">
      <c r="A12" s="31" t="s">
        <v>64</v>
      </c>
      <c r="B12" s="31" t="s">
        <v>65</v>
      </c>
      <c r="C12" s="31" t="s">
        <v>66</v>
      </c>
      <c r="D12" s="24">
        <v>91000</v>
      </c>
      <c r="E12" s="25">
        <v>0.13</v>
      </c>
      <c r="F12" s="32" t="s">
        <v>39</v>
      </c>
      <c r="G12" s="23" t="s">
        <v>33</v>
      </c>
      <c r="H12" s="26">
        <v>46060</v>
      </c>
      <c r="I12" s="26">
        <v>46067</v>
      </c>
      <c r="J12" s="27">
        <f t="shared" si="1"/>
        <v>8</v>
      </c>
      <c r="K12" s="28" t="s">
        <v>34</v>
      </c>
      <c r="L12" s="26">
        <v>46067</v>
      </c>
      <c r="M12" s="26">
        <v>46090</v>
      </c>
      <c r="N12" s="26">
        <v>46168</v>
      </c>
      <c r="O12" s="27">
        <f>IF($K12=Sheet1!$F$5,IF(L12&lt;&gt;"",NETWORKDAYS(I12,L12),""),"")</f>
        <v>0</v>
      </c>
      <c r="P12" s="27">
        <f>IF($K12=Sheet1!$F$5,IF(M12&lt;&gt;"",NETWORKDAYS(L12,M12),""),"")</f>
        <v>16</v>
      </c>
      <c r="Q12" s="27">
        <f>IF($K12=Sheet1!$F$5,IF(N12&lt;&gt;"",NETWORKDAYS(M12,N12),""),"")</f>
        <v>57</v>
      </c>
      <c r="R12" s="24">
        <v>157300</v>
      </c>
      <c r="S12" s="24">
        <v>145200</v>
      </c>
      <c r="T12" s="29">
        <f t="shared" si="0"/>
        <v>-0.0769230769230769</v>
      </c>
      <c r="U12" s="12">
        <v>43</v>
      </c>
      <c r="V12" s="12"/>
      <c r="W12" s="12">
        <v>2800</v>
      </c>
      <c r="X12" s="12"/>
      <c r="Y12" s="12"/>
      <c r="Z12" s="12"/>
      <c r="AA12" s="26">
        <f>IF(K12=Sheet1!$F$5,MAX(I12+30,0),"")</f>
        <v>46097</v>
      </c>
      <c r="AB12" s="27">
        <f ca="1">IF(K12=Sheet1!$F$5,MAX(AA12-TODAY(),0),"")</f>
        <v>0</v>
      </c>
      <c r="AC12" s="23" t="s">
        <v>35</v>
      </c>
      <c r="AD12" s="12" t="s">
        <v>40</v>
      </c>
    </row>
    <row r="13" ht="22.5" customHeight="1" spans="1:30">
      <c r="A13" s="31" t="s">
        <v>64</v>
      </c>
      <c r="B13" s="31" t="s">
        <v>65</v>
      </c>
      <c r="C13" s="31" t="s">
        <v>67</v>
      </c>
      <c r="D13" s="24">
        <v>40000</v>
      </c>
      <c r="E13" s="25">
        <v>0.13</v>
      </c>
      <c r="F13" s="32" t="s">
        <v>39</v>
      </c>
      <c r="G13" s="23" t="s">
        <v>33</v>
      </c>
      <c r="H13" s="26">
        <v>46094</v>
      </c>
      <c r="I13" s="26">
        <v>46108</v>
      </c>
      <c r="J13" s="27">
        <f t="shared" si="1"/>
        <v>15</v>
      </c>
      <c r="K13" s="28" t="s">
        <v>34</v>
      </c>
      <c r="L13" s="26">
        <v>46108</v>
      </c>
      <c r="M13" s="26">
        <v>46115</v>
      </c>
      <c r="N13" s="26">
        <v>46168</v>
      </c>
      <c r="O13" s="27">
        <f>IF($K13=Sheet1!$F$5,IF(L13&lt;&gt;"",NETWORKDAYS(I13,L13),""),"")</f>
        <v>1</v>
      </c>
      <c r="P13" s="27">
        <f>IF($K13=Sheet1!$F$5,IF(M13&lt;&gt;"",NETWORKDAYS(L13,M13),""),"")</f>
        <v>6</v>
      </c>
      <c r="Q13" s="27">
        <f>IF($K13=Sheet1!$F$5,IF(N13&lt;&gt;"",NETWORKDAYS(M13,N13),""),"")</f>
        <v>38</v>
      </c>
      <c r="R13" s="24">
        <v>46360</v>
      </c>
      <c r="S13" s="24">
        <v>46360</v>
      </c>
      <c r="T13" s="29">
        <f t="shared" si="0"/>
        <v>0</v>
      </c>
      <c r="U13" s="12">
        <v>34</v>
      </c>
      <c r="V13" s="12"/>
      <c r="W13" s="12">
        <v>2310</v>
      </c>
      <c r="X13" s="12"/>
      <c r="Y13" s="12"/>
      <c r="Z13" s="12"/>
      <c r="AA13" s="26">
        <f>IF(K13=Sheet1!$F$5,MAX(I13+30,0),"")</f>
        <v>46138</v>
      </c>
      <c r="AB13" s="27">
        <f ca="1">IF(K13=Sheet1!$F$5,MAX(AA13-TODAY(),0),"")</f>
        <v>0</v>
      </c>
      <c r="AC13" s="23" t="s">
        <v>35</v>
      </c>
      <c r="AD13" s="12" t="s">
        <v>40</v>
      </c>
    </row>
    <row r="14" ht="22.5" customHeight="1" spans="1:30">
      <c r="A14" s="31" t="s">
        <v>68</v>
      </c>
      <c r="B14" s="31" t="s">
        <v>69</v>
      </c>
      <c r="C14" s="31" t="s">
        <v>70</v>
      </c>
      <c r="D14" s="24">
        <v>98368</v>
      </c>
      <c r="E14" s="25">
        <v>0.06</v>
      </c>
      <c r="F14" s="32" t="s">
        <v>39</v>
      </c>
      <c r="G14" s="23" t="s">
        <v>33</v>
      </c>
      <c r="H14" s="26">
        <v>46044</v>
      </c>
      <c r="I14" s="33">
        <v>46093</v>
      </c>
      <c r="J14" s="27">
        <f t="shared" si="1"/>
        <v>50</v>
      </c>
      <c r="K14" s="28" t="s">
        <v>34</v>
      </c>
      <c r="L14" s="26">
        <v>46093</v>
      </c>
      <c r="M14" s="26">
        <v>46101</v>
      </c>
      <c r="N14" s="26">
        <v>46213</v>
      </c>
      <c r="O14" s="27">
        <f>IF($K14=Sheet1!$F$5,IF(L14&lt;&gt;"",NETWORKDAYS(I14,L14),""),"")</f>
        <v>1</v>
      </c>
      <c r="P14" s="27">
        <f>IF($K14=Sheet1!$F$5,IF(M14&lt;&gt;"",NETWORKDAYS(L14,M14),""),"")</f>
        <v>7</v>
      </c>
      <c r="Q14" s="27">
        <f>IF($K14=Sheet1!$F$5,IF(N14&lt;&gt;"",NETWORKDAYS(M14,N14),""),"")</f>
        <v>81</v>
      </c>
      <c r="R14" s="24">
        <v>98368</v>
      </c>
      <c r="S14" s="24">
        <v>98368</v>
      </c>
      <c r="T14" s="29">
        <f t="shared" si="0"/>
        <v>0</v>
      </c>
      <c r="U14" s="12">
        <v>32</v>
      </c>
      <c r="V14" s="12"/>
      <c r="W14" s="12">
        <v>2645</v>
      </c>
      <c r="X14" s="12">
        <v>1506.59</v>
      </c>
      <c r="Y14" s="12"/>
      <c r="Z14" s="12">
        <v>1279</v>
      </c>
      <c r="AA14" s="26">
        <f>IF(K14=Sheet1!$F$5,MAX(I14+30,0),"")</f>
        <v>46123</v>
      </c>
      <c r="AB14" s="27">
        <f ca="1">IF(K14=Sheet1!$F$5,MAX(AA14-TODAY(),0),"")</f>
        <v>0</v>
      </c>
      <c r="AC14" s="23" t="s">
        <v>35</v>
      </c>
      <c r="AD14" s="12" t="s">
        <v>40</v>
      </c>
    </row>
    <row r="15" ht="22.5" customHeight="1" spans="1:30">
      <c r="A15" s="31" t="s">
        <v>71</v>
      </c>
      <c r="B15" s="31" t="s">
        <v>47</v>
      </c>
      <c r="C15" s="31" t="s">
        <v>72</v>
      </c>
      <c r="D15" s="24">
        <v>415000</v>
      </c>
      <c r="E15" s="25">
        <v>0.09</v>
      </c>
      <c r="F15" s="25"/>
      <c r="G15" s="23" t="s">
        <v>57</v>
      </c>
      <c r="H15" s="26">
        <v>46046</v>
      </c>
      <c r="I15" s="26"/>
      <c r="J15" s="27" t="str">
        <f t="shared" si="1"/>
        <v/>
      </c>
      <c r="K15" s="28" t="s">
        <v>63</v>
      </c>
      <c r="L15" s="26"/>
      <c r="M15" s="26"/>
      <c r="N15" s="26"/>
      <c r="O15" s="27" t="str">
        <f>IF($K15=Sheet1!$F$5,IF(L15&lt;&gt;"",NETWORKDAYS(I15,L15),""),"")</f>
        <v/>
      </c>
      <c r="P15" s="27" t="str">
        <f>IF($K15=Sheet1!$F$5,IF(M15&lt;&gt;"",NETWORKDAYS(L15,M15),""),"")</f>
        <v/>
      </c>
      <c r="Q15" s="27" t="str">
        <f>IF($K15=Sheet1!$F$5,IF(N15&lt;&gt;"",NETWORKDAYS(M15,N15),""),"")</f>
        <v/>
      </c>
      <c r="R15" s="24"/>
      <c r="S15" s="24"/>
      <c r="T15" s="29" t="str">
        <f t="shared" si="0"/>
        <v/>
      </c>
      <c r="U15" s="12"/>
      <c r="V15" s="12"/>
      <c r="W15" s="12"/>
      <c r="X15" s="12"/>
      <c r="Y15" s="12"/>
      <c r="Z15" s="12"/>
      <c r="AA15" s="26" t="str">
        <f>IF(K15=Sheet1!$F$5,MAX(I15+30,0),"")</f>
        <v/>
      </c>
      <c r="AB15" s="27" t="str">
        <f ca="1">IF(K15=Sheet1!$F$5,MAX(AA15-TODAY(),0),"")</f>
        <v/>
      </c>
      <c r="AC15" s="23"/>
    </row>
    <row r="16" ht="22.5" customHeight="1" spans="1:30">
      <c r="A16" s="31" t="s">
        <v>71</v>
      </c>
      <c r="B16" s="31" t="s">
        <v>47</v>
      </c>
      <c r="C16" s="31" t="s">
        <v>73</v>
      </c>
      <c r="D16" s="24">
        <v>320000</v>
      </c>
      <c r="E16" s="25">
        <v>0.09</v>
      </c>
      <c r="F16" s="25"/>
      <c r="G16" s="23" t="s">
        <v>57</v>
      </c>
      <c r="H16" s="26"/>
      <c r="I16" s="26"/>
      <c r="J16" s="27" t="str">
        <f t="shared" si="1"/>
        <v/>
      </c>
      <c r="K16" s="28" t="s">
        <v>63</v>
      </c>
      <c r="L16" s="26"/>
      <c r="M16" s="26"/>
      <c r="N16" s="26"/>
      <c r="O16" s="27" t="str">
        <f>IF($K16=Sheet1!$F$5,IF(L16&lt;&gt;"",NETWORKDAYS(I16,L16),""),"")</f>
        <v/>
      </c>
      <c r="P16" s="27" t="str">
        <f>IF($K16=Sheet1!$F$5,IF(M16&lt;&gt;"",NETWORKDAYS(L16,M16),""),"")</f>
        <v/>
      </c>
      <c r="Q16" s="27" t="str">
        <f>IF($K16=Sheet1!$F$5,IF(N16&lt;&gt;"",NETWORKDAYS(M16,N16),""),"")</f>
        <v/>
      </c>
      <c r="R16" s="24"/>
      <c r="S16" s="24"/>
      <c r="T16" s="29" t="str">
        <f t="shared" si="0"/>
        <v/>
      </c>
      <c r="U16" s="12"/>
      <c r="V16" s="12"/>
      <c r="W16" s="12"/>
      <c r="X16" s="12"/>
      <c r="Y16" s="12"/>
      <c r="Z16" s="12"/>
      <c r="AA16" s="26" t="str">
        <f>IF(K16=Sheet1!$F$5,MAX(I16+30,0),"")</f>
        <v/>
      </c>
      <c r="AB16" s="27" t="str">
        <f ca="1">IF(K16=Sheet1!$F$5,MAX(AA16-TODAY(),0),"")</f>
        <v/>
      </c>
      <c r="AC16" s="23"/>
    </row>
    <row r="17" ht="22.5" customHeight="1" spans="1:30">
      <c r="A17" s="31" t="s">
        <v>46</v>
      </c>
      <c r="B17" s="23" t="s">
        <v>47</v>
      </c>
      <c r="C17" s="31" t="s">
        <v>74</v>
      </c>
      <c r="D17" s="24">
        <v>608000</v>
      </c>
      <c r="E17" s="25">
        <v>0.13</v>
      </c>
      <c r="F17" s="25"/>
      <c r="G17" s="23" t="s">
        <v>44</v>
      </c>
      <c r="H17" s="26"/>
      <c r="I17" s="26"/>
      <c r="J17" s="27" t="str">
        <f t="shared" si="1"/>
        <v/>
      </c>
      <c r="K17" s="28" t="s">
        <v>34</v>
      </c>
      <c r="L17" s="26">
        <v>46178</v>
      </c>
      <c r="M17" s="26">
        <v>46181</v>
      </c>
      <c r="N17" s="26"/>
      <c r="O17" s="27">
        <v>0</v>
      </c>
      <c r="P17" s="27">
        <f>IF($K17=Sheet1!$F$5,IF(M17&lt;&gt;"",NETWORKDAYS(L17,M17),""),"")</f>
        <v>2</v>
      </c>
      <c r="Q17" s="27" t="str">
        <f>IF($K17=Sheet1!$F$5,IF(N17&lt;&gt;"",NETWORKDAYS(M17,N17),""),"")</f>
        <v/>
      </c>
      <c r="R17" s="24">
        <v>608000</v>
      </c>
      <c r="S17" s="24">
        <v>608000</v>
      </c>
      <c r="T17" s="29">
        <f t="shared" si="0"/>
        <v>0</v>
      </c>
      <c r="U17" s="12"/>
      <c r="V17" s="12"/>
      <c r="W17" s="12"/>
      <c r="X17" s="12"/>
      <c r="Y17" s="12"/>
      <c r="Z17" s="12"/>
      <c r="AA17" s="26"/>
      <c r="AB17" s="27">
        <f ca="1">IF(K17=Sheet1!$F$5,MAX(AA17-TODAY(),0),"")</f>
        <v>0</v>
      </c>
      <c r="AC17" s="23"/>
    </row>
    <row r="18" ht="22.5" customHeight="1" spans="1:30">
      <c r="A18" s="31" t="s">
        <v>75</v>
      </c>
      <c r="B18" s="23" t="s">
        <v>61</v>
      </c>
      <c r="C18" s="31" t="s">
        <v>76</v>
      </c>
      <c r="D18" s="24">
        <v>300000</v>
      </c>
      <c r="E18" s="25">
        <v>0.09</v>
      </c>
      <c r="F18" s="25" t="s">
        <v>39</v>
      </c>
      <c r="G18" s="23" t="s">
        <v>57</v>
      </c>
      <c r="H18" s="26">
        <v>46084</v>
      </c>
      <c r="I18" s="26">
        <v>46104</v>
      </c>
      <c r="J18" s="27">
        <f t="shared" si="1"/>
        <v>21</v>
      </c>
      <c r="K18" s="28" t="s">
        <v>45</v>
      </c>
      <c r="L18" s="26"/>
      <c r="M18" s="26"/>
      <c r="N18" s="26"/>
      <c r="O18" s="27" t="str">
        <f>IF($K18=Sheet1!$F$5,IF(L18&lt;&gt;"",NETWORKDAYS(I18,L18),""),"")</f>
        <v/>
      </c>
      <c r="P18" s="27" t="str">
        <f>IF($K18=Sheet1!$F$5,IF(M18&lt;&gt;"",NETWORKDAYS(L18,M18),""),"")</f>
        <v/>
      </c>
      <c r="Q18" s="27" t="str">
        <f>IF($K18=Sheet1!$F$5,IF(N18&lt;&gt;"",NETWORKDAYS(M18,N18),""),"")</f>
        <v/>
      </c>
      <c r="R18" s="24"/>
      <c r="S18" s="24"/>
      <c r="T18" s="29" t="str">
        <f t="shared" si="0"/>
        <v/>
      </c>
      <c r="U18" s="12"/>
      <c r="V18" s="12"/>
      <c r="W18" s="12"/>
      <c r="X18" s="12"/>
      <c r="Y18" s="12"/>
      <c r="Z18" s="12"/>
      <c r="AA18" s="26" t="str">
        <f>IF(K18=Sheet1!$F$5,MAX(I18+30,0),"")</f>
        <v/>
      </c>
      <c r="AB18" s="27" t="str">
        <f ca="1">IF(K18=Sheet1!$F$5,MAX(AA18-TODAY(),0),"")</f>
        <v/>
      </c>
      <c r="AC18" s="23"/>
    </row>
    <row r="19" ht="22.5" customHeight="1" spans="1:30">
      <c r="A19" s="31" t="s">
        <v>77</v>
      </c>
      <c r="B19" s="23" t="s">
        <v>55</v>
      </c>
      <c r="C19" s="31" t="s">
        <v>78</v>
      </c>
      <c r="D19" s="24">
        <v>166000</v>
      </c>
      <c r="E19" s="25">
        <v>0.13</v>
      </c>
      <c r="F19" s="32" t="s">
        <v>39</v>
      </c>
      <c r="G19" s="23" t="s">
        <v>44</v>
      </c>
      <c r="H19" s="26">
        <v>46085</v>
      </c>
      <c r="I19" s="26">
        <v>46150</v>
      </c>
      <c r="J19" s="27">
        <f t="shared" si="1"/>
        <v>66</v>
      </c>
      <c r="K19" s="28" t="s">
        <v>34</v>
      </c>
      <c r="L19" s="26"/>
      <c r="M19" s="26"/>
      <c r="N19" s="26"/>
      <c r="O19" s="27" t="str">
        <f>IF($K19=Sheet1!$F$5,IF(L19&lt;&gt;"",NETWORKDAYS(I19,L19),""),"")</f>
        <v/>
      </c>
      <c r="P19" s="27" t="str">
        <f>IF($K19=Sheet1!$F$5,IF(M19&lt;&gt;"",NETWORKDAYS(L19,M19),""),"")</f>
        <v/>
      </c>
      <c r="Q19" s="27" t="str">
        <f>IF($K19=Sheet1!$F$5,IF(N19&lt;&gt;"",NETWORKDAYS(M19,N19),""),"")</f>
        <v/>
      </c>
      <c r="R19" s="24"/>
      <c r="S19" s="24"/>
      <c r="T19" s="29" t="str">
        <f t="shared" si="0"/>
        <v/>
      </c>
      <c r="U19" s="12"/>
      <c r="V19" s="12"/>
      <c r="W19" s="12"/>
      <c r="X19" s="12"/>
      <c r="Y19" s="12"/>
      <c r="Z19" s="12"/>
      <c r="AA19" s="26">
        <f>IF(K19=Sheet1!$F$5,MAX(I19+30,0),"")</f>
        <v>46180</v>
      </c>
      <c r="AB19" s="27">
        <f ca="1">IF(K19=Sheet1!$F$5,MAX(AA19-TODAY(),0),"")</f>
        <v>0</v>
      </c>
      <c r="AC19" s="23"/>
    </row>
    <row r="20" ht="22.5" customHeight="1" spans="1:30">
      <c r="A20" s="31" t="s">
        <v>54</v>
      </c>
      <c r="B20" s="26" t="s">
        <v>55</v>
      </c>
      <c r="C20" s="33" t="s">
        <v>79</v>
      </c>
      <c r="D20" s="24">
        <v>170000</v>
      </c>
      <c r="E20" s="25">
        <v>0.09</v>
      </c>
      <c r="F20" s="25" t="s">
        <v>39</v>
      </c>
      <c r="G20" s="28" t="s">
        <v>33</v>
      </c>
      <c r="H20" s="26"/>
      <c r="I20" s="26"/>
      <c r="J20" s="27" t="str">
        <f t="shared" si="1"/>
        <v/>
      </c>
      <c r="K20" s="12" t="s">
        <v>50</v>
      </c>
      <c r="L20" s="26"/>
      <c r="M20" s="26"/>
      <c r="N20" s="26"/>
      <c r="O20" s="27" t="str">
        <f>IF($K20=Sheet1!$F$5,IF(L20&lt;&gt;"",NETWORKDAYS(I20,L20),""),"")</f>
        <v/>
      </c>
      <c r="P20" s="27" t="str">
        <f>IF($K20=Sheet1!$F$5,IF(M20&lt;&gt;"",NETWORKDAYS(L20,M20),""),"")</f>
        <v/>
      </c>
      <c r="Q20" s="27" t="str">
        <f>IF($K20=Sheet1!$F$5,IF(N20&lt;&gt;"",NETWORKDAYS(M20,N20),""),"")</f>
        <v/>
      </c>
      <c r="R20" s="24"/>
      <c r="S20" s="24"/>
      <c r="T20" s="29" t="str">
        <f t="shared" si="0"/>
        <v/>
      </c>
      <c r="U20" s="12"/>
      <c r="V20" s="12"/>
      <c r="W20" s="12"/>
      <c r="X20" s="12"/>
      <c r="Y20" s="12"/>
      <c r="Z20" s="12"/>
      <c r="AA20" s="26" t="str">
        <f>IF(K20=Sheet1!$F$5,MAX(I20+30,0),"")</f>
        <v/>
      </c>
      <c r="AB20" s="27" t="str">
        <f ca="1">IF(K20=Sheet1!$F$5,MAX(AA20-TODAY(),0),"")</f>
        <v/>
      </c>
      <c r="AC20" s="23"/>
    </row>
    <row r="21" ht="22.5" customHeight="1" spans="1:30">
      <c r="A21" s="31" t="s">
        <v>80</v>
      </c>
      <c r="B21" s="33" t="s">
        <v>52</v>
      </c>
      <c r="C21" s="34" t="s">
        <v>81</v>
      </c>
      <c r="D21" s="24">
        <v>448000</v>
      </c>
      <c r="E21" s="25">
        <v>0.09</v>
      </c>
      <c r="F21" s="30" t="s">
        <v>82</v>
      </c>
      <c r="G21" s="28" t="s">
        <v>57</v>
      </c>
      <c r="H21" s="26"/>
      <c r="I21" s="26"/>
      <c r="J21" s="27" t="str">
        <f t="shared" si="1"/>
        <v/>
      </c>
      <c r="K21" s="12" t="s">
        <v>34</v>
      </c>
      <c r="L21" s="26"/>
      <c r="M21" s="26"/>
      <c r="N21" s="26"/>
      <c r="O21" s="27" t="str">
        <f>IF($K21=Sheet1!$F$5,IF(L21&lt;&gt;"",NETWORKDAYS(I21,L21),""),"")</f>
        <v/>
      </c>
      <c r="P21" s="27" t="str">
        <f>IF($K21=Sheet1!$F$5,IF(M21&lt;&gt;"",NETWORKDAYS(L21,M21),""),"")</f>
        <v/>
      </c>
      <c r="Q21" s="27" t="str">
        <f>IF($K21=Sheet1!$F$5,IF(N21&lt;&gt;"",NETWORKDAYS(M21,N21),""),"")</f>
        <v/>
      </c>
      <c r="R21" s="24"/>
      <c r="S21" s="24"/>
      <c r="T21" s="29" t="str">
        <f t="shared" si="0"/>
        <v/>
      </c>
      <c r="U21" s="12"/>
      <c r="V21" s="12"/>
      <c r="W21" s="12"/>
      <c r="X21" s="12"/>
      <c r="Y21" s="12"/>
      <c r="Z21" s="12"/>
      <c r="AA21" s="26">
        <f>IF(K21=Sheet1!$F$5,MAX(I21+30,0),"")</f>
        <v>30</v>
      </c>
      <c r="AB21" s="27">
        <f ca="1">IF(K21=Sheet1!$F$5,MAX(AA21-TODAY(),0),"")</f>
        <v>0</v>
      </c>
      <c r="AC21" s="23"/>
    </row>
    <row r="22" ht="22.5" customHeight="1" spans="1:30">
      <c r="A22" s="31" t="s">
        <v>83</v>
      </c>
      <c r="B22" s="26" t="s">
        <v>55</v>
      </c>
      <c r="C22" s="33" t="s">
        <v>84</v>
      </c>
      <c r="D22" s="24">
        <v>40000</v>
      </c>
      <c r="E22" s="25">
        <v>0.09</v>
      </c>
      <c r="F22" s="25" t="s">
        <v>39</v>
      </c>
      <c r="G22" s="28" t="s">
        <v>33</v>
      </c>
      <c r="H22" s="26">
        <v>46127</v>
      </c>
      <c r="I22" s="26">
        <v>46137</v>
      </c>
      <c r="J22" s="27">
        <f t="shared" si="1"/>
        <v>11</v>
      </c>
      <c r="K22" s="12" t="s">
        <v>34</v>
      </c>
      <c r="L22" s="26">
        <v>46139</v>
      </c>
      <c r="M22" s="26">
        <v>46139</v>
      </c>
      <c r="N22" s="26"/>
      <c r="O22" s="27">
        <f>IF($K22=Sheet1!$F$5,IF(L22&lt;&gt;"",NETWORKDAYS(I22,L22),""),"")</f>
        <v>1</v>
      </c>
      <c r="P22" s="27">
        <f>IF($K22=Sheet1!$F$5,IF(M22&lt;&gt;"",NETWORKDAYS(L22,M22),""),"")</f>
        <v>1</v>
      </c>
      <c r="Q22" s="27" t="str">
        <f>IF($K22=Sheet1!$F$5,IF(N22&lt;&gt;"",NETWORKDAYS(M22,N22),""),"")</f>
        <v/>
      </c>
      <c r="R22" s="24">
        <v>40000</v>
      </c>
      <c r="S22" s="24">
        <v>40000</v>
      </c>
      <c r="T22" s="29">
        <f t="shared" si="0"/>
        <v>0</v>
      </c>
      <c r="U22" s="12">
        <v>26</v>
      </c>
      <c r="V22" s="12"/>
      <c r="W22" s="12">
        <v>900</v>
      </c>
      <c r="X22" s="12">
        <v>1100</v>
      </c>
      <c r="Y22" s="12">
        <v>965.25</v>
      </c>
      <c r="Z22" s="12"/>
      <c r="AA22" s="26">
        <f>IF(K22=Sheet1!$F$5,MAX(I22+30,0),"")</f>
        <v>46167</v>
      </c>
      <c r="AB22" s="27">
        <f ca="1">IF(K22=Sheet1!$F$5,MAX(AA22-TODAY(),0),"")</f>
        <v>0</v>
      </c>
      <c r="AC22" s="23"/>
    </row>
    <row r="23" ht="22.5" customHeight="1" spans="1:30">
      <c r="A23" s="31" t="s">
        <v>85</v>
      </c>
      <c r="B23" s="23" t="s">
        <v>86</v>
      </c>
      <c r="C23" s="31" t="s">
        <v>87</v>
      </c>
      <c r="D23" s="24">
        <v>344440</v>
      </c>
      <c r="E23" s="25">
        <v>0.09</v>
      </c>
      <c r="F23" s="25" t="s">
        <v>39</v>
      </c>
      <c r="G23" s="28" t="s">
        <v>33</v>
      </c>
      <c r="H23" s="26">
        <v>46155</v>
      </c>
      <c r="I23" s="26"/>
      <c r="J23" s="27" t="str">
        <f t="shared" si="1"/>
        <v/>
      </c>
      <c r="K23" s="28" t="s">
        <v>45</v>
      </c>
      <c r="L23" s="26"/>
      <c r="M23" s="26"/>
      <c r="N23" s="26"/>
      <c r="O23" s="27" t="str">
        <f>IF($K23=Sheet1!$F$5,IF(L23&lt;&gt;"",NETWORKDAYS(I23,L23),""),"")</f>
        <v/>
      </c>
      <c r="P23" s="27" t="str">
        <f>IF($K23=Sheet1!$F$5,IF(M23&lt;&gt;"",NETWORKDAYS(L23,M23),""),"")</f>
        <v/>
      </c>
      <c r="Q23" s="27" t="str">
        <f>IF($K23=Sheet1!$F$5,IF(N23&lt;&gt;"",NETWORKDAYS(M23,N23),""),"")</f>
        <v/>
      </c>
      <c r="R23" s="24"/>
      <c r="S23" s="24"/>
      <c r="T23" s="29" t="str">
        <f t="shared" si="0"/>
        <v/>
      </c>
      <c r="U23" s="12"/>
      <c r="V23" s="12"/>
      <c r="W23" s="12"/>
      <c r="X23" s="12"/>
      <c r="Y23" s="12"/>
      <c r="Z23" s="12"/>
      <c r="AA23" s="26" t="str">
        <f>IF(K23=Sheet1!$F$5,MAX(I23+30,0),"")</f>
        <v/>
      </c>
      <c r="AB23" s="27" t="str">
        <f ca="1">IF(K23=Sheet1!$F$5,MAX(AA23-TODAY(),0),"")</f>
        <v/>
      </c>
      <c r="AC23" s="23"/>
    </row>
    <row r="24" ht="22.5" customHeight="1" spans="1:30">
      <c r="A24" s="31" t="s">
        <v>80</v>
      </c>
      <c r="B24" s="31" t="s">
        <v>52</v>
      </c>
      <c r="C24" s="31" t="s">
        <v>88</v>
      </c>
      <c r="D24" s="24">
        <v>98000</v>
      </c>
      <c r="E24" s="25">
        <v>0.13</v>
      </c>
      <c r="F24" s="30" t="s">
        <v>82</v>
      </c>
      <c r="G24" s="23" t="s">
        <v>89</v>
      </c>
      <c r="H24" s="26">
        <v>46153</v>
      </c>
      <c r="I24" s="26">
        <v>46163</v>
      </c>
      <c r="J24" s="27">
        <f t="shared" si="1"/>
        <v>11</v>
      </c>
      <c r="K24" s="12" t="s">
        <v>34</v>
      </c>
      <c r="L24" s="26">
        <v>46198</v>
      </c>
      <c r="M24" s="26">
        <v>46198</v>
      </c>
      <c r="N24" s="26"/>
      <c r="O24" s="27">
        <f>IF($K24=Sheet1!$F$5,IF(L24&lt;&gt;"",NETWORKDAYS(I24,L24),""),"")</f>
        <v>26</v>
      </c>
      <c r="P24" s="27">
        <f>IF($K24=Sheet1!$F$5,IF(M24&lt;&gt;"",NETWORKDAYS(L24,M24),""),"")</f>
        <v>1</v>
      </c>
      <c r="Q24" s="27" t="str">
        <f>IF($K24=Sheet1!$F$5,IF(N24&lt;&gt;"",NETWORKDAYS(M24,N24),""),"")</f>
        <v/>
      </c>
      <c r="R24" s="24">
        <v>65500</v>
      </c>
      <c r="S24" s="24">
        <v>65500</v>
      </c>
      <c r="T24" s="29">
        <f t="shared" si="0"/>
        <v>-0.331632653061224</v>
      </c>
      <c r="U24" s="12"/>
      <c r="V24" s="12">
        <v>34</v>
      </c>
      <c r="W24" s="12"/>
      <c r="X24" s="12"/>
      <c r="Y24" s="12"/>
      <c r="Z24" s="12"/>
      <c r="AA24" s="26">
        <f>IF(K24=Sheet1!$F$5,MAX(I24+30,0),"")</f>
        <v>46193</v>
      </c>
      <c r="AB24" s="27">
        <f ca="1">IF(K24=Sheet1!$F$5,MAX(AA24-TODAY(),0),"")</f>
        <v>0</v>
      </c>
      <c r="AC24" s="23"/>
    </row>
    <row r="25" ht="22.5" customHeight="1" spans="1:30">
      <c r="A25" s="31" t="s">
        <v>90</v>
      </c>
      <c r="B25" s="31" t="s">
        <v>52</v>
      </c>
      <c r="C25" s="31" t="s">
        <v>91</v>
      </c>
      <c r="D25" s="24">
        <v>56000</v>
      </c>
      <c r="E25" s="25">
        <v>0.06</v>
      </c>
      <c r="F25" s="30" t="s">
        <v>82</v>
      </c>
      <c r="G25" s="28" t="s">
        <v>33</v>
      </c>
      <c r="H25" s="26"/>
      <c r="I25" s="26">
        <v>46203</v>
      </c>
      <c r="J25" s="27">
        <f t="shared" si="1"/>
        <v>46204</v>
      </c>
      <c r="K25" s="12" t="s">
        <v>34</v>
      </c>
      <c r="L25" s="26"/>
      <c r="M25" s="26"/>
      <c r="N25" s="26"/>
      <c r="O25" s="27" t="str">
        <f>IF($K25=Sheet1!$F$5,IF(L25&lt;&gt;"",NETWORKDAYS(I25,L25),""),"")</f>
        <v/>
      </c>
      <c r="P25" s="27" t="str">
        <f>IF($K25=Sheet1!$F$5,IF(M25&lt;&gt;"",NETWORKDAYS(L25,M25),""),"")</f>
        <v/>
      </c>
      <c r="Q25" s="27" t="str">
        <f>IF($K25=Sheet1!$F$5,IF(N25&lt;&gt;"",NETWORKDAYS(M25,N25),""),"")</f>
        <v/>
      </c>
      <c r="R25" s="24"/>
      <c r="S25" s="24"/>
      <c r="T25" s="29" t="str">
        <f t="shared" si="0"/>
        <v/>
      </c>
      <c r="U25" s="12"/>
      <c r="V25" s="12"/>
      <c r="W25" s="12"/>
      <c r="X25" s="12"/>
      <c r="Y25" s="12"/>
      <c r="Z25" s="12"/>
      <c r="AA25" s="26">
        <f>IF(K25=Sheet1!$F$5,MAX(I25+30,0),"")</f>
        <v>46233</v>
      </c>
      <c r="AB25" s="27">
        <f ca="1">IF(K25=Sheet1!$F$5,MAX(AA25-TODAY(),0),"")</f>
        <v>27</v>
      </c>
      <c r="AC25" s="23"/>
    </row>
    <row r="26" ht="22.5" customHeight="1" spans="1:30">
      <c r="A26" s="31" t="s">
        <v>68</v>
      </c>
      <c r="B26" s="31" t="s">
        <v>69</v>
      </c>
      <c r="C26" s="31" t="s">
        <v>92</v>
      </c>
      <c r="D26" s="24">
        <v>43600</v>
      </c>
      <c r="E26" s="25">
        <v>0.09</v>
      </c>
      <c r="F26" s="25" t="s">
        <v>39</v>
      </c>
      <c r="G26" s="28" t="s">
        <v>57</v>
      </c>
      <c r="H26" s="26">
        <v>46154</v>
      </c>
      <c r="I26" s="26">
        <v>46173</v>
      </c>
      <c r="J26" s="27">
        <f t="shared" si="1"/>
        <v>20</v>
      </c>
      <c r="K26" s="12" t="s">
        <v>34</v>
      </c>
      <c r="L26" s="26">
        <v>46183</v>
      </c>
      <c r="M26" s="26">
        <v>46183</v>
      </c>
      <c r="N26" s="26"/>
      <c r="O26" s="27">
        <f>IF($K26=Sheet1!$F$5,IF(L26&lt;&gt;"",NETWORKDAYS(I26,L26),""),"")</f>
        <v>8</v>
      </c>
      <c r="P26" s="27">
        <f>IF($K26=Sheet1!$F$5,IF(M26&lt;&gt;"",NETWORKDAYS(L26,M26),""),"")</f>
        <v>1</v>
      </c>
      <c r="Q26" s="27" t="str">
        <f>IF($K26=Sheet1!$F$5,IF(N26&lt;&gt;"",NETWORKDAYS(M26,N26),""),"")</f>
        <v/>
      </c>
      <c r="R26" s="24">
        <v>43600</v>
      </c>
      <c r="S26" s="24">
        <v>43600</v>
      </c>
      <c r="T26" s="29">
        <f t="shared" si="0"/>
        <v>0</v>
      </c>
      <c r="U26" s="35">
        <v>20</v>
      </c>
      <c r="V26" s="35"/>
      <c r="W26" s="35">
        <v>700</v>
      </c>
      <c r="X26" s="35">
        <v>820</v>
      </c>
      <c r="Y26" s="12"/>
      <c r="Z26" s="12"/>
      <c r="AA26" s="26">
        <f>IF(K26=Sheet1!$F$5,MAX(I26+30,0),"")</f>
        <v>46203</v>
      </c>
      <c r="AB26" s="27">
        <f ca="1">IF(K26=Sheet1!$F$5,MAX(AA26-TODAY(),0),"")</f>
        <v>0</v>
      </c>
      <c r="AC26" s="23"/>
    </row>
    <row r="27" ht="22.5" customHeight="1" spans="1:30">
      <c r="A27" s="31" t="s">
        <v>93</v>
      </c>
      <c r="B27" s="23" t="s">
        <v>65</v>
      </c>
      <c r="C27" s="31" t="s">
        <v>94</v>
      </c>
      <c r="D27" s="24">
        <v>99000</v>
      </c>
      <c r="E27" s="25">
        <v>0.09</v>
      </c>
      <c r="F27" s="25" t="s">
        <v>39</v>
      </c>
      <c r="G27" s="23" t="s">
        <v>33</v>
      </c>
      <c r="H27" s="33">
        <v>46142</v>
      </c>
      <c r="I27" s="26">
        <v>46154</v>
      </c>
      <c r="J27" s="27">
        <f t="shared" si="1"/>
        <v>13</v>
      </c>
      <c r="K27" s="12" t="s">
        <v>34</v>
      </c>
      <c r="L27" s="26">
        <v>46155</v>
      </c>
      <c r="M27" s="26">
        <v>46155</v>
      </c>
      <c r="N27" s="26">
        <v>46161</v>
      </c>
      <c r="O27" s="27">
        <f>IF($K27=Sheet1!$F$5,IF(L27&lt;&gt;"",NETWORKDAYS(I27,L27),""),"")</f>
        <v>2</v>
      </c>
      <c r="P27" s="27">
        <f>IF($K27=Sheet1!$F$5,IF(M27&lt;&gt;"",NETWORKDAYS(L27,M27),""),"")</f>
        <v>1</v>
      </c>
      <c r="Q27" s="27">
        <f>IF($K27=Sheet1!$F$5,IF(N27&lt;&gt;"",NETWORKDAYS(M27,N27),""),"")</f>
        <v>5</v>
      </c>
      <c r="R27" s="24">
        <v>99000</v>
      </c>
      <c r="S27" s="24">
        <v>99000</v>
      </c>
      <c r="T27" s="29">
        <f t="shared" si="0"/>
        <v>0</v>
      </c>
      <c r="U27" s="36">
        <v>47</v>
      </c>
      <c r="V27" s="36"/>
      <c r="W27" s="36"/>
      <c r="X27" s="36"/>
      <c r="Y27" s="12"/>
      <c r="Z27" s="12"/>
      <c r="AA27" s="26">
        <f>IF(K27=Sheet1!$F$5,MAX(I27+30,0),"")</f>
        <v>46184</v>
      </c>
      <c r="AB27" s="27">
        <f ca="1">IF(K27=Sheet1!$F$5,MAX(AA27-TODAY(),0),"")</f>
        <v>0</v>
      </c>
      <c r="AC27" s="23" t="s">
        <v>35</v>
      </c>
      <c r="AD27" s="12" t="s">
        <v>40</v>
      </c>
    </row>
    <row r="28" ht="22.5" customHeight="1" spans="1:30">
      <c r="A28" s="31" t="s">
        <v>95</v>
      </c>
      <c r="B28" s="23" t="s">
        <v>52</v>
      </c>
      <c r="C28" s="31" t="s">
        <v>96</v>
      </c>
      <c r="D28" s="24">
        <v>20000</v>
      </c>
      <c r="E28" s="25">
        <v>0.13</v>
      </c>
      <c r="F28" s="30" t="s">
        <v>82</v>
      </c>
      <c r="G28" s="23" t="s">
        <v>33</v>
      </c>
      <c r="H28" s="26">
        <v>46143</v>
      </c>
      <c r="I28" s="26">
        <v>46145</v>
      </c>
      <c r="J28" s="27">
        <f t="shared" si="1"/>
        <v>3</v>
      </c>
      <c r="K28" s="12" t="s">
        <v>34</v>
      </c>
      <c r="L28" s="26"/>
      <c r="M28" s="26"/>
      <c r="N28" s="26"/>
      <c r="O28" s="27" t="str">
        <f>IF($K28=Sheet1!$F$5,IF(L28&lt;&gt;"",NETWORKDAYS(I28,L28),""),"")</f>
        <v/>
      </c>
      <c r="P28" s="27" t="str">
        <f>IF($K28=Sheet1!$F$5,IF(M28&lt;&gt;"",NETWORKDAYS(L28,M28),""),"")</f>
        <v/>
      </c>
      <c r="Q28" s="27" t="str">
        <f>IF($K28=Sheet1!$F$5,IF(N28&lt;&gt;"",NETWORKDAYS(M28,N28),""),"")</f>
        <v/>
      </c>
      <c r="R28" s="24"/>
      <c r="S28" s="24"/>
      <c r="T28" s="29" t="str">
        <f t="shared" si="0"/>
        <v/>
      </c>
      <c r="U28" s="35">
        <v>13</v>
      </c>
      <c r="V28" s="35"/>
      <c r="W28" s="35">
        <v>455</v>
      </c>
      <c r="X28" s="35">
        <v>455</v>
      </c>
      <c r="Y28" s="12"/>
      <c r="Z28" s="12"/>
      <c r="AA28" s="26">
        <f>IF(K28=Sheet1!$F$5,MAX(I28+30,0),"")</f>
        <v>46175</v>
      </c>
      <c r="AB28" s="27">
        <f ca="1">IF(K28=Sheet1!$F$5,MAX(AA28-TODAY(),0),"")</f>
        <v>0</v>
      </c>
      <c r="AC28" s="23"/>
    </row>
    <row r="29" ht="22.5" customHeight="1" spans="1:30">
      <c r="A29" s="31" t="s">
        <v>97</v>
      </c>
      <c r="B29" s="23" t="s">
        <v>52</v>
      </c>
      <c r="C29" s="31" t="s">
        <v>98</v>
      </c>
      <c r="D29" s="24">
        <v>500000</v>
      </c>
      <c r="E29" s="25">
        <v>0.09</v>
      </c>
      <c r="F29" s="30" t="s">
        <v>82</v>
      </c>
      <c r="G29" s="23" t="s">
        <v>57</v>
      </c>
      <c r="H29" s="33">
        <v>46167</v>
      </c>
      <c r="I29" s="26"/>
      <c r="J29" s="27" t="str">
        <f t="shared" si="1"/>
        <v/>
      </c>
      <c r="K29" s="28" t="s">
        <v>45</v>
      </c>
      <c r="L29" s="26"/>
      <c r="M29" s="26"/>
      <c r="N29" s="26"/>
      <c r="O29" s="27" t="str">
        <f>IF($K29=Sheet1!$F$5,IF(L29&lt;&gt;"",NETWORKDAYS(I29,L29),""),"")</f>
        <v/>
      </c>
      <c r="P29" s="27" t="str">
        <f>IF($K29=Sheet1!$F$5,IF(M29&lt;&gt;"",NETWORKDAYS(L29,M29),""),"")</f>
        <v/>
      </c>
      <c r="Q29" s="27" t="str">
        <f>IF($K29=Sheet1!$F$5,IF(N29&lt;&gt;"",NETWORKDAYS(M29,N29),""),"")</f>
        <v/>
      </c>
      <c r="R29" s="24"/>
      <c r="S29" s="24"/>
      <c r="T29" s="29" t="str">
        <f t="shared" si="0"/>
        <v/>
      </c>
      <c r="U29" s="12"/>
      <c r="V29" s="12"/>
      <c r="W29" s="12"/>
      <c r="X29" s="12"/>
      <c r="Y29" s="12"/>
      <c r="Z29" s="12"/>
      <c r="AA29" s="26" t="str">
        <f>IF(K29=Sheet1!$F$5,MAX(I29+30,0),"")</f>
        <v/>
      </c>
      <c r="AB29" s="27" t="str">
        <f ca="1">IF(K29=Sheet1!$F$5,MAX(AA29-TODAY(),0),"")</f>
        <v/>
      </c>
      <c r="AC29" s="23"/>
    </row>
    <row r="30" ht="22.5" customHeight="1" spans="1:30">
      <c r="A30" s="31" t="s">
        <v>99</v>
      </c>
      <c r="B30" s="23" t="s">
        <v>100</v>
      </c>
      <c r="C30" s="31" t="s">
        <v>101</v>
      </c>
      <c r="D30" s="24">
        <v>128000</v>
      </c>
      <c r="E30" s="25">
        <v>0.09</v>
      </c>
      <c r="F30" s="25" t="s">
        <v>39</v>
      </c>
      <c r="G30" s="23" t="s">
        <v>33</v>
      </c>
      <c r="H30" s="33">
        <v>46166</v>
      </c>
      <c r="I30" s="26">
        <v>46181</v>
      </c>
      <c r="J30" s="27">
        <f t="shared" si="1"/>
        <v>16</v>
      </c>
      <c r="K30" s="12" t="s">
        <v>34</v>
      </c>
      <c r="L30" s="26"/>
      <c r="M30" s="26"/>
      <c r="N30" s="26"/>
      <c r="O30" s="27" t="str">
        <f>IF($K30=Sheet1!$F$5,IF(L30&lt;&gt;"",NETWORKDAYS(I30,L30),""),"")</f>
        <v/>
      </c>
      <c r="P30" s="27" t="str">
        <f>IF($K30=Sheet1!$F$5,IF(M30&lt;&gt;"",NETWORKDAYS(L30,M30),""),"")</f>
        <v/>
      </c>
      <c r="Q30" s="27" t="str">
        <f>IF($K30=Sheet1!$F$5,IF(N30&lt;&gt;"",NETWORKDAYS(M30,N30),""),"")</f>
        <v/>
      </c>
      <c r="R30" s="24"/>
      <c r="S30" s="24"/>
      <c r="T30" s="29" t="str">
        <f t="shared" si="0"/>
        <v/>
      </c>
      <c r="U30" s="35">
        <f>16+21</f>
        <v>37</v>
      </c>
      <c r="V30" s="35"/>
      <c r="W30" s="35">
        <f>560+810</f>
        <v>1370</v>
      </c>
      <c r="X30" s="36">
        <f>560+910</f>
        <v>1470</v>
      </c>
      <c r="Y30" s="12">
        <v>774.25</v>
      </c>
      <c r="Z30" s="12"/>
      <c r="AA30" s="26">
        <f>IF(K30=Sheet1!$F$5,MAX(I30+30,0),"")</f>
        <v>46211</v>
      </c>
      <c r="AB30" s="27">
        <f ca="1">IF(K30=Sheet1!$F$5,MAX(AA30-TODAY(),0),"")</f>
        <v>5</v>
      </c>
      <c r="AC30" s="23"/>
    </row>
    <row r="31" ht="22.5" customHeight="1" spans="1:30">
      <c r="A31" s="31" t="s">
        <v>60</v>
      </c>
      <c r="B31" s="23" t="s">
        <v>61</v>
      </c>
      <c r="C31" s="31" t="s">
        <v>102</v>
      </c>
      <c r="D31" s="24">
        <v>44000</v>
      </c>
      <c r="E31" s="25">
        <v>0.09</v>
      </c>
      <c r="F31" s="25" t="s">
        <v>39</v>
      </c>
      <c r="G31" s="23" t="s">
        <v>33</v>
      </c>
      <c r="H31" s="33">
        <v>46176</v>
      </c>
      <c r="I31" s="33">
        <v>46186</v>
      </c>
      <c r="J31" s="27">
        <f t="shared" si="1"/>
        <v>11</v>
      </c>
      <c r="K31" s="12" t="s">
        <v>34</v>
      </c>
      <c r="L31" s="26"/>
      <c r="M31" s="26"/>
      <c r="N31" s="26"/>
      <c r="O31" s="27" t="str">
        <f>IF($K31=Sheet1!$F$5,IF(L31&lt;&gt;"",NETWORKDAYS(I31,L31),""),"")</f>
        <v/>
      </c>
      <c r="P31" s="27" t="str">
        <f>IF($K31=Sheet1!$F$5,IF(M31&lt;&gt;"",NETWORKDAYS(L31,M31),""),"")</f>
        <v/>
      </c>
      <c r="Q31" s="27" t="str">
        <f>IF($K31=Sheet1!$F$5,IF(N31&lt;&gt;"",NETWORKDAYS(M31,N31),""),"")</f>
        <v/>
      </c>
      <c r="R31" s="24"/>
      <c r="S31" s="24"/>
      <c r="T31" s="29" t="str">
        <f t="shared" si="0"/>
        <v/>
      </c>
      <c r="U31" s="36"/>
      <c r="V31" s="36"/>
      <c r="W31" s="36"/>
      <c r="X31" s="36"/>
      <c r="Y31" s="12"/>
      <c r="Z31" s="12"/>
      <c r="AA31" s="26">
        <f>IF(K31=Sheet1!$F$5,MAX(I31+30,0),"")</f>
        <v>46216</v>
      </c>
      <c r="AB31" s="27">
        <f ca="1">IF(K31=Sheet1!$F$5,MAX(AA31-TODAY(),0),"")</f>
        <v>10</v>
      </c>
      <c r="AC31" s="23"/>
    </row>
    <row r="32" ht="22.5" customHeight="1" spans="1:30">
      <c r="A32" s="31" t="s">
        <v>64</v>
      </c>
      <c r="B32" s="23" t="s">
        <v>65</v>
      </c>
      <c r="C32" s="31" t="s">
        <v>103</v>
      </c>
      <c r="D32" s="24">
        <v>40000</v>
      </c>
      <c r="E32" s="25">
        <v>0.13</v>
      </c>
      <c r="F32" s="25" t="s">
        <v>39</v>
      </c>
      <c r="G32" s="23" t="s">
        <v>33</v>
      </c>
      <c r="H32" s="33">
        <v>46178</v>
      </c>
      <c r="I32" s="26"/>
      <c r="J32" s="27" t="str">
        <f t="shared" si="1"/>
        <v/>
      </c>
      <c r="K32" s="12" t="s">
        <v>63</v>
      </c>
      <c r="L32" s="26"/>
      <c r="M32" s="26"/>
      <c r="N32" s="26"/>
      <c r="O32" s="27" t="str">
        <f>IF($K32=Sheet1!$F$5,IF(L32&lt;&gt;"",NETWORKDAYS(I32,L32),""),"")</f>
        <v/>
      </c>
      <c r="P32" s="27" t="str">
        <f>IF($K32=Sheet1!$F$5,IF(M32&lt;&gt;"",NETWORKDAYS(L32,M32),""),"")</f>
        <v/>
      </c>
      <c r="Q32" s="27" t="str">
        <f>IF($K32=Sheet1!$F$5,IF(N32&lt;&gt;"",NETWORKDAYS(M32,N32),""),"")</f>
        <v/>
      </c>
      <c r="R32" s="24"/>
      <c r="S32" s="24"/>
      <c r="T32" s="29" t="str">
        <f t="shared" si="0"/>
        <v/>
      </c>
      <c r="U32" s="12"/>
      <c r="V32" s="12"/>
      <c r="W32" s="12"/>
      <c r="X32" s="12"/>
      <c r="Y32" s="12">
        <v>1439.45</v>
      </c>
      <c r="Z32" s="12"/>
      <c r="AA32" s="26" t="str">
        <f>IF(K32=Sheet1!$F$5,MAX(I32+30,0),"")</f>
        <v/>
      </c>
      <c r="AB32" s="27" t="str">
        <f ca="1">IF(K32=Sheet1!$F$5,MAX(AA32-TODAY(),0),"")</f>
        <v/>
      </c>
      <c r="AC32" s="23"/>
    </row>
    <row r="33" ht="22.5" customHeight="1" spans="1:29">
      <c r="A33" s="31" t="s">
        <v>104</v>
      </c>
      <c r="B33" s="31" t="s">
        <v>55</v>
      </c>
      <c r="C33" s="31" t="s">
        <v>105</v>
      </c>
      <c r="D33" s="24">
        <v>284000</v>
      </c>
      <c r="E33" s="25">
        <v>0.09</v>
      </c>
      <c r="F33" s="25" t="s">
        <v>39</v>
      </c>
      <c r="G33" s="23" t="s">
        <v>33</v>
      </c>
      <c r="H33" s="26">
        <v>46142</v>
      </c>
      <c r="I33" s="26">
        <v>46160</v>
      </c>
      <c r="J33" s="27">
        <f t="shared" si="1"/>
        <v>19</v>
      </c>
      <c r="K33" s="12" t="s">
        <v>34</v>
      </c>
      <c r="L33" s="26"/>
      <c r="M33" s="26"/>
      <c r="N33" s="26"/>
      <c r="O33" s="27" t="str">
        <f>IF($K33=Sheet1!$F$5,IF(L33&lt;&gt;"",NETWORKDAYS(I33,L33),""),"")</f>
        <v/>
      </c>
      <c r="P33" s="27" t="str">
        <f>IF($K33=Sheet1!$F$5,IF(M33&lt;&gt;"",NETWORKDAYS(L33,M33),""),"")</f>
        <v/>
      </c>
      <c r="Q33" s="27" t="str">
        <f>IF($K33=Sheet1!$F$5,IF(N33&lt;&gt;"",NETWORKDAYS(M33,N33),""),"")</f>
        <v/>
      </c>
      <c r="R33" s="24"/>
      <c r="S33" s="24"/>
      <c r="T33" s="29" t="str">
        <f t="shared" si="0"/>
        <v/>
      </c>
      <c r="U33" s="12">
        <v>44</v>
      </c>
      <c r="V33" s="12"/>
      <c r="W33" s="12"/>
      <c r="X33" s="12"/>
      <c r="Y33" s="12">
        <v>718.15</v>
      </c>
      <c r="Z33" s="12"/>
      <c r="AA33" s="26">
        <f>IF(K33=Sheet1!$F$5,MAX(I33+30,0),"")</f>
        <v>46190</v>
      </c>
      <c r="AB33" s="27">
        <f ca="1">IF(K33=Sheet1!$F$5,MAX(AA33-TODAY(),0),"")</f>
        <v>0</v>
      </c>
      <c r="AC33" s="23"/>
    </row>
    <row r="34" ht="22.5" customHeight="1" spans="1:29">
      <c r="B34" s="5"/>
      <c r="C34" s="5"/>
      <c r="D34" s="37"/>
      <c r="E34" s="38"/>
      <c r="F34" s="38"/>
      <c r="G34" s="5"/>
      <c r="H34" s="39"/>
      <c r="I34" s="39"/>
      <c r="J34" s="40"/>
      <c r="K34" s="41"/>
      <c r="L34" s="39"/>
      <c r="M34" s="39"/>
      <c r="N34" s="39"/>
      <c r="O34" s="40"/>
      <c r="P34" s="40"/>
      <c r="Q34" s="41"/>
      <c r="R34" s="37"/>
      <c r="S34" s="37"/>
      <c r="T34" s="42"/>
      <c r="U34" s="43"/>
      <c r="V34" s="43"/>
      <c r="W34" s="43"/>
      <c r="X34" s="43"/>
      <c r="Y34" s="43"/>
      <c r="Z34" s="43"/>
      <c r="AA34" s="39"/>
      <c r="AB34" s="40"/>
      <c r="AC34" s="5"/>
    </row>
    <row r="35" ht="22.5" customHeight="1" spans="1:29">
      <c r="B35" s="5"/>
      <c r="C35" s="5"/>
      <c r="D35" s="37"/>
      <c r="E35" s="38"/>
      <c r="F35" s="38"/>
      <c r="G35" s="5"/>
      <c r="H35" s="39"/>
      <c r="I35" s="39"/>
      <c r="J35" s="40"/>
      <c r="K35" s="41"/>
      <c r="L35" s="39"/>
      <c r="M35" s="39"/>
      <c r="N35" s="39"/>
      <c r="O35" s="40"/>
      <c r="P35" s="40"/>
      <c r="Q35" s="41"/>
      <c r="R35" s="37"/>
      <c r="S35" s="37"/>
      <c r="T35" s="42"/>
      <c r="U35" s="43"/>
      <c r="V35" s="43"/>
      <c r="W35" s="43"/>
      <c r="X35" s="43"/>
      <c r="Y35" s="43"/>
      <c r="Z35" s="43"/>
      <c r="AA35" s="39"/>
      <c r="AB35" s="40"/>
      <c r="AC35" s="5"/>
    </row>
    <row r="36" ht="22.5" customHeight="1" spans="1:29">
      <c r="B36" s="5"/>
      <c r="C36" s="5"/>
      <c r="D36" s="37"/>
      <c r="E36" s="38"/>
      <c r="F36" s="38"/>
      <c r="G36" s="5"/>
      <c r="H36" s="39"/>
      <c r="I36" s="39"/>
      <c r="J36" s="40"/>
      <c r="K36" s="41"/>
      <c r="L36" s="39"/>
      <c r="M36" s="39"/>
      <c r="N36" s="39"/>
      <c r="O36" s="40"/>
      <c r="P36" s="40"/>
      <c r="Q36" s="41"/>
      <c r="R36" s="37"/>
      <c r="S36" s="37"/>
      <c r="T36" s="42"/>
      <c r="U36" s="43"/>
      <c r="V36" s="43"/>
      <c r="W36" s="43"/>
      <c r="X36" s="43"/>
      <c r="Y36" s="43"/>
      <c r="Z36" s="43"/>
      <c r="AA36" s="39"/>
      <c r="AB36" s="40"/>
      <c r="AC36" s="5"/>
    </row>
    <row r="37" ht="22.5" customHeight="1" spans="1:29">
      <c r="B37" s="5"/>
      <c r="C37" s="5"/>
      <c r="D37" s="37"/>
      <c r="E37" s="38"/>
      <c r="F37" s="38"/>
      <c r="G37" s="5"/>
      <c r="H37" s="39"/>
      <c r="I37" s="39"/>
      <c r="J37" s="40"/>
      <c r="K37" s="41"/>
      <c r="L37" s="39"/>
      <c r="M37" s="39"/>
      <c r="N37" s="39"/>
      <c r="O37" s="40"/>
      <c r="P37" s="40"/>
      <c r="Q37" s="41"/>
      <c r="R37" s="37"/>
      <c r="S37" s="37"/>
      <c r="T37" s="42"/>
      <c r="U37" s="43"/>
      <c r="V37" s="43"/>
      <c r="W37" s="43"/>
      <c r="X37" s="43"/>
      <c r="Y37" s="43"/>
      <c r="Z37" s="43"/>
      <c r="AA37" s="39"/>
      <c r="AB37" s="40"/>
      <c r="AC37" s="5"/>
    </row>
    <row r="38" ht="22.5" customHeight="1" spans="1:29">
      <c r="B38" s="5"/>
      <c r="C38" s="5"/>
      <c r="D38" s="37"/>
      <c r="E38" s="38"/>
      <c r="F38" s="38"/>
      <c r="G38" s="5"/>
      <c r="H38" s="39"/>
      <c r="I38" s="39"/>
      <c r="J38" s="40"/>
      <c r="K38" s="41"/>
      <c r="L38" s="39"/>
      <c r="M38" s="39"/>
      <c r="N38" s="39"/>
      <c r="O38" s="40"/>
      <c r="P38" s="40"/>
      <c r="Q38" s="41"/>
      <c r="R38" s="37"/>
      <c r="S38" s="37"/>
      <c r="T38" s="42"/>
      <c r="U38" s="43"/>
      <c r="V38" s="43"/>
      <c r="W38" s="43"/>
      <c r="X38" s="43"/>
      <c r="Y38" s="43"/>
      <c r="Z38" s="43"/>
      <c r="AA38" s="39"/>
      <c r="AB38" s="40"/>
      <c r="AC38" s="5"/>
    </row>
    <row r="39" ht="22.5" customHeight="1" spans="1:29">
      <c r="B39" s="5"/>
      <c r="C39" s="5"/>
      <c r="D39" s="37"/>
      <c r="E39" s="38"/>
      <c r="F39" s="38"/>
      <c r="G39" s="5"/>
      <c r="H39" s="39"/>
      <c r="I39" s="39"/>
      <c r="J39" s="40"/>
      <c r="K39" s="41"/>
      <c r="L39" s="39"/>
      <c r="M39" s="39"/>
      <c r="N39" s="39"/>
      <c r="O39" s="40"/>
      <c r="P39" s="40"/>
      <c r="Q39" s="41"/>
      <c r="R39" s="37"/>
      <c r="S39" s="37"/>
      <c r="T39" s="42"/>
      <c r="U39" s="43"/>
      <c r="V39" s="43"/>
      <c r="W39" s="43"/>
      <c r="X39" s="43"/>
      <c r="Y39" s="43"/>
      <c r="Z39" s="43"/>
      <c r="AA39" s="39"/>
      <c r="AB39" s="40"/>
      <c r="AC39" s="5"/>
    </row>
    <row r="40" ht="22.5" customHeight="1" spans="1:29">
      <c r="B40" s="5"/>
      <c r="C40" s="5"/>
      <c r="D40" s="37"/>
      <c r="E40" s="38"/>
      <c r="F40" s="38"/>
      <c r="G40" s="5"/>
      <c r="H40" s="39"/>
      <c r="I40" s="39"/>
      <c r="J40" s="40"/>
      <c r="K40" s="41"/>
      <c r="L40" s="39"/>
      <c r="M40" s="39"/>
      <c r="N40" s="39"/>
      <c r="O40" s="40"/>
      <c r="P40" s="40"/>
      <c r="Q40" s="41"/>
      <c r="R40" s="37"/>
      <c r="S40" s="37"/>
      <c r="T40" s="42"/>
      <c r="U40" s="43"/>
      <c r="V40" s="43"/>
      <c r="W40" s="43"/>
      <c r="X40" s="43"/>
      <c r="Y40" s="43"/>
      <c r="Z40" s="43"/>
      <c r="AA40" s="39"/>
      <c r="AB40" s="40"/>
      <c r="AC40" s="5"/>
    </row>
    <row r="41" ht="22.5" customHeight="1" spans="1:29">
      <c r="B41" s="5"/>
      <c r="C41" s="5"/>
      <c r="D41" s="37"/>
      <c r="E41" s="38"/>
      <c r="F41" s="38"/>
      <c r="G41" s="5"/>
      <c r="H41" s="39"/>
      <c r="I41" s="39"/>
      <c r="J41" s="40"/>
      <c r="K41" s="41"/>
      <c r="L41" s="39"/>
      <c r="M41" s="39"/>
      <c r="N41" s="39"/>
      <c r="O41" s="40"/>
      <c r="P41" s="40"/>
      <c r="Q41" s="41"/>
      <c r="R41" s="37"/>
      <c r="S41" s="37"/>
      <c r="T41" s="42"/>
      <c r="U41" s="43"/>
      <c r="V41" s="43"/>
      <c r="W41" s="43"/>
      <c r="X41" s="43"/>
      <c r="Y41" s="43"/>
      <c r="Z41" s="43"/>
      <c r="AA41" s="39"/>
      <c r="AB41" s="40"/>
      <c r="AC41" s="5"/>
    </row>
    <row r="42" ht="22.5" customHeight="1" spans="1:29">
      <c r="B42" s="5"/>
      <c r="C42" s="5"/>
      <c r="D42" s="37"/>
      <c r="E42" s="38"/>
      <c r="F42" s="38"/>
      <c r="G42" s="5"/>
      <c r="H42" s="39"/>
      <c r="I42" s="39"/>
      <c r="J42" s="40"/>
      <c r="K42" s="41"/>
      <c r="L42" s="39"/>
      <c r="M42" s="39"/>
      <c r="N42" s="39"/>
      <c r="O42" s="40"/>
      <c r="P42" s="40"/>
      <c r="Q42" s="41"/>
      <c r="R42" s="37"/>
      <c r="S42" s="37"/>
      <c r="T42" s="42"/>
      <c r="U42" s="43"/>
      <c r="V42" s="43"/>
      <c r="W42" s="43"/>
      <c r="X42" s="43"/>
      <c r="Y42" s="43"/>
      <c r="Z42" s="43"/>
      <c r="AA42" s="39"/>
      <c r="AB42" s="40"/>
      <c r="AC42" s="5"/>
    </row>
    <row r="43" ht="22.5" customHeight="1" spans="1:29">
      <c r="B43" s="5"/>
      <c r="C43" s="5"/>
      <c r="D43" s="37"/>
      <c r="E43" s="38"/>
      <c r="F43" s="38"/>
      <c r="G43" s="5"/>
      <c r="H43" s="39"/>
      <c r="I43" s="39"/>
      <c r="J43" s="40"/>
      <c r="K43" s="41"/>
      <c r="L43" s="39"/>
      <c r="M43" s="39"/>
      <c r="N43" s="39"/>
      <c r="O43" s="40"/>
      <c r="P43" s="40"/>
      <c r="Q43" s="41"/>
      <c r="R43" s="37"/>
      <c r="S43" s="37"/>
      <c r="T43" s="42"/>
      <c r="U43" s="43"/>
      <c r="V43" s="43"/>
      <c r="W43" s="43"/>
      <c r="X43" s="43"/>
      <c r="Y43" s="43"/>
      <c r="Z43" s="43"/>
      <c r="AA43" s="39"/>
      <c r="AB43" s="40"/>
      <c r="AC43" s="5"/>
    </row>
    <row r="44" ht="22.5" customHeight="1" spans="1:29">
      <c r="B44" s="5"/>
      <c r="C44" s="5"/>
      <c r="D44" s="37"/>
      <c r="E44" s="38"/>
      <c r="F44" s="38"/>
      <c r="G44" s="5"/>
      <c r="H44" s="39"/>
      <c r="I44" s="39"/>
      <c r="J44" s="40"/>
      <c r="K44" s="41"/>
      <c r="L44" s="39"/>
      <c r="M44" s="39"/>
      <c r="N44" s="39"/>
      <c r="O44" s="40"/>
      <c r="P44" s="40"/>
      <c r="Q44" s="41"/>
      <c r="R44" s="37"/>
      <c r="S44" s="37"/>
      <c r="T44" s="42"/>
      <c r="U44" s="43"/>
      <c r="V44" s="43"/>
      <c r="W44" s="43"/>
      <c r="X44" s="43"/>
      <c r="Y44" s="43"/>
      <c r="Z44" s="43"/>
      <c r="AA44" s="39"/>
      <c r="AB44" s="40"/>
      <c r="AC44" s="5"/>
    </row>
    <row r="45" ht="22.5" customHeight="1" spans="1:29">
      <c r="A45" s="23"/>
      <c r="B45" s="23"/>
      <c r="C45" s="23"/>
      <c r="D45" s="24"/>
      <c r="E45" s="25"/>
      <c r="F45" s="25"/>
      <c r="G45" s="23"/>
      <c r="H45" s="26"/>
      <c r="I45" s="26"/>
      <c r="J45" s="27"/>
      <c r="K45" s="28"/>
      <c r="L45" s="26"/>
      <c r="M45" s="26"/>
      <c r="N45" s="26"/>
      <c r="O45" s="27"/>
      <c r="P45" s="27"/>
      <c r="Q45" s="28"/>
      <c r="R45" s="24"/>
      <c r="S45" s="24"/>
      <c r="T45" s="44" t="s">
        <v>106</v>
      </c>
      <c r="U45" s="12"/>
      <c r="V45" s="12"/>
      <c r="W45" s="12"/>
      <c r="X45" s="12"/>
      <c r="Y45" s="12"/>
      <c r="Z45" s="12"/>
      <c r="AA45" s="26"/>
      <c r="AB45" s="27"/>
      <c r="AC45" s="23"/>
    </row>
  </sheetData>
  <sheetProtection formatCells="0" formatColumns="0" formatRows="0" insertRows="0" insertColumns="0" insertHyperlinks="0" deleteColumns="0" deleteRows="0" sort="0" autoFilter="0" pivotTables="0"/>
  <dataValidations count="5">
    <dataValidation type="list" allowBlank="1" showInputMessage="1" showErrorMessage="1" sqref="K25 K2:K24 K26:K33">
      <formula1>Sheet1!$F$2:$F$8</formula1>
    </dataValidation>
    <dataValidation type="list" allowBlank="1" showInputMessage="1" showErrorMessage="1" sqref="B2:B33">
      <formula1>Sheet1!$D$2:$D$31</formula1>
    </dataValidation>
    <dataValidation type="list" allowBlank="1" showInputMessage="1" showErrorMessage="1" sqref="G2:G33">
      <formula1>Sheet1!$A$2:$A$5</formula1>
    </dataValidation>
    <dataValidation type="list" allowBlank="1" showErrorMessage="1" errorTitle="错误提示" error="请输入下拉列表中的值" sqref="AC2:AC33">
      <formula1>Sheet1!$H$2:$H$3</formula1>
    </dataValidation>
    <dataValidation type="list" allowBlank="1" showErrorMessage="1" errorTitle="错误提示" error="请输入下拉列表中的值" id="{f8f160ef-f62c-437c-adce-93b946e811c1}" sqref="AD2:AD33">
      <formula1>"是,否"</formula1>
    </dataValidation>
  </dataValidations>
  <pageMargins left="0.75" right="0.75" top="1" bottom="1" header="0.511805555555556" footer="0.511805555555556"/>
  <headerFooter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zoomScale="131" zoomScaleNormal="131" workbookViewId="0">
      <selection activeCell="H1" sqref="H1:H2"/>
    </sheetView>
  </sheetViews>
  <sheetFormatPr defaultColWidth="9.23333333333333" defaultRowHeight="13.5" outlineLevelCol="7"/>
  <cols>
    <col min="1" max="1" width="15.15" style="1" customWidth="1"/>
    <col min="2" max="2" width="31.3083333333333" style="1" customWidth="1"/>
    <col min="3" max="5" width="9.23333333333333" style="1"/>
    <col min="6" max="6" width="12.7666666666667" style="1" customWidth="1"/>
    <col min="7" max="16384" width="9.23333333333333" style="1"/>
  </cols>
  <sheetData>
    <row r="1" spans="1:8">
      <c r="A1" s="1" t="s">
        <v>6</v>
      </c>
      <c r="B1" s="1" t="s">
        <v>107</v>
      </c>
      <c r="D1" s="1" t="s">
        <v>1</v>
      </c>
      <c r="F1" s="1" t="s">
        <v>10</v>
      </c>
      <c r="H1" s="1" t="s">
        <v>108</v>
      </c>
    </row>
    <row r="2" ht="14.25" spans="1:8">
      <c r="A2" s="1" t="s">
        <v>44</v>
      </c>
      <c r="B2" s="1" t="s">
        <v>109</v>
      </c>
      <c r="D2" s="2" t="s">
        <v>110</v>
      </c>
      <c r="F2" s="1" t="s">
        <v>50</v>
      </c>
      <c r="H2" s="3" t="s">
        <v>111</v>
      </c>
    </row>
    <row r="3" ht="14.25" spans="1:8">
      <c r="A3" s="1" t="s">
        <v>89</v>
      </c>
      <c r="B3" s="1" t="s">
        <v>112</v>
      </c>
      <c r="D3" s="2" t="s">
        <v>113</v>
      </c>
      <c r="F3" s="1" t="s">
        <v>45</v>
      </c>
      <c r="H3" s="4" t="s">
        <v>35</v>
      </c>
    </row>
    <row r="4" ht="14.25" spans="1:8">
      <c r="A4" s="1" t="s">
        <v>33</v>
      </c>
      <c r="B4" s="1" t="s">
        <v>114</v>
      </c>
      <c r="D4" s="2" t="s">
        <v>115</v>
      </c>
      <c r="F4" s="1" t="s">
        <v>63</v>
      </c>
    </row>
    <row r="5" ht="14.25" spans="1:8">
      <c r="A5" s="3" t="s">
        <v>57</v>
      </c>
      <c r="B5" s="1" t="s">
        <v>116</v>
      </c>
      <c r="D5" s="2" t="s">
        <v>117</v>
      </c>
      <c r="F5" s="1" t="s">
        <v>34</v>
      </c>
    </row>
    <row r="6" ht="14.25" spans="1:8">
      <c r="D6" s="2" t="s">
        <v>118</v>
      </c>
      <c r="F6" s="1" t="s">
        <v>119</v>
      </c>
    </row>
    <row r="7" ht="14.25" spans="1:8">
      <c r="D7" s="2" t="s">
        <v>100</v>
      </c>
      <c r="F7" s="1" t="s">
        <v>120</v>
      </c>
    </row>
    <row r="8" ht="14.25" spans="1:8">
      <c r="D8" s="2" t="s">
        <v>121</v>
      </c>
      <c r="F8" s="1" t="s">
        <v>122</v>
      </c>
    </row>
    <row r="9" ht="14.25" spans="1:8">
      <c r="D9" s="2" t="s">
        <v>55</v>
      </c>
    </row>
    <row r="10" ht="14.25" spans="1:8">
      <c r="D10" s="2" t="s">
        <v>65</v>
      </c>
    </row>
    <row r="11" ht="14.25" spans="1:8">
      <c r="D11" s="2" t="s">
        <v>61</v>
      </c>
    </row>
    <row r="12" ht="14.25" spans="1:8">
      <c r="D12" s="2" t="s">
        <v>31</v>
      </c>
    </row>
    <row r="13" ht="14.25" spans="1:8">
      <c r="D13" s="2" t="s">
        <v>123</v>
      </c>
    </row>
    <row r="14" ht="14.25" spans="1:8">
      <c r="D14" s="2" t="s">
        <v>52</v>
      </c>
    </row>
    <row r="15" ht="14.25" spans="1:8">
      <c r="D15" s="2" t="s">
        <v>124</v>
      </c>
    </row>
    <row r="16" ht="14.25" spans="1:8">
      <c r="D16" s="2" t="s">
        <v>125</v>
      </c>
    </row>
    <row r="17" ht="14.25" spans="4:4">
      <c r="D17" s="2" t="s">
        <v>126</v>
      </c>
    </row>
    <row r="18" ht="14.25" spans="4:4">
      <c r="D18" s="2" t="s">
        <v>37</v>
      </c>
    </row>
    <row r="19" ht="14.25" spans="4:4">
      <c r="D19" s="2" t="s">
        <v>69</v>
      </c>
    </row>
    <row r="20" ht="14.25" spans="4:4">
      <c r="D20" s="2" t="s">
        <v>127</v>
      </c>
    </row>
    <row r="21" ht="14.25" spans="4:4">
      <c r="D21" s="2" t="s">
        <v>128</v>
      </c>
    </row>
    <row r="22" ht="14.25" spans="4:4">
      <c r="D22" s="2" t="s">
        <v>129</v>
      </c>
    </row>
    <row r="23" ht="14.25" spans="4:4">
      <c r="D23" s="2" t="s">
        <v>47</v>
      </c>
    </row>
    <row r="24" ht="14.25" spans="4:4">
      <c r="D24" s="2" t="s">
        <v>130</v>
      </c>
    </row>
    <row r="25" ht="14.25" spans="4:4">
      <c r="D25" s="2" t="s">
        <v>86</v>
      </c>
    </row>
    <row r="26" ht="14.25" spans="4:4">
      <c r="D26" s="2" t="s">
        <v>131</v>
      </c>
    </row>
    <row r="27" ht="14.25" spans="4:4">
      <c r="D27" s="2" t="s">
        <v>132</v>
      </c>
    </row>
    <row r="28" ht="14.25" spans="4:4">
      <c r="D28" s="2" t="s">
        <v>42</v>
      </c>
    </row>
    <row r="29" ht="14.25" spans="4:4">
      <c r="D29" s="2" t="s">
        <v>133</v>
      </c>
    </row>
    <row r="30" ht="14.25" spans="4:4">
      <c r="D30" s="2" t="s">
        <v>134</v>
      </c>
    </row>
    <row r="31" ht="14.25" spans="4:4">
      <c r="D31" s="2" t="s">
        <v>135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4">
    <tablePart r:id="rId1"/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dvExts xmlns="http://www.wps.cn/et/2023/dataValidationExt" xmlns:s="http://schemas.openxmlformats.org/spreadsheetml/2006/main">
  <dvExt uuid="{f8f160ef-f62c-437c-adce-93b946e811c1}">
    <list multiSupport="0" colorSupport="0"/>
  </dvExt>
</dvExts>
</file>

<file path=customXml/item2.xml>��,{N!k�e�]�qQ5)Y _g1g*Y<y4.3�e~{��6eUS _g _g�NgTN!k��6eUS�eg:N�Q _��lf��xJR44)Y _g,{N!k�e�]�qQ7)Y _g�N��6e�bJT�egkX�b _g _g _g�NgTN!k��6eUS�eg:N�Q _��l�R`��z �]g10)Y _��l��0O�e���_�O9e _g+TYO8lf4*N�]�e�*gkX�QYO8lfu;m9�OO�[9��R�1g*Y<y12�]�e _g _g�[E�.^fq\�b�[�bh _��lf��xJR3�N20)Y _��l�R`��z �]g10)Y _g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576a6740-a502-43ae-9f28-c9e454320052}">
  <ds:schemaRefs>
    <ds:schemaRef ds:uri="http://www.wps.cn/et/2023/dataValidationExt"/>
  </ds:schemaRefs>
</ds:datastoreItem>
</file>

<file path=customXml/itemProps2.xml><?xml version="1.0" encoding="utf-8"?>
<ds:datastoreItem xmlns:ds="http://schemas.openxmlformats.org/officeDocument/2006/customXml" ds:itemID="{06A0048C-2381-489B-AA07-9611017176EA}">
  <ds:schemaRefs/>
</ds:datastoreItem>
</file>

<file path=customXml/itemProps3.xml><?xml version="1.0" encoding="utf-8"?>
<ds:datastoreItem xmlns:ds="http://schemas.openxmlformats.org/officeDocument/2006/customXml" ds:itemID="{06C82605-B75B-4693-9329-32AAD527C692}">
  <ds:schemaRefs/>
</ds:datastoreItem>
</file>

<file path=customXml/itemProps4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WWO_wpscloud_20260603020957-b230a22616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信息表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Anne</cp:lastModifiedBy>
  <dcterms:created xsi:type="dcterms:W3CDTF">2018-07-05T00:28:00Z</dcterms:created>
  <dcterms:modified xsi:type="dcterms:W3CDTF">2026-07-03T09:00:27Z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CalculationRule">
    <vt:i4>0</vt:i4>
  </property>
  <property fmtid="{D5CDD505-2E9C-101B-9397-08002B2CF9AE}" pid="4" name="ICV">
    <vt:lpwstr>C3CE16B8C2D5BA3220405169E62E1EDA_42</vt:lpwstr>
  </property>
</Properties>
</file>