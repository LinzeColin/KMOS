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zezhang/Downloads/销售绩效考核/余永昕/"/>
    </mc:Choice>
  </mc:AlternateContent>
  <xr:revisionPtr revIDLastSave="0" documentId="13_ncr:1_{E25FFEA4-5523-B247-BBC7-46616167B6F4}" xr6:coauthVersionLast="47" xr6:coauthVersionMax="47" xr10:uidLastSave="{00000000-0000-0000-0000-000000000000}"/>
  <bookViews>
    <workbookView xWindow="26900" yWindow="-21100" windowWidth="20780" windowHeight="21100" xr2:uid="{71C2849C-9824-9440-A21F-34DC830C382F}"/>
  </bookViews>
  <sheets>
    <sheet name="总览" sheetId="1" r:id="rId1"/>
    <sheet name="明细表" sheetId="4" r:id="rId2"/>
    <sheet name="项目成本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B23" i="1"/>
  <c r="B16" i="1"/>
  <c r="C15" i="1" s="1"/>
  <c r="B9" i="1"/>
  <c r="C8" i="1" s="1"/>
  <c r="B25" i="1" l="1"/>
  <c r="E15" i="1"/>
  <c r="H15" i="1"/>
  <c r="F15" i="1"/>
  <c r="H8" i="1"/>
  <c r="E8" i="1"/>
  <c r="D8" i="1"/>
  <c r="F8" i="1"/>
  <c r="I8" i="1"/>
  <c r="C12" i="1"/>
  <c r="C13" i="1"/>
  <c r="C14" i="1"/>
  <c r="I15" i="1"/>
  <c r="D15" i="1"/>
  <c r="C5" i="1"/>
  <c r="H5" i="1"/>
  <c r="G5" i="1"/>
  <c r="D5" i="1"/>
  <c r="C6" i="1"/>
  <c r="F6" i="1" s="1"/>
  <c r="C7" i="1"/>
  <c r="C3" i="1"/>
  <c r="C4" i="1"/>
  <c r="I4" i="1" s="1"/>
  <c r="E5" i="1" l="1"/>
  <c r="H12" i="1"/>
  <c r="G12" i="1"/>
  <c r="G13" i="1"/>
  <c r="E12" i="1"/>
  <c r="D14" i="1"/>
  <c r="D13" i="1"/>
  <c r="D12" i="1"/>
  <c r="C9" i="1"/>
  <c r="I12" i="1"/>
  <c r="F12" i="1"/>
  <c r="I13" i="1"/>
  <c r="F13" i="1"/>
  <c r="E14" i="1"/>
  <c r="H14" i="1"/>
  <c r="F14" i="1"/>
  <c r="I5" i="1"/>
  <c r="F5" i="1"/>
  <c r="H7" i="1"/>
  <c r="F7" i="1"/>
  <c r="E13" i="1"/>
  <c r="C16" i="1"/>
  <c r="H13" i="1"/>
  <c r="I14" i="1"/>
  <c r="G14" i="1"/>
  <c r="E4" i="1"/>
  <c r="I7" i="1"/>
  <c r="I6" i="1"/>
  <c r="H6" i="1"/>
  <c r="G6" i="1"/>
  <c r="H4" i="1"/>
  <c r="E3" i="1"/>
  <c r="D3" i="1"/>
  <c r="G3" i="1"/>
  <c r="D7" i="1"/>
  <c r="E7" i="1"/>
  <c r="G7" i="1"/>
  <c r="D6" i="1"/>
  <c r="E6" i="1"/>
  <c r="G4" i="1"/>
  <c r="D4" i="1"/>
  <c r="F4" i="1"/>
  <c r="H3" i="1"/>
  <c r="F3" i="1"/>
  <c r="I3" i="1"/>
  <c r="I9" i="1" l="1"/>
  <c r="H9" i="1"/>
  <c r="F9" i="1"/>
  <c r="E9" i="1"/>
  <c r="E16" i="1"/>
  <c r="I16" i="1"/>
  <c r="G15" i="1"/>
  <c r="G16" i="1" s="1"/>
  <c r="D16" i="1"/>
  <c r="H16" i="1"/>
  <c r="D9" i="1"/>
  <c r="F16" i="1"/>
  <c r="G8" i="1"/>
  <c r="G9" i="1" s="1"/>
</calcChain>
</file>

<file path=xl/sharedStrings.xml><?xml version="1.0" encoding="utf-8"?>
<sst xmlns="http://schemas.openxmlformats.org/spreadsheetml/2006/main" count="88" uniqueCount="49">
  <si>
    <t>甲方名称</t>
  </si>
  <si>
    <t>省份</t>
  </si>
  <si>
    <t>合同号</t>
  </si>
  <si>
    <t>含税合同金额</t>
  </si>
  <si>
    <t>税率</t>
  </si>
  <si>
    <t>项目类型</t>
  </si>
  <si>
    <t>开工时间</t>
  </si>
  <si>
    <t>完工时间</t>
  </si>
  <si>
    <t>实际工期</t>
  </si>
  <si>
    <t>施工状态</t>
  </si>
  <si>
    <t>结算时间</t>
  </si>
  <si>
    <t>开票时间</t>
  </si>
  <si>
    <t>回款时间</t>
  </si>
  <si>
    <t>完工后结算时间</t>
  </si>
  <si>
    <t>结算后开票时间</t>
  </si>
  <si>
    <t>开票后回款90%时间</t>
  </si>
  <si>
    <t>结算金额</t>
  </si>
  <si>
    <t>开票金额</t>
  </si>
  <si>
    <t>结算审计偏差率</t>
  </si>
  <si>
    <t>崇阳县昌华实业有限公司</t>
  </si>
  <si>
    <t>湖北</t>
  </si>
  <si>
    <t>KMX20251222-084</t>
  </si>
  <si>
    <t>自有人员</t>
  </si>
  <si>
    <t>已完工</t>
  </si>
  <si>
    <t>池州恒鑫材料科技有限公司</t>
  </si>
  <si>
    <t>安徽</t>
  </si>
  <si>
    <t>KMX20251222-085</t>
  </si>
  <si>
    <t>自有劳务混合</t>
  </si>
  <si>
    <t>权重占比</t>
  </si>
  <si>
    <t>总和</t>
  </si>
  <si>
    <t>完工后结算时间占比</t>
  </si>
  <si>
    <t>结算后开票时间占比</t>
  </si>
  <si>
    <t>开票后回款90%时间占比</t>
  </si>
  <si>
    <t>结算审计偏差率占比</t>
  </si>
  <si>
    <t>公司名称</t>
  </si>
  <si>
    <t>毛利率</t>
  </si>
  <si>
    <t>客情费率</t>
  </si>
  <si>
    <t>广安昌兴水泥有限公司</t>
  </si>
  <si>
    <t>四川</t>
  </si>
  <si>
    <t>KMX20251119-079</t>
  </si>
  <si>
    <t>福建鼎信实业有限公司</t>
  </si>
  <si>
    <t>福建</t>
  </si>
  <si>
    <t>KMX2026112-002</t>
  </si>
  <si>
    <t>贵州凯里瑞安建材有限公司</t>
  </si>
  <si>
    <t>贵州</t>
  </si>
  <si>
    <t>KMX2026120-004</t>
  </si>
  <si>
    <t>KMX2026116-003</t>
  </si>
  <si>
    <t>毛利润</t>
  </si>
  <si>
    <t>四月毛利率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</si>
</sst>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0_);[Red]\(0\)"/>
    <numFmt numFmtId="166" formatCode="_-[$$-1004]* #,##0.00_-;\-[$$-1004]* #,##0.00_-;_-[$$-1004]* &quot;-&quot;??_-;_-@_-"/>
    <numFmt numFmtId="167" formatCode="0.0000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FFFF"/>
      <name val="微软雅黑"/>
      <family val="2"/>
      <charset val="134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9" fontId="2" fillId="2" borderId="2" xfId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3" borderId="4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2" fontId="0" fillId="4" borderId="5" xfId="0" applyNumberForma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0" fontId="0" fillId="3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42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alignment horizontal="center" vertical="center" textRotation="0" wrapText="0" indent="0" justifyLastLine="0" shrinkToFit="0" readingOrder="0"/>
    </dxf>
    <dxf>
      <numFmt numFmtId="166" formatCode="_-[$$-1004]* #,##0.00_-;\-[$$-1004]* #,##0.00_-;_-[$$-1004]* &quot;-&quot;??_-;_-@_-"/>
      <alignment horizontal="center" vertical="center" textRotation="0" wrapText="0" indent="0" justifyLastLine="0" shrinkToFit="0" readingOrder="0"/>
    </dxf>
    <dxf>
      <numFmt numFmtId="166" formatCode="_-[$$-1004]* #,##0.00_-;\-[$$-1004]* #,##0.00_-;_-[$$-1004]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/mm/dd;@"/>
      <alignment horizontal="center" vertical="center" textRotation="0" wrapText="0" indent="0" justifyLastLine="0" shrinkToFit="0" readingOrder="0"/>
    </dxf>
    <dxf>
      <numFmt numFmtId="164" formatCode="yyyy/mm/dd;@"/>
      <alignment horizontal="center" vertical="center" textRotation="0" wrapText="0" indent="0" justifyLastLine="0" shrinkToFit="0" readingOrder="0"/>
    </dxf>
    <dxf>
      <numFmt numFmtId="164" formatCode="yyyy/mm/dd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/mm/dd;@"/>
      <alignment horizontal="center" vertical="center" textRotation="0" wrapText="0" indent="0" justifyLastLine="0" shrinkToFit="0" readingOrder="0"/>
    </dxf>
    <dxf>
      <numFmt numFmtId="164" formatCode="yyyy/mm/dd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6" formatCode="_-[$$-1004]* #,##0.00_-;\-[$$-1004]* #,##0.00_-;_-[$$-1004]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rgb="FF9BC2E6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9BC2E6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2" formatCode="0.00"/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numFmt numFmtId="167" formatCode="0.00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6DC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8</xdr:col>
      <xdr:colOff>529176</xdr:colOff>
      <xdr:row>49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AD2662-7FC0-4B79-F399-B43A8AE4B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0"/>
          <a:ext cx="7107776" cy="100584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</xdr:pic>
    <xdr:clientData/>
  </xdr:twoCellAnchor>
  <xdr:twoCellAnchor editAs="oneCell">
    <xdr:from>
      <xdr:col>9</xdr:col>
      <xdr:colOff>25400</xdr:colOff>
      <xdr:row>0</xdr:row>
      <xdr:rowOff>0</xdr:rowOff>
    </xdr:from>
    <xdr:to>
      <xdr:col>17</xdr:col>
      <xdr:colOff>529176</xdr:colOff>
      <xdr:row>49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AC91B8-28B9-0272-453C-14EC05874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54900" y="0"/>
          <a:ext cx="7107776" cy="100584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</xdr:pic>
    <xdr:clientData/>
  </xdr:twoCellAnchor>
  <xdr:twoCellAnchor editAs="oneCell">
    <xdr:from>
      <xdr:col>18</xdr:col>
      <xdr:colOff>25400</xdr:colOff>
      <xdr:row>0</xdr:row>
      <xdr:rowOff>0</xdr:rowOff>
    </xdr:from>
    <xdr:to>
      <xdr:col>26</xdr:col>
      <xdr:colOff>529176</xdr:colOff>
      <xdr:row>49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0876DE-BC9C-6946-D8E0-F12DD892B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84400" y="0"/>
          <a:ext cx="7107776" cy="10058400"/>
        </a:xfrm>
        <a:prstGeom prst="rect">
          <a:avLst/>
        </a:prstGeom>
        <a:solidFill>
          <a:srgbClr val="96DCF8"/>
        </a:solidFill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51</xdr:row>
      <xdr:rowOff>152400</xdr:rowOff>
    </xdr:from>
    <xdr:to>
      <xdr:col>8</xdr:col>
      <xdr:colOff>503776</xdr:colOff>
      <xdr:row>101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D97641-A690-B560-E72E-92A81FE86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515600"/>
          <a:ext cx="7107776" cy="10058400"/>
        </a:xfrm>
        <a:prstGeom prst="rect">
          <a:avLst/>
        </a:prstGeom>
        <a:solidFill>
          <a:srgbClr val="96DCF8"/>
        </a:solidFill>
      </xdr:spPr>
    </xdr:pic>
    <xdr:clientData/>
  </xdr:twoCellAnchor>
  <xdr:twoCellAnchor editAs="oneCell">
    <xdr:from>
      <xdr:col>9</xdr:col>
      <xdr:colOff>0</xdr:colOff>
      <xdr:row>51</xdr:row>
      <xdr:rowOff>152400</xdr:rowOff>
    </xdr:from>
    <xdr:to>
      <xdr:col>17</xdr:col>
      <xdr:colOff>503776</xdr:colOff>
      <xdr:row>101</xdr:row>
      <xdr:rowOff>50800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3A861EA-E000-2497-4B35-EBC55EE8A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29500" y="10515600"/>
          <a:ext cx="7107776" cy="100584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</xdr:pic>
    <xdr:clientData/>
  </xdr:twoCellAnchor>
  <xdr:twoCellAnchor editAs="oneCell">
    <xdr:from>
      <xdr:col>17</xdr:col>
      <xdr:colOff>812800</xdr:colOff>
      <xdr:row>51</xdr:row>
      <xdr:rowOff>165100</xdr:rowOff>
    </xdr:from>
    <xdr:to>
      <xdr:col>26</xdr:col>
      <xdr:colOff>491076</xdr:colOff>
      <xdr:row>101</xdr:row>
      <xdr:rowOff>63500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57A5CF3-E5EF-5E4D-5035-88F757F4C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846300" y="10528300"/>
          <a:ext cx="7107776" cy="100584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CD2FD8-E96E-C142-9CD2-EA45CE4D4B48}" name="Table2" displayName="Table2" ref="A2:I9" totalsRowShown="0">
  <autoFilter ref="A2:I9" xr:uid="{D5CD2FD8-E96E-C142-9CD2-EA45CE4D4B48}"/>
  <tableColumns count="9">
    <tableColumn id="1" xr3:uid="{6E2E7F65-0C22-E749-866B-1D889F33DF05}" name="公司名称"/>
    <tableColumn id="2" xr3:uid="{7ADBF130-2EDB-5549-B014-9AF0467A58EE}" name="开票金额" dataDxfId="41"/>
    <tableColumn id="3" xr3:uid="{0E24DD0B-EF46-F54D-AF66-D00DA31B78CF}" name="权重占比"/>
    <tableColumn id="4" xr3:uid="{23344E81-4A58-FC4D-9E0D-3A1F064CB035}" name="完工后结算时间占比"/>
    <tableColumn id="5" xr3:uid="{2D6E9526-6E87-AA42-BDF3-568FFD100706}" name="结算后开票时间占比" dataDxfId="40"/>
    <tableColumn id="6" xr3:uid="{CAF7864A-86EE-3843-9EFC-FAF564921C56}" name="开票后回款90%时间占比"/>
    <tableColumn id="7" xr3:uid="{E374FD0C-0F6D-2F47-A960-579EE870EFC8}" name="结算审计偏差率占比" dataDxfId="39">
      <calculatedColumnFormula>SUM(G1:G2)</calculatedColumnFormula>
    </tableColumn>
    <tableColumn id="8" xr3:uid="{5C0F1DA5-4BD3-F14D-AB75-45B01309C755}" name="毛利率" dataDxfId="38" dataCellStyle="Per cent">
      <calculatedColumnFormula>13.6%*Table2[[#This Row],[权重占比]]</calculatedColumnFormula>
    </tableColumn>
    <tableColumn id="9" xr3:uid="{D1E17B04-7E61-624D-B230-65E4B3F3693B}" name="客情费率" dataDxfId="37" dataCellStyle="Per cent">
      <calculatedColumnFormula>500/38000*Table2[[#This Row],[权重占比]]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63A718-6A38-F24F-B945-67440C50C3D0}" name="Table3" displayName="Table3" ref="A11:I16" totalsRowShown="0" headerRowDxfId="36" dataDxfId="35" dataCellStyle="Per cent">
  <autoFilter ref="A11:I16" xr:uid="{9563A718-6A38-F24F-B945-67440C50C3D0}"/>
  <tableColumns count="9">
    <tableColumn id="1" xr3:uid="{5DD1D8F1-7548-E842-A36D-ED7EA32ADA6E}" name="公司名称" dataDxfId="34"/>
    <tableColumn id="2" xr3:uid="{7DF9B8C9-CE1B-4640-A9A9-56607496A3FD}" name="开票金额" dataDxfId="33"/>
    <tableColumn id="3" xr3:uid="{E3EE8601-B43F-F243-87D2-7D66C9F88A26}" name="权重占比" dataDxfId="32" dataCellStyle="Per cent"/>
    <tableColumn id="4" xr3:uid="{01703ED0-6FAE-1044-AF36-0E8C8456C77A}" name="完工后结算时间占比" dataDxfId="31"/>
    <tableColumn id="5" xr3:uid="{6B736F44-44A7-334E-8790-FEB37878DDE8}" name="结算后开票时间占比"/>
    <tableColumn id="6" xr3:uid="{2CE9C153-3F04-7147-A5D3-47D45A80AEC5}" name="开票后回款90%时间占比" dataDxfId="30"/>
    <tableColumn id="7" xr3:uid="{4C3CFD93-1D18-2A44-A1AB-64B7DB99FCC5}" name="结算审计偏差率占比" dataDxfId="29" dataCellStyle="Per cent"/>
    <tableColumn id="8" xr3:uid="{065569FF-BD0A-F445-8152-E50000C9926F}" name="毛利率" dataDxfId="28" dataCellStyle="Per cent"/>
    <tableColumn id="9" xr3:uid="{8B119A8F-C77C-1647-95F9-47321B862A21}" name="客情费率" dataDxfId="27" dataCellStyle="Per 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55F095-B43A-CE47-A76C-D6E85D47381A}" name="Table4" displayName="Table4" ref="A18:C23" totalsRowShown="0" tableBorderDxfId="3">
  <autoFilter ref="A18:C23" xr:uid="{3255F095-B43A-CE47-A76C-D6E85D47381A}"/>
  <tableColumns count="3">
    <tableColumn id="1" xr3:uid="{EAAE18B0-5ED8-C24A-BD5B-D6D820C56C92}" name="公司名称" dataDxfId="2"/>
    <tableColumn id="2" xr3:uid="{5BD441B1-3D1E-5041-AA33-0233FD2ACA74}" name="开票金额" dataDxfId="1"/>
    <tableColumn id="3" xr3:uid="{1664C605-B142-DE4E-B031-2F7F6ABEE3A3}" name="毛利润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8AC03-60A9-374E-9874-F7C8963BEEE8}" name="Table1" displayName="Table1" ref="A1:S7" totalsRowShown="0" headerRowDxfId="26" dataDxfId="24" headerRowBorderDxfId="25" tableBorderDxfId="23">
  <autoFilter ref="A1:S7" xr:uid="{7828AC03-60A9-374E-9874-F7C8963BEEE8}"/>
  <tableColumns count="19">
    <tableColumn id="1" xr3:uid="{2A170005-A60E-2545-94B1-E83B2C73C8DD}" name="甲方名称" dataDxfId="22"/>
    <tableColumn id="2" xr3:uid="{84835C4B-CFA8-574F-B407-76C9D4768118}" name="省份" dataDxfId="21"/>
    <tableColumn id="3" xr3:uid="{29FC8A75-9767-B945-9E21-EC440A15910B}" name="合同号" dataDxfId="20"/>
    <tableColumn id="4" xr3:uid="{5DBF72F3-095B-8A40-881B-1DCB09AEB1C5}" name="含税合同金额" dataDxfId="19"/>
    <tableColumn id="5" xr3:uid="{FE6B49A6-8D5F-434E-BB81-A3CCB49B73EE}" name="税率" dataDxfId="18" dataCellStyle="Per cent"/>
    <tableColumn id="6" xr3:uid="{3C00CB2E-9C96-D044-BD70-F2CEF0EEF13F}" name="项目类型" dataDxfId="17"/>
    <tableColumn id="7" xr3:uid="{8025DAF7-DA91-F544-8027-A604A8E7DF53}" name="开工时间" dataDxfId="16"/>
    <tableColumn id="8" xr3:uid="{636A26BB-1D50-7E4C-8F5C-CFA664A7E10A}" name="完工时间" dataDxfId="15"/>
    <tableColumn id="9" xr3:uid="{EC0AEE49-81E5-B847-9307-BE25F8924EE8}" name="实际工期" dataDxfId="14"/>
    <tableColumn id="10" xr3:uid="{328F7ACC-11D5-3843-A1D8-FA66C9224875}" name="施工状态" dataDxfId="13"/>
    <tableColumn id="11" xr3:uid="{EEF879B8-520B-0D4C-BCB3-6F037A4BBE0F}" name="结算时间" dataDxfId="12"/>
    <tableColumn id="12" xr3:uid="{6F87F269-4D03-9449-8E8C-D24BA87C4FA6}" name="开票时间" dataDxfId="11"/>
    <tableColumn id="13" xr3:uid="{E3D2C930-9ABB-274B-B073-0D00478BCDFA}" name="回款时间" dataDxfId="10"/>
    <tableColumn id="14" xr3:uid="{28A81C83-DBBE-EB4F-9714-B34AFA9C0EA0}" name="完工后结算时间" dataDxfId="9"/>
    <tableColumn id="15" xr3:uid="{5543E3D0-BDDA-5B43-AB54-F9DDDC9CE5E3}" name="结算后开票时间" dataDxfId="8"/>
    <tableColumn id="16" xr3:uid="{74593D41-FE25-564C-B849-A0B2BB9A26B4}" name="开票后回款90%时间" dataDxfId="7"/>
    <tableColumn id="17" xr3:uid="{B598E188-08E9-C34F-A2AD-8D0A025A48B0}" name="结算金额" dataDxfId="6"/>
    <tableColumn id="18" xr3:uid="{62A9BA98-3778-A949-B073-D82800A8BF8F}" name="开票金额" dataDxfId="5"/>
    <tableColumn id="19" xr3:uid="{BABFB980-D913-BA49-B90E-9FEDDB436380}" name="结算审计偏差率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7037-22C9-1342-853F-1A2C8E4A7F94}">
  <dimension ref="A1:R25"/>
  <sheetViews>
    <sheetView tabSelected="1" topLeftCell="A11" zoomScale="153" workbookViewId="0">
      <selection sqref="A1:XFD10"/>
    </sheetView>
  </sheetViews>
  <sheetFormatPr baseColWidth="10" defaultRowHeight="16"/>
  <cols>
    <col min="1" max="1" width="25.5" style="1" bestFit="1" customWidth="1"/>
    <col min="2" max="2" width="10.33203125" style="1" customWidth="1"/>
    <col min="3" max="3" width="16.5" style="1" bestFit="1" customWidth="1"/>
    <col min="4" max="4" width="20.33203125" style="4" customWidth="1"/>
    <col min="5" max="5" width="20.33203125" style="3" customWidth="1"/>
    <col min="6" max="6" width="23.83203125" style="1" customWidth="1"/>
    <col min="7" max="7" width="20.33203125" style="15" customWidth="1"/>
    <col min="8" max="8" width="10.5" style="2" bestFit="1" customWidth="1"/>
    <col min="9" max="9" width="10.33203125" style="1" customWidth="1"/>
    <col min="10" max="10" width="9.83203125" style="1" customWidth="1"/>
    <col min="11" max="13" width="10.5" style="2" bestFit="1" customWidth="1"/>
    <col min="14" max="15" width="15.5" style="1" customWidth="1"/>
    <col min="16" max="16" width="19.5" style="1" customWidth="1"/>
    <col min="17" max="18" width="11.5" style="4" bestFit="1" customWidth="1"/>
    <col min="19" max="19" width="15.5" style="1" customWidth="1"/>
    <col min="20" max="16384" width="10.83203125" style="1"/>
  </cols>
  <sheetData>
    <row r="1" spans="1:9" hidden="1"/>
    <row r="2" spans="1:9" hidden="1">
      <c r="A2" s="1" t="s">
        <v>34</v>
      </c>
      <c r="B2" s="1" t="s">
        <v>17</v>
      </c>
      <c r="C2" s="1" t="s">
        <v>28</v>
      </c>
      <c r="D2" s="1" t="s">
        <v>30</v>
      </c>
      <c r="E2" s="1" t="s">
        <v>31</v>
      </c>
      <c r="F2" s="1" t="s">
        <v>32</v>
      </c>
      <c r="G2" s="15" t="s">
        <v>33</v>
      </c>
      <c r="H2" s="1" t="s">
        <v>35</v>
      </c>
      <c r="I2" s="1" t="s">
        <v>36</v>
      </c>
    </row>
    <row r="3" spans="1:9" hidden="1">
      <c r="A3" s="13" t="s">
        <v>19</v>
      </c>
      <c r="B3" s="1">
        <v>38000</v>
      </c>
      <c r="C3" s="5">
        <f t="shared" ref="C3:C8" si="0">B3/$B$9</f>
        <v>6.314096386342942E-2</v>
      </c>
      <c r="D3" s="18">
        <f>1*$C3</f>
        <v>6.314096386342942E-2</v>
      </c>
      <c r="E3" s="18">
        <f>8*$C3</f>
        <v>0.50512771090743536</v>
      </c>
      <c r="F3" s="18">
        <f>30*Table2[[#This Row],[权重占比]]</f>
        <v>1.8942289159028827</v>
      </c>
      <c r="G3" s="17">
        <f>0*Table2[[#This Row],[权重占比]]</f>
        <v>0</v>
      </c>
      <c r="H3" s="5">
        <f>68.42%*Table2[[#This Row],[权重占比]]</f>
        <v>4.3201047475358412E-2</v>
      </c>
      <c r="I3" s="5">
        <f>500/38000*Table2[[#This Row],[权重占比]]</f>
        <v>8.3080215609775544E-4</v>
      </c>
    </row>
    <row r="4" spans="1:9" hidden="1">
      <c r="A4" s="14" t="s">
        <v>24</v>
      </c>
      <c r="B4" s="1">
        <v>45000</v>
      </c>
      <c r="C4" s="5">
        <f t="shared" si="0"/>
        <v>7.4772194048797994E-2</v>
      </c>
      <c r="D4" s="19">
        <f t="shared" ref="D4:D8" si="1">1*$C4</f>
        <v>7.4772194048797994E-2</v>
      </c>
      <c r="E4" s="19">
        <f>20*C4</f>
        <v>1.4954438809759598</v>
      </c>
      <c r="F4" s="19">
        <f>9*Table2[[#This Row],[权重占比]]</f>
        <v>0.67294974643918193</v>
      </c>
      <c r="G4" s="5">
        <f>0*Table2[[#This Row],[权重占比]]</f>
        <v>0</v>
      </c>
      <c r="H4" s="5">
        <f>13.6%*Table2[[#This Row],[权重占比]]</f>
        <v>1.0169018390636528E-2</v>
      </c>
      <c r="I4" s="5">
        <f>2640/45000*Table2[[#This Row],[权重占比]]</f>
        <v>4.3866353841961487E-3</v>
      </c>
    </row>
    <row r="5" spans="1:9" hidden="1">
      <c r="A5" s="1" t="s">
        <v>43</v>
      </c>
      <c r="B5" s="1">
        <v>98368</v>
      </c>
      <c r="C5" s="5">
        <f t="shared" si="0"/>
        <v>0.16344869298204803</v>
      </c>
      <c r="D5" s="19">
        <f t="shared" si="1"/>
        <v>0.16344869298204803</v>
      </c>
      <c r="E5" s="18">
        <f>10*$C5</f>
        <v>1.6344869298204803</v>
      </c>
      <c r="F5" s="16">
        <f>81*Table2[[#This Row],[权重占比]]</f>
        <v>13.239344131545892</v>
      </c>
      <c r="G5" s="5">
        <f>0*Table2[[#This Row],[权重占比]]</f>
        <v>0</v>
      </c>
      <c r="H5" s="5">
        <f>69%*Table2[[#This Row],[权重占比]]</f>
        <v>0.11277959815761314</v>
      </c>
      <c r="I5" s="5">
        <f>0*Table2[[#This Row],[权重占比]]</f>
        <v>0</v>
      </c>
    </row>
    <row r="6" spans="1:9" hidden="1">
      <c r="A6" s="1" t="s">
        <v>37</v>
      </c>
      <c r="B6" s="1">
        <v>228900</v>
      </c>
      <c r="C6" s="5">
        <f t="shared" si="0"/>
        <v>0.38034122706155249</v>
      </c>
      <c r="D6" s="16">
        <f t="shared" si="1"/>
        <v>0.38034122706155249</v>
      </c>
      <c r="E6" s="19">
        <f>16*C6</f>
        <v>6.0854596329848398</v>
      </c>
      <c r="F6" s="16">
        <f>26*Table2[[#This Row],[权重占比]]</f>
        <v>9.8888719036003643</v>
      </c>
      <c r="G6" s="5">
        <f>0*Table2[[#This Row],[权重占比]]</f>
        <v>0</v>
      </c>
      <c r="H6" s="5">
        <f>17.33%*Table2[[#This Row],[权重占比]]</f>
        <v>6.5913134649767044E-2</v>
      </c>
      <c r="I6" s="5">
        <f>0*Table2[[#This Row],[权重占比]]</f>
        <v>0</v>
      </c>
    </row>
    <row r="7" spans="1:9" hidden="1">
      <c r="A7" s="14" t="s">
        <v>40</v>
      </c>
      <c r="B7" s="1">
        <v>145200</v>
      </c>
      <c r="C7" s="5">
        <f t="shared" si="0"/>
        <v>0.24126494613078819</v>
      </c>
      <c r="D7" s="16">
        <f t="shared" si="1"/>
        <v>0.24126494613078819</v>
      </c>
      <c r="E7" s="18">
        <f>7*$C7</f>
        <v>1.6888546229155175</v>
      </c>
      <c r="F7" s="16">
        <f>60*Table2[[#This Row],[权重占比]]</f>
        <v>14.475896767847292</v>
      </c>
      <c r="G7" s="5">
        <f>0*Table2[[#This Row],[权重占比]]</f>
        <v>0</v>
      </c>
      <c r="H7" s="5">
        <f>62.13%*Table2[[#This Row],[权重占比]]</f>
        <v>0.14989791103105873</v>
      </c>
      <c r="I7" s="5">
        <f>3000/Table2[[#This Row],[开票金额]]*Table2[[#This Row],[权重占比]]</f>
        <v>4.9848129365865331E-3</v>
      </c>
    </row>
    <row r="8" spans="1:9" hidden="1">
      <c r="A8" s="14" t="s">
        <v>40</v>
      </c>
      <c r="B8" s="1">
        <v>46360</v>
      </c>
      <c r="C8" s="5">
        <f t="shared" si="0"/>
        <v>7.7031975913383885E-2</v>
      </c>
      <c r="D8" s="16">
        <f t="shared" si="1"/>
        <v>7.7031975913383885E-2</v>
      </c>
      <c r="E8" s="19">
        <f>6*$C8</f>
        <v>0.46219185548030328</v>
      </c>
      <c r="F8" s="16">
        <f>41*Table2[[#This Row],[权重占比]]</f>
        <v>3.1583110124487392</v>
      </c>
      <c r="G8" s="5">
        <f>SUM(G6:G7)</f>
        <v>0</v>
      </c>
      <c r="H8" s="5">
        <f>33.09%*Table2[[#This Row],[权重占比]]</f>
        <v>2.5489880829738729E-2</v>
      </c>
      <c r="I8" s="5">
        <f>0*Table2[[#This Row],[权重占比]]</f>
        <v>0</v>
      </c>
    </row>
    <row r="9" spans="1:9" hidden="1">
      <c r="A9" s="1" t="s">
        <v>29</v>
      </c>
      <c r="B9" s="1">
        <f t="shared" ref="B9:I9" si="2">SUM(B3:B8)</f>
        <v>601828</v>
      </c>
      <c r="C9" s="1">
        <f t="shared" si="2"/>
        <v>1</v>
      </c>
      <c r="D9" s="16">
        <f t="shared" si="2"/>
        <v>1</v>
      </c>
      <c r="E9" s="16">
        <f t="shared" si="2"/>
        <v>11.871564633084535</v>
      </c>
      <c r="F9" s="16">
        <f t="shared" si="2"/>
        <v>43.329602477784356</v>
      </c>
      <c r="G9" s="1">
        <f t="shared" si="2"/>
        <v>0</v>
      </c>
      <c r="H9" s="20">
        <f t="shared" si="2"/>
        <v>0.4074505905341726</v>
      </c>
      <c r="I9" s="20">
        <f t="shared" si="2"/>
        <v>1.0202250476880437E-2</v>
      </c>
    </row>
    <row r="10" spans="1:9" hidden="1"/>
    <row r="11" spans="1:9">
      <c r="A11" s="1" t="s">
        <v>34</v>
      </c>
      <c r="B11" s="1" t="s">
        <v>17</v>
      </c>
      <c r="C11" s="1" t="s">
        <v>28</v>
      </c>
      <c r="D11" s="1" t="s">
        <v>30</v>
      </c>
      <c r="E11" s="1" t="s">
        <v>31</v>
      </c>
      <c r="F11" s="1" t="s">
        <v>32</v>
      </c>
      <c r="G11" s="15" t="s">
        <v>33</v>
      </c>
      <c r="H11" s="1" t="s">
        <v>35</v>
      </c>
      <c r="I11" s="1" t="s">
        <v>36</v>
      </c>
    </row>
    <row r="12" spans="1:9">
      <c r="A12" s="1" t="s">
        <v>43</v>
      </c>
      <c r="B12" s="1">
        <v>98368</v>
      </c>
      <c r="C12" s="5">
        <f>B12/$B$16</f>
        <v>0.18959655222925517</v>
      </c>
      <c r="D12" s="19">
        <f t="shared" ref="D12:D15" si="3">1*$C12</f>
        <v>0.18959655222925517</v>
      </c>
      <c r="E12" s="18">
        <f>10*$C12</f>
        <v>1.8959655222925518</v>
      </c>
      <c r="F12" s="21">
        <f>81*$C12</f>
        <v>15.357320730569668</v>
      </c>
      <c r="G12" s="5">
        <f>0*$C12</f>
        <v>0</v>
      </c>
      <c r="H12" s="5">
        <f>69%*$C12</f>
        <v>0.13082162103818606</v>
      </c>
      <c r="I12" s="5">
        <f>0*$C12</f>
        <v>0</v>
      </c>
    </row>
    <row r="13" spans="1:9">
      <c r="A13" s="1" t="s">
        <v>37</v>
      </c>
      <c r="B13" s="1">
        <v>228900</v>
      </c>
      <c r="C13" s="5">
        <f>B13/$B$16</f>
        <v>0.44118667458194238</v>
      </c>
      <c r="D13" s="16">
        <f t="shared" si="3"/>
        <v>0.44118667458194238</v>
      </c>
      <c r="E13" s="19">
        <f>16*C13</f>
        <v>7.0589867933110781</v>
      </c>
      <c r="F13" s="21">
        <f>26*$C13</f>
        <v>11.470853539130502</v>
      </c>
      <c r="G13" s="5">
        <f>0*$C13</f>
        <v>0</v>
      </c>
      <c r="H13" s="5">
        <f>17.33%*$C13</f>
        <v>7.6457650705050603E-2</v>
      </c>
      <c r="I13" s="5">
        <f>0*$C13</f>
        <v>0</v>
      </c>
    </row>
    <row r="14" spans="1:9">
      <c r="A14" s="14" t="s">
        <v>40</v>
      </c>
      <c r="B14" s="1">
        <v>145200</v>
      </c>
      <c r="C14" s="5">
        <f>B14/$B$16</f>
        <v>0.27986153407294906</v>
      </c>
      <c r="D14" s="16">
        <f t="shared" si="3"/>
        <v>0.27986153407294906</v>
      </c>
      <c r="E14" s="18">
        <f>7*$C14</f>
        <v>1.9590307385106434</v>
      </c>
      <c r="F14" s="21">
        <f>60*$C14</f>
        <v>16.791692044376944</v>
      </c>
      <c r="G14" s="5">
        <f>0*$C14</f>
        <v>0</v>
      </c>
      <c r="H14" s="5">
        <f>62.13%*$C14</f>
        <v>0.17387797111952327</v>
      </c>
      <c r="I14" s="5">
        <f>3000/B14*$C14</f>
        <v>5.782263100680766E-3</v>
      </c>
    </row>
    <row r="15" spans="1:9">
      <c r="A15" s="14" t="s">
        <v>40</v>
      </c>
      <c r="B15" s="1">
        <v>46360</v>
      </c>
      <c r="C15" s="5">
        <f>B15/$B$16</f>
        <v>8.9355239115853427E-2</v>
      </c>
      <c r="D15" s="16">
        <f t="shared" si="3"/>
        <v>8.9355239115853427E-2</v>
      </c>
      <c r="E15" s="19">
        <f>6*$C15</f>
        <v>0.53613143469512059</v>
      </c>
      <c r="F15" s="21">
        <f>41*$C15</f>
        <v>3.6635648037499906</v>
      </c>
      <c r="G15" s="5">
        <f>SUM(G13:G14)</f>
        <v>0</v>
      </c>
      <c r="H15" s="5">
        <f>33.09%*$C15</f>
        <v>2.9567648623435902E-2</v>
      </c>
      <c r="I15" s="5">
        <f>0*$C15</f>
        <v>0</v>
      </c>
    </row>
    <row r="16" spans="1:9">
      <c r="A16" s="1" t="s">
        <v>29</v>
      </c>
      <c r="B16" s="1">
        <f t="shared" ref="B16" si="4">SUM(B10:B15)</f>
        <v>518828</v>
      </c>
      <c r="C16" s="1">
        <f t="shared" ref="C16" si="5">SUM(C10:C15)</f>
        <v>1</v>
      </c>
      <c r="D16" s="16">
        <f t="shared" ref="D16" si="6">SUM(D10:D15)</f>
        <v>1</v>
      </c>
      <c r="E16" s="16">
        <f t="shared" ref="E16" si="7">SUM(E10:E15)</f>
        <v>11.450114488809394</v>
      </c>
      <c r="F16" s="16">
        <f t="shared" ref="F16" si="8">SUM(F10:F15)</f>
        <v>47.283431117827107</v>
      </c>
      <c r="G16" s="1">
        <f t="shared" ref="G16" si="9">SUM(G10:G15)</f>
        <v>0</v>
      </c>
      <c r="H16" s="20">
        <f t="shared" ref="H16" si="10">SUM(H10:H15)</f>
        <v>0.4107248914861959</v>
      </c>
      <c r="I16" s="20">
        <f t="shared" ref="I16" si="11">SUM(I10:I15)</f>
        <v>5.782263100680766E-3</v>
      </c>
    </row>
    <row r="18" spans="1:3">
      <c r="A18" s="25" t="s">
        <v>34</v>
      </c>
      <c r="B18" s="25" t="s">
        <v>17</v>
      </c>
      <c r="C18" s="1" t="s">
        <v>47</v>
      </c>
    </row>
    <row r="19" spans="1:3">
      <c r="A19" s="23" t="s">
        <v>43</v>
      </c>
      <c r="B19" s="23">
        <v>98368</v>
      </c>
      <c r="C19" s="1">
        <v>67878.17</v>
      </c>
    </row>
    <row r="20" spans="1:3">
      <c r="A20" s="24" t="s">
        <v>37</v>
      </c>
      <c r="B20" s="24">
        <v>228900</v>
      </c>
      <c r="C20" s="1">
        <v>37679.46</v>
      </c>
    </row>
    <row r="21" spans="1:3">
      <c r="A21" s="23" t="s">
        <v>40</v>
      </c>
      <c r="B21" s="23">
        <v>145200</v>
      </c>
      <c r="C21" s="1">
        <v>90207.07</v>
      </c>
    </row>
    <row r="22" spans="1:3">
      <c r="A22" s="24" t="s">
        <v>40</v>
      </c>
      <c r="B22" s="24">
        <v>46360</v>
      </c>
      <c r="C22" s="1">
        <v>15339.85</v>
      </c>
    </row>
    <row r="23" spans="1:3">
      <c r="A23" s="23" t="s">
        <v>29</v>
      </c>
      <c r="B23" s="23">
        <f t="shared" ref="B23" si="12">SUM(B17:B22)</f>
        <v>518828</v>
      </c>
      <c r="C23" s="1">
        <f>SUM(C19:C22)</f>
        <v>211104.55000000002</v>
      </c>
    </row>
    <row r="25" spans="1:3">
      <c r="A25" s="22" t="s">
        <v>48</v>
      </c>
      <c r="B25" s="26">
        <f>C23/B23</f>
        <v>0.40688734995027259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DF74-DDA5-764C-9D80-F2289414934B}">
  <dimension ref="A1:S7"/>
  <sheetViews>
    <sheetView zoomScale="125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M11" sqref="M11"/>
    </sheetView>
  </sheetViews>
  <sheetFormatPr baseColWidth="10" defaultRowHeight="16"/>
  <cols>
    <col min="1" max="1" width="25.5" style="1" bestFit="1" customWidth="1"/>
    <col min="2" max="2" width="9.83203125" style="1" bestFit="1" customWidth="1"/>
    <col min="3" max="3" width="16.5" style="1" bestFit="1" customWidth="1"/>
    <col min="4" max="4" width="17.1640625" style="1" bestFit="1" customWidth="1"/>
    <col min="5" max="5" width="9.83203125" style="1" bestFit="1" customWidth="1"/>
    <col min="6" max="6" width="13.5" style="1" hidden="1" customWidth="1"/>
    <col min="7" max="9" width="13.5" style="1" bestFit="1" customWidth="1"/>
    <col min="10" max="10" width="13.5" style="1" hidden="1" customWidth="1"/>
    <col min="11" max="13" width="13.5" style="1" bestFit="1" customWidth="1"/>
    <col min="14" max="15" width="19" style="1" bestFit="1" customWidth="1"/>
    <col min="16" max="16" width="23.1640625" style="1" bestFit="1" customWidth="1"/>
    <col min="17" max="18" width="15.1640625" style="1" bestFit="1" customWidth="1"/>
    <col min="19" max="19" width="19" style="1" bestFit="1" customWidth="1"/>
    <col min="20" max="16384" width="10.83203125" style="1"/>
  </cols>
  <sheetData>
    <row r="1" spans="1:19" ht="17">
      <c r="A1" s="6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7" t="s">
        <v>5</v>
      </c>
      <c r="G1" s="9" t="s">
        <v>6</v>
      </c>
      <c r="H1" s="9" t="s">
        <v>7</v>
      </c>
      <c r="I1" s="10" t="s">
        <v>8</v>
      </c>
      <c r="J1" s="7" t="s">
        <v>9</v>
      </c>
      <c r="K1" s="9" t="s">
        <v>10</v>
      </c>
      <c r="L1" s="9" t="s">
        <v>11</v>
      </c>
      <c r="M1" s="9" t="s">
        <v>12</v>
      </c>
      <c r="N1" s="10" t="s">
        <v>13</v>
      </c>
      <c r="O1" s="10" t="s">
        <v>14</v>
      </c>
      <c r="P1" s="7" t="s">
        <v>15</v>
      </c>
      <c r="Q1" s="11" t="s">
        <v>16</v>
      </c>
      <c r="R1" s="11" t="s">
        <v>17</v>
      </c>
      <c r="S1" s="12" t="s">
        <v>18</v>
      </c>
    </row>
    <row r="2" spans="1:19">
      <c r="A2" s="1" t="s">
        <v>19</v>
      </c>
      <c r="B2" s="1" t="s">
        <v>20</v>
      </c>
      <c r="C2" s="1" t="s">
        <v>21</v>
      </c>
      <c r="D2" s="4">
        <v>38000</v>
      </c>
      <c r="E2" s="3">
        <v>0.13</v>
      </c>
      <c r="F2" s="1" t="s">
        <v>22</v>
      </c>
      <c r="G2" s="2">
        <v>46011</v>
      </c>
      <c r="H2" s="2">
        <v>46016</v>
      </c>
      <c r="I2" s="1">
        <v>6</v>
      </c>
      <c r="J2" s="1" t="s">
        <v>23</v>
      </c>
      <c r="K2" s="2">
        <v>46016</v>
      </c>
      <c r="L2" s="2">
        <v>46027</v>
      </c>
      <c r="M2" s="2">
        <v>46066</v>
      </c>
      <c r="N2" s="1">
        <v>1</v>
      </c>
      <c r="O2" s="1">
        <v>8</v>
      </c>
      <c r="P2" s="1">
        <v>30</v>
      </c>
      <c r="Q2" s="4">
        <v>38000</v>
      </c>
      <c r="R2" s="4">
        <v>38000</v>
      </c>
      <c r="S2" s="5">
        <v>0</v>
      </c>
    </row>
    <row r="3" spans="1:19">
      <c r="A3" s="1" t="s">
        <v>24</v>
      </c>
      <c r="B3" s="1" t="s">
        <v>25</v>
      </c>
      <c r="C3" s="1" t="s">
        <v>26</v>
      </c>
      <c r="D3" s="4">
        <v>45000</v>
      </c>
      <c r="E3" s="3">
        <v>0.09</v>
      </c>
      <c r="F3" s="1" t="s">
        <v>27</v>
      </c>
      <c r="G3" s="2">
        <v>46014</v>
      </c>
      <c r="H3" s="2">
        <v>46021</v>
      </c>
      <c r="I3" s="1">
        <v>8</v>
      </c>
      <c r="J3" s="1" t="s">
        <v>23</v>
      </c>
      <c r="K3" s="2">
        <v>46021</v>
      </c>
      <c r="L3" s="2">
        <v>46048</v>
      </c>
      <c r="M3" s="2">
        <v>46058</v>
      </c>
      <c r="N3" s="1">
        <v>1</v>
      </c>
      <c r="O3" s="1">
        <v>20</v>
      </c>
      <c r="P3" s="1">
        <v>9</v>
      </c>
      <c r="Q3" s="4">
        <v>45000</v>
      </c>
      <c r="R3" s="4">
        <v>45000</v>
      </c>
      <c r="S3" s="5">
        <v>0</v>
      </c>
    </row>
    <row r="4" spans="1:19">
      <c r="A4" s="1" t="s">
        <v>37</v>
      </c>
      <c r="B4" s="1" t="s">
        <v>38</v>
      </c>
      <c r="C4" s="1" t="s">
        <v>39</v>
      </c>
      <c r="D4" s="4">
        <v>228900</v>
      </c>
      <c r="E4" s="3">
        <v>0.09</v>
      </c>
      <c r="F4" s="1" t="s">
        <v>22</v>
      </c>
      <c r="G4" s="2">
        <v>45988</v>
      </c>
      <c r="H4" s="2">
        <v>46088</v>
      </c>
      <c r="I4" s="1">
        <v>101</v>
      </c>
      <c r="J4" s="1" t="s">
        <v>23</v>
      </c>
      <c r="K4" s="2">
        <v>46088</v>
      </c>
      <c r="L4" s="2">
        <v>46102</v>
      </c>
      <c r="M4" s="2">
        <v>46139</v>
      </c>
      <c r="N4" s="1">
        <v>1</v>
      </c>
      <c r="O4" s="1">
        <v>10</v>
      </c>
      <c r="P4" s="1">
        <v>26</v>
      </c>
      <c r="Q4" s="4">
        <v>228900</v>
      </c>
      <c r="R4" s="4">
        <v>228900</v>
      </c>
      <c r="S4" s="15">
        <v>0</v>
      </c>
    </row>
    <row r="5" spans="1:19">
      <c r="A5" s="1" t="s">
        <v>40</v>
      </c>
      <c r="B5" s="1" t="s">
        <v>41</v>
      </c>
      <c r="C5" s="1" t="s">
        <v>42</v>
      </c>
      <c r="D5" s="4">
        <v>91000</v>
      </c>
      <c r="E5" s="3">
        <v>0.13</v>
      </c>
      <c r="F5" s="1" t="s">
        <v>22</v>
      </c>
      <c r="G5" s="2">
        <v>46060</v>
      </c>
      <c r="H5" s="2">
        <v>46067</v>
      </c>
      <c r="I5" s="1">
        <v>8</v>
      </c>
      <c r="J5" s="1" t="s">
        <v>23</v>
      </c>
      <c r="K5" s="2">
        <v>46067</v>
      </c>
      <c r="L5" s="2">
        <v>46090</v>
      </c>
      <c r="M5" s="2"/>
      <c r="N5" s="1">
        <v>1</v>
      </c>
      <c r="O5" s="1">
        <v>16</v>
      </c>
      <c r="P5" s="1">
        <v>60</v>
      </c>
      <c r="Q5" s="4">
        <v>157300</v>
      </c>
      <c r="R5" s="4">
        <v>145200</v>
      </c>
      <c r="S5" s="15">
        <v>-7.6899999999999996E-2</v>
      </c>
    </row>
    <row r="6" spans="1:19">
      <c r="A6" s="1" t="s">
        <v>43</v>
      </c>
      <c r="B6" s="1" t="s">
        <v>44</v>
      </c>
      <c r="C6" s="1" t="s">
        <v>45</v>
      </c>
      <c r="D6" s="4">
        <v>98368</v>
      </c>
      <c r="E6" s="3">
        <v>0.06</v>
      </c>
      <c r="F6" s="1" t="s">
        <v>22</v>
      </c>
      <c r="G6" s="2">
        <v>46044</v>
      </c>
      <c r="H6" s="2">
        <v>46093</v>
      </c>
      <c r="I6" s="1">
        <v>50</v>
      </c>
      <c r="J6" s="1" t="s">
        <v>23</v>
      </c>
      <c r="K6" s="2">
        <v>46093</v>
      </c>
      <c r="L6" s="2">
        <v>46101</v>
      </c>
      <c r="M6" s="2"/>
      <c r="N6" s="1">
        <v>1</v>
      </c>
      <c r="O6" s="1">
        <v>7</v>
      </c>
      <c r="P6" s="1">
        <v>81</v>
      </c>
      <c r="Q6" s="4">
        <v>98368</v>
      </c>
      <c r="R6" s="4">
        <v>98368</v>
      </c>
      <c r="S6" s="15">
        <v>0</v>
      </c>
    </row>
    <row r="7" spans="1:19">
      <c r="A7" s="1" t="s">
        <v>40</v>
      </c>
      <c r="B7" s="1" t="s">
        <v>41</v>
      </c>
      <c r="C7" s="1" t="s">
        <v>46</v>
      </c>
      <c r="D7" s="4">
        <v>40000</v>
      </c>
      <c r="E7" s="3">
        <v>0.13</v>
      </c>
      <c r="F7" s="1" t="s">
        <v>22</v>
      </c>
      <c r="G7" s="2">
        <v>46094</v>
      </c>
      <c r="H7" s="2">
        <v>46108</v>
      </c>
      <c r="I7" s="1">
        <v>15</v>
      </c>
      <c r="J7" s="1" t="s">
        <v>23</v>
      </c>
      <c r="K7" s="2">
        <v>46108</v>
      </c>
      <c r="L7" s="2">
        <v>46115</v>
      </c>
      <c r="M7" s="2"/>
      <c r="N7" s="1">
        <v>1</v>
      </c>
      <c r="O7" s="1">
        <v>6</v>
      </c>
      <c r="P7" s="1">
        <v>41</v>
      </c>
      <c r="Q7" s="4">
        <v>46360</v>
      </c>
      <c r="R7" s="4">
        <v>46360</v>
      </c>
      <c r="S7" s="1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AD47-0530-004A-A9AF-CBCBE00B2597}">
  <dimension ref="A1"/>
  <sheetViews>
    <sheetView topLeftCell="P55" workbookViewId="0">
      <selection activeCell="J53" sqref="J53"/>
    </sheetView>
  </sheetViews>
  <sheetFormatPr baseColWidth="10" defaultRowHeight="16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总览</vt:lpstr>
      <vt:lpstr>明细表</vt:lpstr>
      <vt:lpstr>项目成本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Linze Zhang</dc:creator>
  <cp:lastModifiedBy>Linze Zhang</cp:lastModifiedBy>
  <dcterms:created xsi:type="dcterms:W3CDTF">2026-02-25T08:00:03Z</dcterms:created>
  <dcterms:modified xsi:type="dcterms:W3CDTF">2026-05-27T04:15:35Z</dcterms:modified>
</cp:coreProperties>
</file>